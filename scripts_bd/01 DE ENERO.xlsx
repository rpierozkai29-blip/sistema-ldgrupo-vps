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General" sheetId="1" r:id="rId5"/>
    <sheet state="visible" name="TD" sheetId="2" r:id="rId6"/>
    <sheet state="visible" name="AFI-F1" sheetId="3" r:id="rId7"/>
    <sheet state="visible" name="AFI-F2" sheetId="4" r:id="rId8"/>
    <sheet state="visible" name="AFI-F3" sheetId="5" r:id="rId9"/>
    <sheet state="visible" name="AFI-F4" sheetId="6" r:id="rId10"/>
    <sheet state="visible" name="AFI-F5" sheetId="7" r:id="rId11"/>
    <sheet state="visible" name="AFI-F6" sheetId="8" r:id="rId12"/>
    <sheet state="visible" name="Burger-F7-F8" sheetId="9" r:id="rId13"/>
    <sheet state="visible" name="Burger-F9-F10" sheetId="10" r:id="rId14"/>
    <sheet state="visible" name="ONLINE" sheetId="11" r:id="rId15"/>
    <sheet state="visible" name="CyC-F11-F12" sheetId="12" r:id="rId16"/>
    <sheet state="visible" name="GN-Completo" sheetId="13" r:id="rId17"/>
    <sheet state="visible" name="Corporativo" sheetId="14" r:id="rId18"/>
    <sheet state="visible" name="GB1" sheetId="15" r:id="rId19"/>
    <sheet state="visible" name="GB2" sheetId="16" r:id="rId20"/>
    <sheet state="visible" name="GB3" sheetId="17" r:id="rId21"/>
    <sheet state="visible" name="GB4" sheetId="18" r:id="rId22"/>
    <sheet state="visible" name="CONTROL" sheetId="19" r:id="rId23"/>
    <sheet state="visible" name="VARIABLE" sheetId="20" r:id="rId24"/>
  </sheets>
  <definedNames>
    <definedName localSheetId="8" name="CYC_INGRESO">'Burger-F7-F8'!$N$5:$N$66</definedName>
    <definedName name="F5_INGRESO">'AFI-F5'!$N$5:$N$72</definedName>
    <definedName localSheetId="17" name="CYC_VENDEDOR">'GB4'!$P$5:$P$34</definedName>
    <definedName name="F4_SALDO">'AFI-F4'!$O$5:$O$72</definedName>
    <definedName name="BD_TABLA">Base_General!$B$3:$X$989</definedName>
    <definedName name="KAMADO_SALDO">#REF!</definedName>
    <definedName name="CYC_INGRESO">'CyC-F11-F12'!$N$5:$N$66</definedName>
    <definedName localSheetId="12" name="CYC_SALDO">'GN-Completo'!$O$5:$O$66</definedName>
    <definedName name="Online_INGRESO">ONLINE!$N$5:$N$204</definedName>
    <definedName name="F4_VENDEDOR">'AFI-F4'!$P$5:$P$72</definedName>
    <definedName name="KAMADO_VENDEDOR">#REF!</definedName>
    <definedName localSheetId="15" name="CYC_SALDO">'GB2'!$O$5:$O$34</definedName>
    <definedName localSheetId="13" name="MARINA_VENDEDOR">Corporativo!$P$5:$P$14</definedName>
    <definedName name="CYC_VENDEDOR">'CyC-F11-F12'!$P$5:$P$66</definedName>
    <definedName name="F3_VENDEDOR">'AFI-F3'!$P$5:$P$72</definedName>
    <definedName name="MARINA_VENDEDOR">'Burger-F9-F10'!$P$5:$P$66</definedName>
    <definedName localSheetId="17" name="CYC_SALDO">'GB4'!$O$5:$O$34</definedName>
    <definedName localSheetId="14" name="CYC_VENDEDOR">'GB1'!$Q$5:$Q$34</definedName>
    <definedName name="F1_VENDEDOR">'AFI-F1'!$P$5:$P$72</definedName>
    <definedName name="CYC_SALDO">'CyC-F11-F12'!$O$5:$O$66</definedName>
    <definedName localSheetId="16" name="CYC_SALDO">'GB3'!$O$5:$O$34</definedName>
    <definedName name="F2_VENDEDOR">'AFI-F2'!$Q$5:$Q$72</definedName>
    <definedName name="BaseDatos">Base_General!$B$3:$X$928</definedName>
    <definedName name="Online_VENDEDOR">ONLINE!$P$5:$P$204</definedName>
    <definedName localSheetId="15" name="CYC_INGRESO">'GB2'!$N$5:$N$34</definedName>
    <definedName localSheetId="14" name="CYC_SALDO">'GB1'!$P$5:$P$34</definedName>
    <definedName name="F3_SALDO">'AFI-F3'!$O$5:$O$72</definedName>
    <definedName name="F1_INGRESO">'AFI-F1'!$N$5:$N$72</definedName>
    <definedName name="F5_VENDEDOR">'AFI-F5'!$P$5:$P$72</definedName>
    <definedName name="F6_SALDO">'AFI-F6'!$O$5:$O$72</definedName>
    <definedName name="F2_SALDO">'AFI-F2'!$P$5:$P$72</definedName>
    <definedName name="F5_SALDO">'AFI-F5'!$O$5:$O$72</definedName>
    <definedName name="F2_INGRESO">'AFI-F2'!$N$5:$N$72</definedName>
    <definedName localSheetId="14" name="CYC_INGRESO">'GB1'!$N$5:$N$34</definedName>
    <definedName name="F6_VENDEDOR">'AFI-F6'!$P$5:$P$72</definedName>
    <definedName name="CUENTAS">VARIABLE!$B$4:$B$15</definedName>
    <definedName name="VENDEDOR">VARIABLE!$D$4:$D$15</definedName>
    <definedName name="KAMADO_INGRESO">#REF!</definedName>
    <definedName localSheetId="15" name="CYC_VENDEDOR">'GB2'!$P$5:$P$34</definedName>
    <definedName name="MARINA_INGRESO">'Burger-F9-F10'!$N$5:$N$66</definedName>
    <definedName localSheetId="16" name="CYC_VENDEDOR">'GB3'!$P$5:$P$34</definedName>
    <definedName localSheetId="16" name="CYC_INGRESO">'GB3'!$N$5:$N$34</definedName>
    <definedName localSheetId="17" name="CYC_INGRESO">'GB4'!$N$5:$N$34</definedName>
    <definedName name="F4_INGRESO">'AFI-F4'!$N$5:$N$72</definedName>
    <definedName name="SITUACION">VARIABLE!$F$4:$F$7</definedName>
    <definedName localSheetId="12" name="CYC_INGRESO">'GN-Completo'!$N$5:$N$66</definedName>
    <definedName name="F1_SALDO">'AFI-F1'!$O$5:$O$72</definedName>
    <definedName name="F3_INGRESO">'AFI-F3'!$N$5:$N$72</definedName>
    <definedName name="F6_INGRESO">'AFI-F6'!$N$5:$N$72</definedName>
    <definedName localSheetId="8" name="CYC_SALDO">'Burger-F7-F8'!$O$5:$O$66</definedName>
    <definedName localSheetId="13" name="MARINA_SALDO">Corporativo!$O$5:$O$14</definedName>
    <definedName localSheetId="8" name="CYC_VENDEDOR">'Burger-F7-F8'!$P$5:$P$66</definedName>
    <definedName name="TALLERES">VARIABLE!$H$4:$H$8</definedName>
    <definedName localSheetId="13" name="MARINA_INGRESO">Corporativo!$N$5:$N$14</definedName>
    <definedName localSheetId="12" name="CYC_VENDEDOR">'GN-Completo'!$P$5:$P$66</definedName>
    <definedName name="MARINA_SALDO">'Burger-F9-F10'!$O$5:$O$66</definedName>
    <definedName hidden="1" localSheetId="1" name="_xlnm._FilterDatabase">TD!$B$2:$N$14</definedName>
    <definedName hidden="1" localSheetId="2" name="_xlnm._FilterDatabase">'AFI-F1'!$A$4:$T$78</definedName>
    <definedName hidden="1" localSheetId="3" name="_xlnm._FilterDatabase">'AFI-F2'!$A$4:$U$78</definedName>
    <definedName hidden="1" localSheetId="4" name="_xlnm._FilterDatabase">'AFI-F3'!$A$4:$T$78</definedName>
    <definedName hidden="1" localSheetId="5" name="_xlnm._FilterDatabase">'AFI-F4'!$A$4:$T$78</definedName>
    <definedName hidden="1" localSheetId="6" name="_xlnm._FilterDatabase">'AFI-F5'!$A$4:$T$78</definedName>
    <definedName hidden="1" localSheetId="7" name="_xlnm._FilterDatabase">'AFI-F6'!$A$4:$T$78</definedName>
    <definedName hidden="1" localSheetId="8" name="_xlnm._FilterDatabase">'Burger-F7-F8'!$A$4:$T$35</definedName>
    <definedName hidden="1" localSheetId="9" name="_xlnm._FilterDatabase">'Burger-F9-F10'!$A$4:$T$75</definedName>
    <definedName hidden="1" localSheetId="10" name="_xlnm._FilterDatabase">ONLINE!$A$4:$T$210</definedName>
    <definedName hidden="1" localSheetId="13" name="_xlnm._FilterDatabase">Corporativo!$A$4:$T$23</definedName>
    <definedName hidden="1" localSheetId="18" name="_xlnm._FilterDatabase">CONTROL!$A$1</definedName>
    <definedName hidden="1" localSheetId="2" name="Z_BD076BCF_39B8_44C5_BF95_7B82C910DEB0_.wvu.FilterData">'AFI-F1'!$A$4:$T$78</definedName>
    <definedName hidden="1" localSheetId="3" name="Z_BD076BCF_39B8_44C5_BF95_7B82C910DEB0_.wvu.FilterData">'AFI-F2'!$A$4:$U$78</definedName>
    <definedName hidden="1" localSheetId="4" name="Z_BD076BCF_39B8_44C5_BF95_7B82C910DEB0_.wvu.FilterData">'AFI-F3'!$A$4:$T$78</definedName>
    <definedName hidden="1" localSheetId="5" name="Z_BD076BCF_39B8_44C5_BF95_7B82C910DEB0_.wvu.FilterData">'AFI-F4'!$A$4:$T$78</definedName>
    <definedName hidden="1" localSheetId="6" name="Z_BD076BCF_39B8_44C5_BF95_7B82C910DEB0_.wvu.FilterData">'AFI-F5'!$A$4:$T$78</definedName>
    <definedName hidden="1" localSheetId="7" name="Z_BD076BCF_39B8_44C5_BF95_7B82C910DEB0_.wvu.FilterData">'AFI-F6'!$A$4:$T$78</definedName>
    <definedName hidden="1" localSheetId="8" name="Z_BD076BCF_39B8_44C5_BF95_7B82C910DEB0_.wvu.FilterData">'Burger-F7-F8'!$A$4:$T$72</definedName>
    <definedName hidden="1" localSheetId="9" name="Z_BD076BCF_39B8_44C5_BF95_7B82C910DEB0_.wvu.FilterData">'Burger-F9-F10'!$A$4:$T$75</definedName>
    <definedName hidden="1" localSheetId="10" name="Z_BD076BCF_39B8_44C5_BF95_7B82C910DEB0_.wvu.FilterData">ONLINE!$A$4:$T$210</definedName>
    <definedName hidden="1" localSheetId="11" name="Z_BD076BCF_39B8_44C5_BF95_7B82C910DEB0_.wvu.FilterData">'CyC-F11-F12'!$A$4:$T$84</definedName>
    <definedName hidden="1" localSheetId="12" name="Z_BD076BCF_39B8_44C5_BF95_7B82C910DEB0_.wvu.FilterData">'GN-Completo'!$A$4:$T$72</definedName>
    <definedName hidden="1" localSheetId="13" name="Z_BD076BCF_39B8_44C5_BF95_7B82C910DEB0_.wvu.FilterData">Corporativo!$A$4:$T$23</definedName>
    <definedName hidden="1" localSheetId="14" name="Z_BD076BCF_39B8_44C5_BF95_7B82C910DEB0_.wvu.FilterData">'GB1'!$A$4:$U$40</definedName>
    <definedName hidden="1" localSheetId="15" name="Z_BD076BCF_39B8_44C5_BF95_7B82C910DEB0_.wvu.FilterData">'GB2'!$A$4:$T$40</definedName>
    <definedName hidden="1" localSheetId="16" name="Z_BD076BCF_39B8_44C5_BF95_7B82C910DEB0_.wvu.FilterData">'GB3'!$A$4:$T$40</definedName>
    <definedName hidden="1" localSheetId="17" name="Z_BD076BCF_39B8_44C5_BF95_7B82C910DEB0_.wvu.FilterData">'GB4'!$A$4:$T$40</definedName>
    <definedName hidden="1" localSheetId="2" name="Z_A9B8627E_26B2_4201_803A_467C3700F329_.wvu.FilterData">'AFI-F1'!$A$2:$T$82</definedName>
    <definedName hidden="1" localSheetId="3" name="Z_A9B8627E_26B2_4201_803A_467C3700F329_.wvu.FilterData">'AFI-F2'!$A$2:$U$82</definedName>
    <definedName hidden="1" localSheetId="4" name="Z_A9B8627E_26B2_4201_803A_467C3700F329_.wvu.FilterData">'AFI-F3'!$A$2:$T$82</definedName>
    <definedName hidden="1" localSheetId="5" name="Z_A9B8627E_26B2_4201_803A_467C3700F329_.wvu.FilterData">'AFI-F4'!$A$2:$T$82</definedName>
    <definedName hidden="1" localSheetId="6" name="Z_A9B8627E_26B2_4201_803A_467C3700F329_.wvu.FilterData">'AFI-F5'!$A$2:$T$82</definedName>
    <definedName hidden="1" localSheetId="7" name="Z_A9B8627E_26B2_4201_803A_467C3700F329_.wvu.FilterData">'AFI-F6'!$A$2:$T$82</definedName>
    <definedName hidden="1" localSheetId="8" name="Z_A9B8627E_26B2_4201_803A_467C3700F329_.wvu.FilterData">'Burger-F7-F8'!$A$2:$T$76</definedName>
    <definedName hidden="1" localSheetId="9" name="Z_A9B8627E_26B2_4201_803A_467C3700F329_.wvu.FilterData">'Burger-F9-F10'!$A$2:$T$75</definedName>
    <definedName hidden="1" localSheetId="10" name="Z_A9B8627E_26B2_4201_803A_467C3700F329_.wvu.FilterData">ONLINE!$A$2:$T$214</definedName>
    <definedName hidden="1" localSheetId="11" name="Z_A9B8627E_26B2_4201_803A_467C3700F329_.wvu.FilterData">'CyC-F11-F12'!$A$2:$T$84</definedName>
    <definedName hidden="1" localSheetId="12" name="Z_A9B8627E_26B2_4201_803A_467C3700F329_.wvu.FilterData">'GN-Completo'!$A$2:$T$76</definedName>
    <definedName hidden="1" localSheetId="13" name="Z_A9B8627E_26B2_4201_803A_467C3700F329_.wvu.FilterData">Corporativo!$A$2:$T$23</definedName>
    <definedName hidden="1" localSheetId="14" name="Z_A9B8627E_26B2_4201_803A_467C3700F329_.wvu.FilterData">'GB1'!$A$2:$U$44</definedName>
    <definedName hidden="1" localSheetId="15" name="Z_A9B8627E_26B2_4201_803A_467C3700F329_.wvu.FilterData">'GB2'!$A$2:$T$44</definedName>
    <definedName hidden="1" localSheetId="16" name="Z_A9B8627E_26B2_4201_803A_467C3700F329_.wvu.FilterData">'GB3'!$A$2:$T$44</definedName>
    <definedName hidden="1" localSheetId="17" name="Z_A9B8627E_26B2_4201_803A_467C3700F329_.wvu.FilterData">'GB4'!$A$2:$T$44</definedName>
    <definedName hidden="1" localSheetId="2" name="Z_E5EE51B3_DE45_4D2E_9071_A5BED79D171F_.wvu.FilterData">'AFI-F1'!$A$2:$T$82</definedName>
    <definedName hidden="1" localSheetId="3" name="Z_E5EE51B3_DE45_4D2E_9071_A5BED79D171F_.wvu.FilterData">'AFI-F2'!$A$2:$U$82</definedName>
    <definedName hidden="1" localSheetId="4" name="Z_E5EE51B3_DE45_4D2E_9071_A5BED79D171F_.wvu.FilterData">'AFI-F3'!$A$2:$T$82</definedName>
    <definedName hidden="1" localSheetId="5" name="Z_E5EE51B3_DE45_4D2E_9071_A5BED79D171F_.wvu.FilterData">'AFI-F4'!$A$2:$T$82</definedName>
    <definedName hidden="1" localSheetId="6" name="Z_E5EE51B3_DE45_4D2E_9071_A5BED79D171F_.wvu.FilterData">'AFI-F5'!$A$2:$T$82</definedName>
    <definedName hidden="1" localSheetId="7" name="Z_E5EE51B3_DE45_4D2E_9071_A5BED79D171F_.wvu.FilterData">'AFI-F6'!$A$2:$T$82</definedName>
    <definedName hidden="1" localSheetId="8" name="Z_E5EE51B3_DE45_4D2E_9071_A5BED79D171F_.wvu.FilterData">'Burger-F7-F8'!$A$2:$T$76</definedName>
    <definedName hidden="1" localSheetId="9" name="Z_E5EE51B3_DE45_4D2E_9071_A5BED79D171F_.wvu.FilterData">'Burger-F9-F10'!$A$2:$T$75</definedName>
    <definedName hidden="1" localSheetId="10" name="Z_E5EE51B3_DE45_4D2E_9071_A5BED79D171F_.wvu.FilterData">ONLINE!$A$2:$T$214</definedName>
    <definedName hidden="1" localSheetId="11" name="Z_E5EE51B3_DE45_4D2E_9071_A5BED79D171F_.wvu.FilterData">'CyC-F11-F12'!$A$2:$T$84</definedName>
    <definedName hidden="1" localSheetId="12" name="Z_E5EE51B3_DE45_4D2E_9071_A5BED79D171F_.wvu.FilterData">'GN-Completo'!$A$2:$T$76</definedName>
    <definedName hidden="1" localSheetId="13" name="Z_E5EE51B3_DE45_4D2E_9071_A5BED79D171F_.wvu.FilterData">Corporativo!$A$2:$T$23</definedName>
    <definedName hidden="1" localSheetId="14" name="Z_E5EE51B3_DE45_4D2E_9071_A5BED79D171F_.wvu.FilterData">'GB1'!$A$2:$U$44</definedName>
    <definedName hidden="1" localSheetId="15" name="Z_E5EE51B3_DE45_4D2E_9071_A5BED79D171F_.wvu.FilterData">'GB2'!$A$2:$T$44</definedName>
    <definedName hidden="1" localSheetId="16" name="Z_E5EE51B3_DE45_4D2E_9071_A5BED79D171F_.wvu.FilterData">'GB3'!$A$2:$T$44</definedName>
    <definedName hidden="1" localSheetId="17" name="Z_E5EE51B3_DE45_4D2E_9071_A5BED79D171F_.wvu.FilterData">'GB4'!$A$2:$T$44</definedName>
    <definedName hidden="1" localSheetId="2" name="Z_BA335440_5B37_4C05_BCDC_9CD4D4923240_.wvu.FilterData">'AFI-F1'!$A$1:$T$82</definedName>
    <definedName hidden="1" localSheetId="3" name="Z_BA335440_5B37_4C05_BCDC_9CD4D4923240_.wvu.FilterData">'AFI-F2'!$A$1:$U$82</definedName>
    <definedName hidden="1" localSheetId="4" name="Z_BA335440_5B37_4C05_BCDC_9CD4D4923240_.wvu.FilterData">'AFI-F3'!$A$1:$T$82</definedName>
    <definedName hidden="1" localSheetId="5" name="Z_BA335440_5B37_4C05_BCDC_9CD4D4923240_.wvu.FilterData">'AFI-F4'!$A$1:$T$82</definedName>
    <definedName hidden="1" localSheetId="6" name="Z_BA335440_5B37_4C05_BCDC_9CD4D4923240_.wvu.FilterData">'AFI-F5'!$A$1:$T$82</definedName>
    <definedName hidden="1" localSheetId="7" name="Z_BA335440_5B37_4C05_BCDC_9CD4D4923240_.wvu.FilterData">'AFI-F6'!$A$1:$T$82</definedName>
    <definedName hidden="1" localSheetId="8" name="Z_BA335440_5B37_4C05_BCDC_9CD4D4923240_.wvu.FilterData">'Burger-F7-F8'!$A$1:$T$76</definedName>
    <definedName hidden="1" localSheetId="9" name="Z_BA335440_5B37_4C05_BCDC_9CD4D4923240_.wvu.FilterData">'Burger-F9-F10'!$A$1:$T$75</definedName>
    <definedName hidden="1" localSheetId="10" name="Z_BA335440_5B37_4C05_BCDC_9CD4D4923240_.wvu.FilterData">ONLINE!$A$1:$T$214</definedName>
    <definedName hidden="1" localSheetId="11" name="Z_BA335440_5B37_4C05_BCDC_9CD4D4923240_.wvu.FilterData">'CyC-F11-F12'!$A$1:$T$84</definedName>
    <definedName hidden="1" localSheetId="12" name="Z_BA335440_5B37_4C05_BCDC_9CD4D4923240_.wvu.FilterData">'GN-Completo'!$A$1:$T$76</definedName>
    <definedName hidden="1" localSheetId="13" name="Z_BA335440_5B37_4C05_BCDC_9CD4D4923240_.wvu.FilterData">Corporativo!$A$1:$T$23</definedName>
    <definedName hidden="1" localSheetId="14" name="Z_BA335440_5B37_4C05_BCDC_9CD4D4923240_.wvu.FilterData">'GB1'!$A$1:$U$44</definedName>
    <definedName hidden="1" localSheetId="15" name="Z_BA335440_5B37_4C05_BCDC_9CD4D4923240_.wvu.FilterData">'GB2'!$A$1:$T$44</definedName>
    <definedName hidden="1" localSheetId="16" name="Z_BA335440_5B37_4C05_BCDC_9CD4D4923240_.wvu.FilterData">'GB3'!$A$1:$T$44</definedName>
    <definedName hidden="1" localSheetId="17" name="Z_BA335440_5B37_4C05_BCDC_9CD4D4923240_.wvu.FilterData">'GB4'!$A$1:$T$44</definedName>
  </definedNames>
  <calcPr/>
  <customWorkbookViews>
    <customWorkbookView activeSheetId="0" maximized="1" windowHeight="0" windowWidth="0" guid="{A9B8627E-26B2-4201-803A-467C3700F329}" name="Filtro 4"/>
    <customWorkbookView activeSheetId="0" maximized="1" windowHeight="0" windowWidth="0" guid="{BA335440-5B37-4C05-BCDC-9CD4D4923240}" name="Filtro 1"/>
    <customWorkbookView activeSheetId="0" maximized="1" windowHeight="0" windowWidth="0" guid="{BD076BCF-39B8-44C5-BF95-7B82C910DEB0}" name="Filtro 2"/>
    <customWorkbookView activeSheetId="0" maximized="1" windowHeight="0" windowWidth="0" guid="{E5EE51B3-DE45-4D2E-9071-A5BED79D171F}" name="Filtro 3"/>
  </customWorkbookViews>
  <pivotCaches>
    <pivotCache cacheId="0" r:id="rId25"/>
  </pivotCaches>
</workbook>
</file>

<file path=xl/sharedStrings.xml><?xml version="1.0" encoding="utf-8"?>
<sst xmlns="http://schemas.openxmlformats.org/spreadsheetml/2006/main" count="4917" uniqueCount="1235">
  <si>
    <t>ID</t>
  </si>
  <si>
    <t>MES</t>
  </si>
  <si>
    <t>SEMANA</t>
  </si>
  <si>
    <t>DIA</t>
  </si>
  <si>
    <t>FECHA_dia</t>
  </si>
  <si>
    <t>PRODUCTO</t>
  </si>
  <si>
    <t>PROD FECHA</t>
  </si>
  <si>
    <t>FE_ REGISTRO</t>
  </si>
  <si>
    <t>DNI</t>
  </si>
  <si>
    <t>NOMBRES Y APELLIDOS</t>
  </si>
  <si>
    <t>EMAIL</t>
  </si>
  <si>
    <t>DISTRITO</t>
  </si>
  <si>
    <t>WSP</t>
  </si>
  <si>
    <t>F1</t>
  </si>
  <si>
    <t>F2</t>
  </si>
  <si>
    <t>MONTO</t>
  </si>
  <si>
    <t>xCOBRAR</t>
  </si>
  <si>
    <t>ESTADO</t>
  </si>
  <si>
    <t>CUENTA</t>
  </si>
  <si>
    <t>INGRESO</t>
  </si>
  <si>
    <t>SALDO</t>
  </si>
  <si>
    <t>VENDEDOR</t>
  </si>
  <si>
    <t>TOTAL</t>
  </si>
  <si>
    <t>AFI</t>
  </si>
  <si>
    <t>ONLINE</t>
  </si>
  <si>
    <t>BURGER</t>
  </si>
  <si>
    <t>CYC</t>
  </si>
  <si>
    <t>GN</t>
  </si>
  <si>
    <t>CORPORATIVO</t>
  </si>
  <si>
    <t>1 TD - VENTA ACTUAL POR VENDEDOR GENERAL</t>
  </si>
  <si>
    <t>SUM de TOTAL</t>
  </si>
  <si>
    <t>abril</t>
  </si>
  <si>
    <t>diciembre</t>
  </si>
  <si>
    <t>enero</t>
  </si>
  <si>
    <t>febrero</t>
  </si>
  <si>
    <t>julio</t>
  </si>
  <si>
    <t>junio</t>
  </si>
  <si>
    <t>marzo</t>
  </si>
  <si>
    <t>mayo</t>
  </si>
  <si>
    <t>noviembre</t>
  </si>
  <si>
    <t>octubre</t>
  </si>
  <si>
    <t>septiembre</t>
  </si>
  <si>
    <t>Suma total</t>
  </si>
  <si>
    <t>FH</t>
  </si>
  <si>
    <t>Gabriela</t>
  </si>
  <si>
    <t>Greici</t>
  </si>
  <si>
    <t>JL</t>
  </si>
  <si>
    <t>Katherine</t>
  </si>
  <si>
    <t>Sofia</t>
  </si>
  <si>
    <t>Tania</t>
  </si>
  <si>
    <t>Yadhira</t>
  </si>
  <si>
    <t>2 TD - VENTA ACTUAL POR PRODUCTO GENERAL</t>
  </si>
  <si>
    <t xml:space="preserve">COMPL-GB </t>
  </si>
  <si>
    <t>3 TD - RESUMEN DE VENTA ACTUAL POR PRODUCTO</t>
  </si>
  <si>
    <t>4 TD - RESUMEN DE VENTA ACTUAL POR VENDEDOR</t>
  </si>
  <si>
    <t>5 TD - VENTA SEMANAL PRODUCTOS</t>
  </si>
  <si>
    <t>Total abril</t>
  </si>
  <si>
    <t>Total diciembre</t>
  </si>
  <si>
    <t>Total enero</t>
  </si>
  <si>
    <t>Total febrero</t>
  </si>
  <si>
    <t>Total julio</t>
  </si>
  <si>
    <t>Total junio</t>
  </si>
  <si>
    <t>Total marzo</t>
  </si>
  <si>
    <t>Total mayo</t>
  </si>
  <si>
    <t>Total noviembre</t>
  </si>
  <si>
    <t>Total octubre</t>
  </si>
  <si>
    <t>Total septiembre</t>
  </si>
  <si>
    <t>6 TD - VENTA SEMANAL ASESOR</t>
  </si>
  <si>
    <t>-</t>
  </si>
  <si>
    <t>CONTROL DE REGISTRO PARTICIPANTES</t>
  </si>
  <si>
    <t xml:space="preserve">PARRILLERO AFICIONADO </t>
  </si>
  <si>
    <t xml:space="preserve"> </t>
  </si>
  <si>
    <t>BB1</t>
  </si>
  <si>
    <t>BB2</t>
  </si>
  <si>
    <t>OBSERVACION</t>
  </si>
  <si>
    <t>Sebastian Castillo</t>
  </si>
  <si>
    <t>sebastiancm@outlook.com</t>
  </si>
  <si>
    <t>BARRANCO</t>
  </si>
  <si>
    <t>998 690 869</t>
  </si>
  <si>
    <t>X</t>
  </si>
  <si>
    <t>PAGO</t>
  </si>
  <si>
    <t>YAPE JL</t>
  </si>
  <si>
    <t>Daniel Rojas Salas</t>
  </si>
  <si>
    <t>juanchadrs@gmail.com</t>
  </si>
  <si>
    <t>la victoria</t>
  </si>
  <si>
    <t>Miriam Salas Guevara</t>
  </si>
  <si>
    <t>elysalas2004@hotmail.com</t>
  </si>
  <si>
    <t>villa el salvador</t>
  </si>
  <si>
    <t>paso para 11/01</t>
  </si>
  <si>
    <t>Juan Carlos Vidal Molina</t>
  </si>
  <si>
    <t>hellenleon7@gmail.com</t>
  </si>
  <si>
    <t>CHACLACAYO</t>
  </si>
  <si>
    <t>989 356 823</t>
  </si>
  <si>
    <t>COBR</t>
  </si>
  <si>
    <t>CESAR KENNY YACARINI PEREYRA</t>
  </si>
  <si>
    <t xml:space="preserve">ckyacariniman2@gmail.com </t>
  </si>
  <si>
    <t>SJL</t>
  </si>
  <si>
    <t>947 169 905</t>
  </si>
  <si>
    <t>PLIN JL</t>
  </si>
  <si>
    <t>Ronald elvis quispe gil</t>
  </si>
  <si>
    <t>Reqg_672@hotmail.com</t>
  </si>
  <si>
    <t>Flor de maria Guevara</t>
  </si>
  <si>
    <t>Gerencia@imelin.com.pe</t>
  </si>
  <si>
    <t>Franco Nieto Ponce</t>
  </si>
  <si>
    <t>x</t>
  </si>
  <si>
    <t>Luis Enrique Nieto Arauco</t>
  </si>
  <si>
    <t>Gladys Montes</t>
  </si>
  <si>
    <t>Fernando Alfredo Auqui Cerron</t>
  </si>
  <si>
    <t xml:space="preserve">Gianfranco Auqui Guerrero </t>
  </si>
  <si>
    <t xml:space="preserve">Germán Auqui Cerrón </t>
  </si>
  <si>
    <t>Rafael Antony Urbina Peña</t>
  </si>
  <si>
    <r>
      <rPr>
        <rFont val="&quot;PT Sans&quot;, Arial, sans-serif"/>
        <color rgb="FF1155CC"/>
        <sz val="11.0"/>
        <u/>
      </rPr>
      <t>rafaelurbi24@gmail.com</t>
    </r>
  </si>
  <si>
    <t xml:space="preserve">LOS OLIVOS </t>
  </si>
  <si>
    <t>Roberto Benites Aguilar</t>
  </si>
  <si>
    <t>benites.07@hotmail.com</t>
  </si>
  <si>
    <t>Ernesto De La Cruz</t>
  </si>
  <si>
    <t>ernesto199124@hotmail.com</t>
  </si>
  <si>
    <t>Chosica</t>
  </si>
  <si>
    <t>Hugo De La Cruz</t>
  </si>
  <si>
    <t>Antonio Lora</t>
  </si>
  <si>
    <t>antoniolorac@gmail.com</t>
  </si>
  <si>
    <t>SURCO</t>
  </si>
  <si>
    <t>08553072</t>
  </si>
  <si>
    <t>Luis Lora Reyes</t>
  </si>
  <si>
    <t xml:space="preserve">Rosa Juana Mogrovejo Sihue </t>
  </si>
  <si>
    <t>msk.rosa@gmail.com</t>
  </si>
  <si>
    <t xml:space="preserve">San Juan de Lurigancho </t>
  </si>
  <si>
    <t>960 142 095</t>
  </si>
  <si>
    <t>09312996</t>
  </si>
  <si>
    <t xml:space="preserve">Hernán Vidal Ulloa </t>
  </si>
  <si>
    <t xml:space="preserve">havu20@gmail.com </t>
  </si>
  <si>
    <t xml:space="preserve">La Molina </t>
  </si>
  <si>
    <t>965 007 792</t>
  </si>
  <si>
    <t>Gustavo Enrique Benites Aguilar</t>
  </si>
  <si>
    <t>gustavo.gba07@hotmail.com</t>
  </si>
  <si>
    <t>LINCE</t>
  </si>
  <si>
    <t>991 714 494</t>
  </si>
  <si>
    <t>Jose Gabriel Janampa Osores</t>
  </si>
  <si>
    <t>janampaosores@gmail.com</t>
  </si>
  <si>
    <t>Deessiree Menendez ortiz</t>
  </si>
  <si>
    <t>deessiree16@hotmail.com</t>
  </si>
  <si>
    <t>CALLAO</t>
  </si>
  <si>
    <t>958 154 071</t>
  </si>
  <si>
    <t>MERC-PAG</t>
  </si>
  <si>
    <t>Arnaldo Guardamino cavezas</t>
  </si>
  <si>
    <t>Arn_g2005@hotmail</t>
  </si>
  <si>
    <t>Daniel Ricardo moran Chávez</t>
  </si>
  <si>
    <t>danielpupunovich5@hotmail.com</t>
  </si>
  <si>
    <t>988 766 216</t>
  </si>
  <si>
    <t>Frank Alonso Bautista Cucho</t>
  </si>
  <si>
    <t>Aaron Castillo</t>
  </si>
  <si>
    <t>Sergio Armando Lopez Saldaña</t>
  </si>
  <si>
    <t>Sergio.lsaldana@gmail.com</t>
  </si>
  <si>
    <t>Victoria</t>
  </si>
  <si>
    <t>987 809 308</t>
  </si>
  <si>
    <t>07524459</t>
  </si>
  <si>
    <t>José pineda sifuentes</t>
  </si>
  <si>
    <t>jose.pineda@ae.edu.pe</t>
  </si>
  <si>
    <t>SAN ISIDRO</t>
  </si>
  <si>
    <t>981 398 282</t>
  </si>
  <si>
    <t>Ana Paula Pineda</t>
  </si>
  <si>
    <t>MENOR DE 10 AÑOS</t>
  </si>
  <si>
    <t>Luis Esteban Ramos Nicoll</t>
  </si>
  <si>
    <t>luisramosnicoll@gmail.com</t>
  </si>
  <si>
    <t>BCP JL</t>
  </si>
  <si>
    <t>Herbert Ricardo Arroyo Vilchez</t>
  </si>
  <si>
    <t>hricardoarroyov@gmail.com</t>
  </si>
  <si>
    <t>VES</t>
  </si>
  <si>
    <t>976 352 593</t>
  </si>
  <si>
    <t xml:space="preserve">Ruth Goyzueta Valencia </t>
  </si>
  <si>
    <t>rmgvalencia@hotmail.com</t>
  </si>
  <si>
    <t xml:space="preserve">Isabel Cecilia granza toro </t>
  </si>
  <si>
    <t>EL AGUSTINO</t>
  </si>
  <si>
    <t>951 684 925</t>
  </si>
  <si>
    <t>BCP EPP</t>
  </si>
  <si>
    <t>Ana Isabel Tello granza</t>
  </si>
  <si>
    <t>FRANCIS GARCÍA ARISTA</t>
  </si>
  <si>
    <t>ROLANDO</t>
  </si>
  <si>
    <t>Total Registrados</t>
  </si>
  <si>
    <t>Total Cupos</t>
  </si>
  <si>
    <t>Cupos Libres</t>
  </si>
  <si>
    <t>Total Venta Fecha</t>
  </si>
  <si>
    <t>Venta Final Fecha</t>
  </si>
  <si>
    <t>Anthony Molina Heredia</t>
  </si>
  <si>
    <t>anthony.molinah@gmail.com</t>
  </si>
  <si>
    <t>VMT</t>
  </si>
  <si>
    <t>968 358 245</t>
  </si>
  <si>
    <t>PAGO POR SEPARADO EL 02/12 Y 19/12</t>
  </si>
  <si>
    <t>Rodrigo Bustamante Moquillaza</t>
  </si>
  <si>
    <t>Roodj88@gmail.com</t>
  </si>
  <si>
    <t>SURQUILLO</t>
  </si>
  <si>
    <t>995 586 556</t>
  </si>
  <si>
    <t>Philip Wenter Bustamante</t>
  </si>
  <si>
    <t>Sebastian Matias Prada Fernandez</t>
  </si>
  <si>
    <t>Matias_pf_21@hotmail.com</t>
  </si>
  <si>
    <t>LA VICTORIA</t>
  </si>
  <si>
    <t>954 532 968</t>
  </si>
  <si>
    <t>CPMPLETO PAGO EL 09/01</t>
  </si>
  <si>
    <t>09594474</t>
  </si>
  <si>
    <t>Jorge Fernandez Huaman</t>
  </si>
  <si>
    <t>Miguel Ángel Requiz Alanís</t>
  </si>
  <si>
    <t>Miguel.requiz10@gmail.com</t>
  </si>
  <si>
    <t>975 575 476</t>
  </si>
  <si>
    <t>Carlos Miguel Olivares Pérez</t>
  </si>
  <si>
    <t>CHICLAYO</t>
  </si>
  <si>
    <t xml:space="preserve">Aldo Augusto Di liberto Roldán </t>
  </si>
  <si>
    <t>aldodilibertoroldan@gmail.com</t>
  </si>
  <si>
    <t>CHORRILLOS</t>
  </si>
  <si>
    <t>Yames Vicente di liberto Roldán</t>
  </si>
  <si>
    <t>Enrique Raynor La Torre Alarcón</t>
  </si>
  <si>
    <t>enriquelta169@gmail.com</t>
  </si>
  <si>
    <t>SAN BORJA</t>
  </si>
  <si>
    <t>966 922 334</t>
  </si>
  <si>
    <t>rafaelurbi24@gmail.com</t>
  </si>
  <si>
    <t>927 235 029</t>
  </si>
  <si>
    <t>PAGO 2 CLASES EL 30/12</t>
  </si>
  <si>
    <t>Pierre Neyra</t>
  </si>
  <si>
    <t>pierre.neyrape@gmail.com</t>
  </si>
  <si>
    <t>MIRAFLORES</t>
  </si>
  <si>
    <t xml:space="preserve"> 954 134 851</t>
  </si>
  <si>
    <t>Marieta Calderon</t>
  </si>
  <si>
    <t>marietacristina@hotmail.com</t>
  </si>
  <si>
    <t>Sergio Jesús Casas Arroyo</t>
  </si>
  <si>
    <t>Villa María del Triunfo</t>
  </si>
  <si>
    <t>kevin alarico cieza</t>
  </si>
  <si>
    <t xml:space="preserve">kevinalarico@gmail.com </t>
  </si>
  <si>
    <t>SMP</t>
  </si>
  <si>
    <t>Juan Carlos Bustamante Merino</t>
  </si>
  <si>
    <t xml:space="preserve">Juanca.busta.mer09@gmail.com </t>
  </si>
  <si>
    <t>08870972</t>
  </si>
  <si>
    <t xml:space="preserve">José Martin Quineche Sánchez </t>
  </si>
  <si>
    <t>martinj_98@hotmail.com</t>
  </si>
  <si>
    <t>Callao</t>
  </si>
  <si>
    <t>997 126 675</t>
  </si>
  <si>
    <t>Deivy wilson rios anco</t>
  </si>
  <si>
    <t xml:space="preserve">Wilsonuni@gmail.com </t>
  </si>
  <si>
    <t>SAN LUIS</t>
  </si>
  <si>
    <t>936 613 646</t>
  </si>
  <si>
    <t>⁠45526454</t>
  </si>
  <si>
    <t>David Guardia Menendez</t>
  </si>
  <si>
    <t>⁠guardiamd@gmail.com</t>
  </si>
  <si>
    <t>987 760 144</t>
  </si>
  <si>
    <t>Lourdes Franco Vidal</t>
  </si>
  <si>
    <t>Jorge Araujo</t>
  </si>
  <si>
    <t>Jorgearaujo13@hotmail.com</t>
  </si>
  <si>
    <t>José Ernesto Rodríguez Marcelo</t>
  </si>
  <si>
    <t>breña</t>
  </si>
  <si>
    <t>María Quiroga</t>
  </si>
  <si>
    <t>marijo51290@gmail.com</t>
  </si>
  <si>
    <t>Carlos Gil</t>
  </si>
  <si>
    <t xml:space="preserve">Diego Miletich </t>
  </si>
  <si>
    <t>patriciaarz@yahoo.es</t>
  </si>
  <si>
    <t>san miguel</t>
  </si>
  <si>
    <t xml:space="preserve">Mirko Miletich </t>
  </si>
  <si>
    <t>Manuel Mori Mideyros</t>
  </si>
  <si>
    <t>j.chefmori@gmail.com</t>
  </si>
  <si>
    <t>SAN MARTIN</t>
  </si>
  <si>
    <t>945 841 782</t>
  </si>
  <si>
    <t>003012946</t>
  </si>
  <si>
    <t xml:space="preserve">Ambioris Peña </t>
  </si>
  <si>
    <t>ambiorisellince@gmail.com</t>
  </si>
  <si>
    <t>940 114 314</t>
  </si>
  <si>
    <t>Walter Castro vargas</t>
  </si>
  <si>
    <t>waltercv2002@hotmail.com</t>
  </si>
  <si>
    <t>Walter Castro Ugarte</t>
  </si>
  <si>
    <t xml:space="preserve">Ivan Irwin Espinoza Revolo </t>
  </si>
  <si>
    <t>Guadalupe Ivana Tarazona Velarde</t>
  </si>
  <si>
    <t>Carlos Meza Gamero</t>
  </si>
  <si>
    <t xml:space="preserve">bertha_gamboa@yahoo.com </t>
  </si>
  <si>
    <t>Ica</t>
  </si>
  <si>
    <t>956 683 082</t>
  </si>
  <si>
    <t>RODOLFO Vladimir Cajahuanca Ydone</t>
  </si>
  <si>
    <t>ATE</t>
  </si>
  <si>
    <t>955 854 644</t>
  </si>
  <si>
    <t>01216344</t>
  </si>
  <si>
    <t>Zhituo Wang</t>
  </si>
  <si>
    <t>zhituobanco@gmail.com</t>
  </si>
  <si>
    <t>978 839 327</t>
  </si>
  <si>
    <t>BBVA JL</t>
  </si>
  <si>
    <t>PAGO QR</t>
  </si>
  <si>
    <t>Alvaro Macuri</t>
  </si>
  <si>
    <t>Miguel Angel Romero quero</t>
  </si>
  <si>
    <t>zeepaciente@gmail.com</t>
  </si>
  <si>
    <t>LA MOLINA</t>
  </si>
  <si>
    <t>902 090 772</t>
  </si>
  <si>
    <t>Miguel arellano chunga</t>
  </si>
  <si>
    <t>marellanoch@gmail.com</t>
  </si>
  <si>
    <t>Angel Gonzales Ramos</t>
  </si>
  <si>
    <t>María Fernanda Ushiñahua Meza</t>
  </si>
  <si>
    <r>
      <rPr>
        <color rgb="FF1155CC"/>
        <u/>
      </rPr>
      <t>mariafeushi.94@gmail.com</t>
    </r>
  </si>
  <si>
    <t>CINEGUILLA</t>
  </si>
  <si>
    <t>955 468 683</t>
  </si>
  <si>
    <t>Jonathan Donovan Choquehuanca Condori</t>
  </si>
  <si>
    <r>
      <rPr>
        <color rgb="FF1155CC"/>
        <u/>
      </rPr>
      <t>mariafeushi.94@gmail.com</t>
    </r>
  </si>
  <si>
    <t>Juan Edgar Tito Cornejo</t>
  </si>
  <si>
    <r>
      <rPr>
        <color rgb="FF1155CC"/>
        <u/>
      </rPr>
      <t>liliana.benitoz@gmail.com</t>
    </r>
  </si>
  <si>
    <t>SANTA ANITA</t>
  </si>
  <si>
    <t xml:space="preserve"> 993 793 101</t>
  </si>
  <si>
    <t xml:space="preserve">Liliana Benito Zurita
</t>
  </si>
  <si>
    <r>
      <rPr>
        <color rgb="FF1155CC"/>
        <u/>
      </rPr>
      <t>liliana.benitoz@gmail.com</t>
    </r>
  </si>
  <si>
    <t>Alexander Platero Mamani</t>
  </si>
  <si>
    <t>Alexanderplatero200q@gmail.com</t>
  </si>
  <si>
    <t xml:space="preserve"> Mariana Barrera Cravero</t>
  </si>
  <si>
    <r>
      <rPr>
        <rFont val="&quot;PT Sans&quot;, Arial, sans-serif"/>
        <color rgb="FF1155CC"/>
        <sz val="11.0"/>
        <u/>
      </rPr>
      <t>marianabarrera@yahoo.com</t>
    </r>
  </si>
  <si>
    <t>995 745 088</t>
  </si>
  <si>
    <t>Juan Carlos Achiri Ccapa</t>
  </si>
  <si>
    <r>
      <rPr>
        <color rgb="FF1155CC"/>
        <u/>
      </rPr>
      <t>Juan.carlos.achiri@gmail.com</t>
    </r>
  </si>
  <si>
    <t>COMAS</t>
  </si>
  <si>
    <t>964 322 942</t>
  </si>
  <si>
    <t>Daniel Gómez Muñante</t>
  </si>
  <si>
    <t>*07200287</t>
  </si>
  <si>
    <t>Flor de maria vega zapata</t>
  </si>
  <si>
    <t>San borja</t>
  </si>
  <si>
    <t>JOSUE DEL VALLE</t>
  </si>
  <si>
    <t xml:space="preserve"> BB2</t>
  </si>
  <si>
    <t>Alan Paul Otiniano Azahuanche</t>
  </si>
  <si>
    <t>apoa315@hotmail.com</t>
  </si>
  <si>
    <t xml:space="preserve"> 949 271 885</t>
  </si>
  <si>
    <t>09954438</t>
  </si>
  <si>
    <t>Walter Peralta</t>
  </si>
  <si>
    <t>Carolina.velosa@icloud.com</t>
  </si>
  <si>
    <t>987 737 748</t>
  </si>
  <si>
    <t>Jonathan Marrou</t>
  </si>
  <si>
    <t>Jonathan.marrou@gmail.com</t>
  </si>
  <si>
    <t>FB</t>
  </si>
  <si>
    <t>Ricardo Marrou</t>
  </si>
  <si>
    <t>Ricardo.jonico@gmail.com</t>
  </si>
  <si>
    <t>Ivan Salsavilca Faustino</t>
  </si>
  <si>
    <t>ivansalsavilca@gmail.com</t>
  </si>
  <si>
    <t xml:space="preserve">Nicolas Gámez </t>
  </si>
  <si>
    <t>Nicogamez1008@gmail.com</t>
  </si>
  <si>
    <t>Chorrillos</t>
  </si>
  <si>
    <t>924 714 156</t>
  </si>
  <si>
    <t>COMPLETARA  PAGO 04/01</t>
  </si>
  <si>
    <t>Manuel Buendia</t>
  </si>
  <si>
    <t>Mbuendia4@gmail.com</t>
  </si>
  <si>
    <t>961 082 768</t>
  </si>
  <si>
    <t>Liselle Prieto</t>
  </si>
  <si>
    <t>Lisibuendia28@gmail.com</t>
  </si>
  <si>
    <t>Sandro León Anfossi</t>
  </si>
  <si>
    <t>luciapari87@outlook.com</t>
  </si>
  <si>
    <t>957 799 157</t>
  </si>
  <si>
    <t>REPROGRAMACIÓN</t>
  </si>
  <si>
    <t>Willy rabanal calderon</t>
  </si>
  <si>
    <t>Rabanalwilly@gmail.com</t>
  </si>
  <si>
    <t>991 049 152</t>
  </si>
  <si>
    <t>Bryan Ochoa Salas</t>
  </si>
  <si>
    <t>bochoa@pucp.pe</t>
  </si>
  <si>
    <t>Breña</t>
  </si>
  <si>
    <t>917 880 991</t>
  </si>
  <si>
    <t>Néstor Walter Villegas Macedo</t>
  </si>
  <si>
    <t>nestor_vm1994@hotmail.com</t>
  </si>
  <si>
    <t>Lince</t>
  </si>
  <si>
    <t>Carlos Cuadra Macedo</t>
  </si>
  <si>
    <t>carlonchocuadra@gmail.com</t>
  </si>
  <si>
    <t>Franco Daniel Delzo Cuyubamba</t>
  </si>
  <si>
    <r>
      <rPr>
        <color rgb="FF000000"/>
        <u/>
      </rPr>
      <t>Delzofranco@gmail.com</t>
    </r>
  </si>
  <si>
    <t xml:space="preserve">San Miguel </t>
  </si>
  <si>
    <t>Pilar coveñas Ramos</t>
  </si>
  <si>
    <t>naturaquimi@gmail.com</t>
  </si>
  <si>
    <t>965 713 303</t>
  </si>
  <si>
    <t>carlos ore yufre</t>
  </si>
  <si>
    <r>
      <rPr>
        <rFont val="inherit"/>
        <color rgb="FF1155CC"/>
        <u/>
      </rPr>
      <t>carlosyufre29@gmail.com</t>
    </r>
  </si>
  <si>
    <t>los olivos</t>
  </si>
  <si>
    <t xml:space="preserve">Jesús Amir Huaccho Hidalgo
</t>
  </si>
  <si>
    <r>
      <rPr>
        <color rgb="FF1155CC"/>
        <u/>
      </rPr>
      <t>ruthm_hidalgo@hotmail.com</t>
    </r>
  </si>
  <si>
    <t>996 757 353</t>
  </si>
  <si>
    <t xml:space="preserve">Marco Antonio Escobar Nolazco </t>
  </si>
  <si>
    <t>escobar010201@gmail.com</t>
  </si>
  <si>
    <t>926 468 622</t>
  </si>
  <si>
    <t>David Sánchez Calle</t>
  </si>
  <si>
    <t>davsan82@hotmail.com</t>
  </si>
  <si>
    <t>973 110 496</t>
  </si>
  <si>
    <t>Carmen Casana López</t>
  </si>
  <si>
    <t>crcl83@hotmail.com</t>
  </si>
  <si>
    <t>Mariano Sánchez Casana</t>
  </si>
  <si>
    <t>davsan82@gmail.com</t>
  </si>
  <si>
    <t>Pavel N. Paredes Diaz</t>
  </si>
  <si>
    <r>
      <rPr>
        <color rgb="FF1155CC"/>
        <u/>
      </rPr>
      <t>Pavelpadiaz@gmail.com</t>
    </r>
  </si>
  <si>
    <t>Pisco</t>
  </si>
  <si>
    <t>969 732 961</t>
  </si>
  <si>
    <t>Luis Alberto cavero alvites</t>
  </si>
  <si>
    <t>Edgar Lenin Hernandez Ore</t>
  </si>
  <si>
    <t>Gustavo Córdova nieto</t>
  </si>
  <si>
    <t>gustavocordova2015@gmail.com</t>
  </si>
  <si>
    <t>912 909 308</t>
  </si>
  <si>
    <t>06967251</t>
  </si>
  <si>
    <t xml:space="preserve"> Aldo Viacava Nájera</t>
  </si>
  <si>
    <t>aldoviacava@msn.com</t>
  </si>
  <si>
    <t>999 207 109</t>
  </si>
  <si>
    <t>Aldo Renzo Viacaa Benavides</t>
  </si>
  <si>
    <t>aldoviacava00@outlook.com</t>
  </si>
  <si>
    <t>09033925</t>
  </si>
  <si>
    <t>EDGAR PANDURO</t>
  </si>
  <si>
    <t>ELPY1967@GMAIL.COM</t>
  </si>
  <si>
    <t>CAÑETE</t>
  </si>
  <si>
    <t>943 368 377</t>
  </si>
  <si>
    <t>Jandir Rivera Quispe</t>
  </si>
  <si>
    <t>jandir.rivera10@gmail.com</t>
  </si>
  <si>
    <t>San Bartolo</t>
  </si>
  <si>
    <t xml:space="preserve">Edu Escobedo Yalico </t>
  </si>
  <si>
    <t>Fernanda Yalico Canchari</t>
  </si>
  <si>
    <t>Nico Suárez Loayza</t>
  </si>
  <si>
    <t>Fritz puente</t>
  </si>
  <si>
    <r>
      <rPr>
        <rFont val="&quot;PT Sans&quot;, Arial, sans-serif"/>
        <color rgb="FF1155CC"/>
        <sz val="11.0"/>
        <u/>
      </rPr>
      <t>fritz_jairo@hotmail</t>
    </r>
    <r>
      <rPr>
        <rFont val="&quot;PT Sans&quot;, Arial, sans-serif"/>
        <color rgb="FF363B44"/>
        <sz val="11.0"/>
      </rPr>
      <t xml:space="preserve"> .com</t>
    </r>
  </si>
  <si>
    <t>Los olivos</t>
  </si>
  <si>
    <t xml:space="preserve"> 966 505 141</t>
  </si>
  <si>
    <t>Abdul Kazan Espinoza Guerra</t>
  </si>
  <si>
    <t>Ka.carmed@gmail.com</t>
  </si>
  <si>
    <t>RIMAC</t>
  </si>
  <si>
    <t>970 345 673</t>
  </si>
  <si>
    <t>Camila Alexandra Vega Tocto</t>
  </si>
  <si>
    <t>camilavegatocto2102@gmail.com</t>
  </si>
  <si>
    <t>979 898 493</t>
  </si>
  <si>
    <t>Juan Alfonso Vega Tocto</t>
  </si>
  <si>
    <t>juanvt667@gmail.com</t>
  </si>
  <si>
    <t xml:space="preserve">     Danny Simon Gonzales</t>
  </si>
  <si>
    <t xml:space="preserve">   Ronald Guerrero Romero</t>
  </si>
  <si>
    <t xml:space="preserve">Nestor Hugo Caceres Rosa
</t>
  </si>
  <si>
    <t>caceresnestor869@gmail.com</t>
  </si>
  <si>
    <t>952 880 580</t>
  </si>
  <si>
    <t>⁠48272392</t>
  </si>
  <si>
    <t>Samir Edu fiestas huamanchumo</t>
  </si>
  <si>
    <t>samir010512@gmail.com</t>
  </si>
  <si>
    <t>Samuel pariona</t>
  </si>
  <si>
    <t>Samuel.pariona@urp.edu.pe</t>
  </si>
  <si>
    <t>Edwin pariona</t>
  </si>
  <si>
    <t>San Miguel</t>
  </si>
  <si>
    <t>Ricardo Pando Córdova</t>
  </si>
  <si>
    <t>lima</t>
  </si>
  <si>
    <t>Mihel La Torre Alarcon</t>
  </si>
  <si>
    <t>Latorremihel@gmail.com</t>
  </si>
  <si>
    <t>932 340 383</t>
  </si>
  <si>
    <t xml:space="preserve">Rubí Jiménez picoy </t>
  </si>
  <si>
    <t>Elias Campos Sanchez.</t>
  </si>
  <si>
    <t xml:space="preserve">Joao Solís Talaverano </t>
  </si>
  <si>
    <t xml:space="preserve">Spawn.st41@gmail.com </t>
  </si>
  <si>
    <t>AYACUCHO</t>
  </si>
  <si>
    <t>932 006 620</t>
  </si>
  <si>
    <t xml:space="preserve">Cisneros Montes de Oca </t>
  </si>
  <si>
    <t>sergio14_14@hotmail.com</t>
  </si>
  <si>
    <t>Nazaret judith abad zarco</t>
  </si>
  <si>
    <t>Nazaret_abad@hotmail.com</t>
  </si>
  <si>
    <t>SAN MIGUEL</t>
  </si>
  <si>
    <t>976 096 059</t>
  </si>
  <si>
    <t xml:space="preserve"> Rubén Abad Zarco </t>
  </si>
  <si>
    <t>Anderson Achata</t>
  </si>
  <si>
    <t>andersonachata@gmail.com</t>
  </si>
  <si>
    <t>913 872 010</t>
  </si>
  <si>
    <t>Danilo Fernando Yánac Talaverano</t>
  </si>
  <si>
    <t>Dyanact@gmail.com</t>
  </si>
  <si>
    <t>LOS OLIVOS</t>
  </si>
  <si>
    <t>949 727 949</t>
  </si>
  <si>
    <t>Rolando Farfán Gutiérrez</t>
  </si>
  <si>
    <t>Rolandofarfang@gmail.com</t>
  </si>
  <si>
    <t>CERCADO</t>
  </si>
  <si>
    <t>999 143 296</t>
  </si>
  <si>
    <t>validado en diciembre, costo reprogramacion</t>
  </si>
  <si>
    <t>LUIGGI VIGO PESANTES</t>
  </si>
  <si>
    <t>luiggijvp@gmail.com</t>
  </si>
  <si>
    <t>PUEBLO LIBRE</t>
  </si>
  <si>
    <t>Jorge Aguinaga Alvites</t>
  </si>
  <si>
    <r>
      <rPr>
        <color rgb="FF000000"/>
        <u/>
      </rPr>
      <t>jorge.aguinaga@gmail.com</t>
    </r>
  </si>
  <si>
    <t xml:space="preserve">San miguel </t>
  </si>
  <si>
    <t>cobrar 17</t>
  </si>
  <si>
    <t>CANCELO EN SU BB1 EL 11/01</t>
  </si>
  <si>
    <t>Manuel Grados Morales</t>
  </si>
  <si>
    <t>manuel.grados.gm@gmail.com</t>
  </si>
  <si>
    <t>954 580 454</t>
  </si>
  <si>
    <t>Jonathan Ramírez Flor</t>
  </si>
  <si>
    <t>joramirezf@hotmail.com</t>
  </si>
  <si>
    <t>JESUS MARIA</t>
  </si>
  <si>
    <t xml:space="preserve">Jaime Raúl Santa Cruz Culquicondor </t>
  </si>
  <si>
    <t>Jaimesantacruz2306@gmail.com</t>
  </si>
  <si>
    <t>HUARAL</t>
  </si>
  <si>
    <t>998 341 966</t>
  </si>
  <si>
    <t xml:space="preserve">Ricardo Francisco Florian </t>
  </si>
  <si>
    <t>francisco.rm@pucp.pe</t>
  </si>
  <si>
    <t>986 601 138</t>
  </si>
  <si>
    <t>Manuel Francisco Davalos</t>
  </si>
  <si>
    <t>Cesar La Rosa-Sánchez Cordero</t>
  </si>
  <si>
    <r>
      <rPr>
        <color rgb="FF1155CC"/>
        <u/>
      </rPr>
      <t>cesarlarosa_20@yahoo.com.pe</t>
    </r>
  </si>
  <si>
    <t xml:space="preserve"> Alexander Zambrano Vizcarra</t>
  </si>
  <si>
    <t xml:space="preserve"> San Juan de Miraflores </t>
  </si>
  <si>
    <t xml:space="preserve">Fabricio Urbina Zambrano </t>
  </si>
  <si>
    <t xml:space="preserve">Carlos Eduardo Cumpa alayo </t>
  </si>
  <si>
    <t>San Juan de lurigancho</t>
  </si>
  <si>
    <t xml:space="preserve">Juan Augusto Arrunátegui Paiva </t>
  </si>
  <si>
    <t>arrunateguijuan@gmail.com</t>
  </si>
  <si>
    <t>Pueblo  Libre</t>
  </si>
  <si>
    <t xml:space="preserve">César Augusto Arrunátegui Vásquez </t>
  </si>
  <si>
    <t>Pueblo libre</t>
  </si>
  <si>
    <t>Anthony Giancarlos rios agesto</t>
  </si>
  <si>
    <r>
      <rPr>
        <color rgb="FF000000"/>
        <u/>
      </rPr>
      <t>gian.agesto.tkm@gmail.com</t>
    </r>
  </si>
  <si>
    <t xml:space="preserve">Huacho </t>
  </si>
  <si>
    <t>DAVID DANIEL ECOS BENAVIDES</t>
  </si>
  <si>
    <r>
      <rPr>
        <color rgb="FF000000"/>
        <u/>
      </rPr>
      <t>david.ecos@icloud.com</t>
    </r>
  </si>
  <si>
    <t>923 335 713</t>
  </si>
  <si>
    <t>ALEXIS FABIAN SANTA CRUZ QUILLAY</t>
  </si>
  <si>
    <t>santacruzalexis950@gmail.com</t>
  </si>
  <si>
    <t>*09493577</t>
  </si>
  <si>
    <t xml:space="preserve">MARCO DEL CASTILLO RUIZ CARO </t>
  </si>
  <si>
    <t>MMDCRC@HOTMAIL.COM</t>
  </si>
  <si>
    <t>Gerson Alejandro Nogueyra Saldarriaga</t>
  </si>
  <si>
    <t>ng.producciones.art@gmail.com</t>
  </si>
  <si>
    <t>923 677 984</t>
  </si>
  <si>
    <t>PAGARA EN CLASE DE CYC 18/01</t>
  </si>
  <si>
    <t>ROSARIO TRUJILLO HIGINIO</t>
  </si>
  <si>
    <t>ALFREDO LOZADA FERNANDEZ</t>
  </si>
  <si>
    <t xml:space="preserve">Carlos sucasaca Vargas </t>
  </si>
  <si>
    <t>Carlossucasaca@gmail.com</t>
  </si>
  <si>
    <t>san Juan de Miraflores</t>
  </si>
  <si>
    <t>(347) 592-6379</t>
  </si>
  <si>
    <t>LINK-CULQUI</t>
  </si>
  <si>
    <t>CANCELO 50 DOLARES</t>
  </si>
  <si>
    <t>Jonathan Ivan Espinoza Ruiz</t>
  </si>
  <si>
    <t>Marleny Quispe Vilca</t>
  </si>
  <si>
    <t>*005367250</t>
  </si>
  <si>
    <t>Andres valencia muñoz</t>
  </si>
  <si>
    <t>Kevinandresvalenciamunoz@gmail.com</t>
  </si>
  <si>
    <t>La Molina</t>
  </si>
  <si>
    <t xml:space="preserve">Carlos Zuñiga Cabrera </t>
  </si>
  <si>
    <t>carlosazunigacabrera@gmail.com</t>
  </si>
  <si>
    <t xml:space="preserve">Jesus Maria </t>
  </si>
  <si>
    <t xml:space="preserve">964 850 682 </t>
  </si>
  <si>
    <t xml:space="preserve">06532689, </t>
  </si>
  <si>
    <t xml:space="preserve">Mack Alexis Flores Chalco, </t>
  </si>
  <si>
    <t xml:space="preserve">alexisflores1973@gmail.com </t>
  </si>
  <si>
    <t xml:space="preserve">Miraflores, </t>
  </si>
  <si>
    <t>pago 50%</t>
  </si>
  <si>
    <t>Jheff Alfredo Laura Martínez</t>
  </si>
  <si>
    <t>simplementejheff@gmail.com</t>
  </si>
  <si>
    <t>954 088 624</t>
  </si>
  <si>
    <t>Tessy Tairo Cerrón</t>
  </si>
  <si>
    <t xml:space="preserve"> tessy.tairo6@gmail.com</t>
  </si>
  <si>
    <t>Julio Silverio Moreno Ruiz</t>
  </si>
  <si>
    <t>magne978@gmail.com</t>
  </si>
  <si>
    <t>Ate</t>
  </si>
  <si>
    <t xml:space="preserve">John Ronald Alvarez Achaquihui
</t>
  </si>
  <si>
    <r>
      <rPr>
        <rFont val="inherit"/>
        <color rgb="FF1155CC"/>
        <u/>
      </rPr>
      <t>aronalito@gmail.com</t>
    </r>
  </si>
  <si>
    <t>Michael Jonathan Yaya Gutierrez</t>
  </si>
  <si>
    <t>Esteban Camarena Seminario</t>
  </si>
  <si>
    <t>esteban.camarena.stevejobs@gmail.com</t>
  </si>
  <si>
    <t>CE 009160780</t>
  </si>
  <si>
    <t>Patricio Pablo Rojas Salgado</t>
  </si>
  <si>
    <t>Pablorojas30@hotmail.com</t>
  </si>
  <si>
    <t>936 950 655</t>
  </si>
  <si>
    <t>Eder Genaro Estrada Montañez</t>
  </si>
  <si>
    <t>eder16221@gmail.com</t>
  </si>
  <si>
    <t>pago para el 31 tmb</t>
  </si>
  <si>
    <t>Victor Caballero</t>
  </si>
  <si>
    <t>victorcaballeror@gmail.com</t>
  </si>
  <si>
    <t>san Borja</t>
  </si>
  <si>
    <t>Carlos Matias Chico</t>
  </si>
  <si>
    <t>Rosa.chico@telrad.pe</t>
  </si>
  <si>
    <t>970 180 581</t>
  </si>
  <si>
    <t>Joaquin Matias Chico</t>
  </si>
  <si>
    <t>Matiaschicojoaquin@gmail.com</t>
  </si>
  <si>
    <t xml:space="preserve">José Andrés Ventura Panta </t>
  </si>
  <si>
    <t>Karina.chz@hotmail.com</t>
  </si>
  <si>
    <t>960 258 096</t>
  </si>
  <si>
    <t>ADQUIEREN 2 CURSOS</t>
  </si>
  <si>
    <t>004684587</t>
  </si>
  <si>
    <t>Anna Karina Colmenares Hernández</t>
  </si>
  <si>
    <t>Lissete Hinojosa Quiroz</t>
  </si>
  <si>
    <t>Christiam Vasquez</t>
  </si>
  <si>
    <t>Diana Honores</t>
  </si>
  <si>
    <t>Gustavo Alfredo Anchante Chacaltana</t>
  </si>
  <si>
    <t>Lizet De Guadalupe Roque Coronado</t>
  </si>
  <si>
    <t>Pedro Raúl Artemio Alfaro Torres</t>
  </si>
  <si>
    <t>EDWARD GALLO TORRES</t>
  </si>
  <si>
    <t>edwardgallo.309@gmail.com</t>
  </si>
  <si>
    <t>LA PERLA - CALLAO</t>
  </si>
  <si>
    <t>KATHERINE ZUNICO FLORES</t>
  </si>
  <si>
    <t>kattyzunicoflores@gmail.com</t>
  </si>
  <si>
    <t>Massiel Karolina Ayala Guerra</t>
  </si>
  <si>
    <t>Percy Alonso Alama Porras</t>
  </si>
  <si>
    <t>betty2535@hotmail.com</t>
  </si>
  <si>
    <t>995 747 995</t>
  </si>
  <si>
    <t>CAMILA MAYHUA ALVARADO</t>
  </si>
  <si>
    <t xml:space="preserve">Omar Bruno Guillén Sánchez </t>
  </si>
  <si>
    <t>brunohuarcaya2@gmail.com</t>
  </si>
  <si>
    <t>SJM</t>
  </si>
  <si>
    <t>wilbert palomino</t>
  </si>
  <si>
    <t xml:space="preserve">wpa.rocaalta@gmail.com </t>
  </si>
  <si>
    <t>El Agustino</t>
  </si>
  <si>
    <t>RENZO CHAVEZ</t>
  </si>
  <si>
    <t>ALEJANDRO CHAUCA</t>
  </si>
  <si>
    <t>J</t>
  </si>
  <si>
    <t>PAGARA EN SU CLASE 25/01</t>
  </si>
  <si>
    <t>reprogramo para el 07/02</t>
  </si>
  <si>
    <r>
      <rPr>
        <rFont val="inherit"/>
        <color rgb="FF000000"/>
        <u/>
      </rPr>
      <t>carlosyufre29@gmail.com</t>
    </r>
  </si>
  <si>
    <t xml:space="preserve">PAGO EL 17 </t>
  </si>
  <si>
    <t>Irene Delma Calderón Marcos</t>
  </si>
  <si>
    <t>irene_delma11@hotmail.com</t>
  </si>
  <si>
    <t>982 593 099</t>
  </si>
  <si>
    <t>LLEVARA 2 CURSOS, COBRAR LO RESTANTE</t>
  </si>
  <si>
    <t xml:space="preserve">ya pago x 2 clases </t>
  </si>
  <si>
    <t>pagara  el 25</t>
  </si>
  <si>
    <t xml:space="preserve">Juan Valencia León </t>
  </si>
  <si>
    <t xml:space="preserve"> jvl.juanvalencialeon@gmail.com</t>
  </si>
  <si>
    <t>962 075 283</t>
  </si>
  <si>
    <t>Raul plácido Villavicencio torre</t>
  </si>
  <si>
    <t xml:space="preserve"> rpvillavicencio@hotmail.com</t>
  </si>
  <si>
    <t xml:space="preserve"> 948 310 299</t>
  </si>
  <si>
    <t>Raul Ricardo Villavicencio Cabrera</t>
  </si>
  <si>
    <t>César Domínguez Añanca</t>
  </si>
  <si>
    <t>serfafain.sac@hotmail.com</t>
  </si>
  <si>
    <t>reprogramacion 28 febrero</t>
  </si>
  <si>
    <t>Jimmy Joel lizarzaburu martel</t>
  </si>
  <si>
    <t>Jimmijoel123@hotmail.com</t>
  </si>
  <si>
    <t>Huacho</t>
  </si>
  <si>
    <t>40 767009</t>
  </si>
  <si>
    <t>Angela Geraldine quiñones granados</t>
  </si>
  <si>
    <t>*08537300</t>
  </si>
  <si>
    <t>Fabio Martin Vilca Romero</t>
  </si>
  <si>
    <t>vrmartin1966@gmail.com</t>
  </si>
  <si>
    <t>Pueblo Libre</t>
  </si>
  <si>
    <t>998 177 293</t>
  </si>
  <si>
    <t>⁠15434915</t>
  </si>
  <si>
    <t>Alicia Ysabel Huaman Álvarez</t>
  </si>
  <si>
    <t>4. ⁠omar_antonio_2015@hotmail.com</t>
  </si>
  <si>
    <t>Surco</t>
  </si>
  <si>
    <t>970 363 381</t>
  </si>
  <si>
    <t>Jesús Ángel Ramos Salas</t>
  </si>
  <si>
    <t>ramossalasjesus@gmail.com</t>
  </si>
  <si>
    <t>Villa el Salvador</t>
  </si>
  <si>
    <t>987 351 312</t>
  </si>
  <si>
    <t>Nikola Vera Torres</t>
  </si>
  <si>
    <t>Nikolavera26@gmail.com</t>
  </si>
  <si>
    <t>938 375 442</t>
  </si>
  <si>
    <t>Megan Vera Tapia</t>
  </si>
  <si>
    <t>Santiago Alex Loayza Briceño</t>
  </si>
  <si>
    <t>saloayzab@gmail.com</t>
  </si>
  <si>
    <t xml:space="preserve">Trujillo </t>
  </si>
  <si>
    <t>942 839 138</t>
  </si>
  <si>
    <t>José Freundt Montoya</t>
  </si>
  <si>
    <t>Je.freundt@hotmail.com</t>
  </si>
  <si>
    <t>944 368 518</t>
  </si>
  <si>
    <t>Mercy Apaza Cayó</t>
  </si>
  <si>
    <t>mercyapazacayod@gmail.com</t>
  </si>
  <si>
    <t>982 022 591</t>
  </si>
  <si>
    <t>*08057676</t>
  </si>
  <si>
    <t>Cornelio ortiz jaimes</t>
  </si>
  <si>
    <t>cimacorsac@hotmail.com</t>
  </si>
  <si>
    <t>Puente Piedra</t>
  </si>
  <si>
    <t xml:space="preserve"> JUAN DIEGO ALBINO RAMOS</t>
  </si>
  <si>
    <t>4. jdalbinoramos@gmail.com</t>
  </si>
  <si>
    <t>santiago de surco</t>
  </si>
  <si>
    <t xml:space="preserve"> ⁠43278388</t>
  </si>
  <si>
    <t>Michael Parraga</t>
  </si>
  <si>
    <t>michael.parraga@gmail.com</t>
  </si>
  <si>
    <t>miraflores</t>
  </si>
  <si>
    <t>Luis Manuel villa solis</t>
  </si>
  <si>
    <t>lvillasolis@gmail.com</t>
  </si>
  <si>
    <t>997 788 156</t>
  </si>
  <si>
    <t>Leonel villa abril</t>
  </si>
  <si>
    <t>MENOR DE 8 AÑOS</t>
  </si>
  <si>
    <t>Diana Vicuña</t>
  </si>
  <si>
    <t>surco</t>
  </si>
  <si>
    <t>Franco Leon</t>
  </si>
  <si>
    <t>Miguel Nicho Pacheco</t>
  </si>
  <si>
    <t>smp</t>
  </si>
  <si>
    <t>4295 3767</t>
  </si>
  <si>
    <t>Jose Elías López Acostupa</t>
  </si>
  <si>
    <t>Joseelíaslopezacostupa@gmail.com</t>
  </si>
  <si>
    <t>Miraflores</t>
  </si>
  <si>
    <t>MARCO ANTONIO PRADO VALERA</t>
  </si>
  <si>
    <t xml:space="preserve">Héctor paul peña ajalcriña </t>
  </si>
  <si>
    <t>Hectorpaul_18@hotmail.com</t>
  </si>
  <si>
    <t xml:space="preserve">Pueblo libre </t>
  </si>
  <si>
    <t xml:space="preserve"> 955 737 238</t>
  </si>
  <si>
    <t>Jose Luis Ñahui Ñiquen</t>
  </si>
  <si>
    <t>Jnahuiniquen@gmail.com</t>
  </si>
  <si>
    <t>948 714 975</t>
  </si>
  <si>
    <t>Gino Garamendi</t>
  </si>
  <si>
    <t>Edson Palomino Santillan</t>
  </si>
  <si>
    <t>08163189</t>
  </si>
  <si>
    <t>Rossana Casella</t>
  </si>
  <si>
    <t>rossanacasellav@hotmail.com</t>
  </si>
  <si>
    <t>990 040 557</t>
  </si>
  <si>
    <t>PROMO 2 CURSOS AFI</t>
  </si>
  <si>
    <t>08139122</t>
  </si>
  <si>
    <t>Danilo Véliz</t>
  </si>
  <si>
    <t>dmvelizs@hotmail.com</t>
  </si>
  <si>
    <t>Deyvi la rosa abarca</t>
  </si>
  <si>
    <t>Rosa arica chinguel</t>
  </si>
  <si>
    <t>Ivan Ramirez</t>
  </si>
  <si>
    <t>ir253302@gmail.com</t>
  </si>
  <si>
    <t>999 666 042</t>
  </si>
  <si>
    <t>Marta Ventura</t>
  </si>
  <si>
    <t>martaventura4242@gmail.com</t>
  </si>
  <si>
    <t>Luís Antonio Cruz Gargate</t>
  </si>
  <si>
    <t>gargate_74@hotmail.com</t>
  </si>
  <si>
    <t>CARABAYLLO</t>
  </si>
  <si>
    <t>998 165 695</t>
  </si>
  <si>
    <t>2- 47608434</t>
  </si>
  <si>
    <t>Jherson Zapata Quintana</t>
  </si>
  <si>
    <t>- jhersonzapata@gmail.com</t>
  </si>
  <si>
    <t>3- Cercado de Lima</t>
  </si>
  <si>
    <t>938 960 593</t>
  </si>
  <si>
    <t>Marco Burgos</t>
  </si>
  <si>
    <t>939 960 593</t>
  </si>
  <si>
    <t>Edwin Osorio</t>
  </si>
  <si>
    <t>940 960 593</t>
  </si>
  <si>
    <t>RICARDO RUIZ CHAVEZ</t>
  </si>
  <si>
    <t>955 880 422</t>
  </si>
  <si>
    <t>SON 4 PERSONAS, ADELANTARON 350 Y RESTA 350</t>
  </si>
  <si>
    <t>RAFAEL RUIZ VASQUEZ</t>
  </si>
  <si>
    <t>LUIS BARRA</t>
  </si>
  <si>
    <t>Elio Huayllani candenas</t>
  </si>
  <si>
    <t>950 228 116</t>
  </si>
  <si>
    <t>Alberto Jara</t>
  </si>
  <si>
    <t xml:space="preserve">Brigitte Oviedo Pérez
</t>
  </si>
  <si>
    <t>Lucas Antonio prado Guerrero</t>
  </si>
  <si>
    <t>Camila Marroqui</t>
  </si>
  <si>
    <t>comercial</t>
  </si>
  <si>
    <t>Américo Ruiz Gutierrez</t>
  </si>
  <si>
    <t>Frank Goytisolo Ruiz</t>
  </si>
  <si>
    <t>ALISON PALOMINO</t>
  </si>
  <si>
    <t>JAIME ALBAN</t>
  </si>
  <si>
    <t xml:space="preserve">CILINDRO Y CAJA CHINA </t>
  </si>
  <si>
    <t xml:space="preserve">CYC </t>
  </si>
  <si>
    <t>ELIZABETH CAMONES SALVADOR</t>
  </si>
  <si>
    <t>JOSELYOVI@GMAIL.COM</t>
  </si>
  <si>
    <t>949 900 144</t>
  </si>
  <si>
    <t>María Paucar Almeyda</t>
  </si>
  <si>
    <t>marialpa05@gmail.com</t>
  </si>
  <si>
    <t>Néstor Vega Santaria</t>
  </si>
  <si>
    <t xml:space="preserve">Rita María Pau Salguero </t>
  </si>
  <si>
    <t>comas</t>
  </si>
  <si>
    <t>Liliana yuchin lung timana</t>
  </si>
  <si>
    <t>lince</t>
  </si>
  <si>
    <t xml:space="preserve"> Francisco Daniel Kawashita Okuyama </t>
  </si>
  <si>
    <t xml:space="preserve">Jennifer Ríos gil </t>
  </si>
  <si>
    <t>Sinjul887@gmail.com</t>
  </si>
  <si>
    <t xml:space="preserve">Carlos Ignacio Efraín Matamoros Cartolin </t>
  </si>
  <si>
    <t>altcg73@gmail.com</t>
  </si>
  <si>
    <t>sjl</t>
  </si>
  <si>
    <t xml:space="preserve">Yoel Chávez nilupu </t>
  </si>
  <si>
    <t>Axelnilupu@gmail.com</t>
  </si>
  <si>
    <t>913 305 733</t>
  </si>
  <si>
    <t>09444421</t>
  </si>
  <si>
    <t>Carola Ramorez Sanchez</t>
  </si>
  <si>
    <t>ccaro280@hotmail.com</t>
  </si>
  <si>
    <t>987 117 592</t>
  </si>
  <si>
    <t>Jorge Napoleon Mercado Vilca</t>
  </si>
  <si>
    <t>Jnmercado1008@gmail.com</t>
  </si>
  <si>
    <t>Daniel Espejo</t>
  </si>
  <si>
    <t>O5375028</t>
  </si>
  <si>
    <t>María Ysabel Ruiz López</t>
  </si>
  <si>
    <t>maisarulo@gmail.com</t>
  </si>
  <si>
    <t>965 661 435</t>
  </si>
  <si>
    <t xml:space="preserve">                                       burger</t>
  </si>
  <si>
    <t xml:space="preserve">Marleny Juipa Quiñónez </t>
  </si>
  <si>
    <t xml:space="preserve"> ma46ju@gmail.com</t>
  </si>
  <si>
    <t>922 835 447</t>
  </si>
  <si>
    <t>Eddy Dumler Lazo</t>
  </si>
  <si>
    <t>renzo.dumler@gmail.com</t>
  </si>
  <si>
    <t>Antonio Javier García Marocho</t>
  </si>
  <si>
    <t>aj.garciamarocho@gmail.com</t>
  </si>
  <si>
    <t>Maggio Fabricio Yañez Carrion</t>
  </si>
  <si>
    <t>Gonzalo Aponte</t>
  </si>
  <si>
    <t>SOFIA</t>
  </si>
  <si>
    <t>Jeanfranco Ruiz Suarez</t>
  </si>
  <si>
    <t>Jeanfranco.Suarez507@gmail.com</t>
  </si>
  <si>
    <t>Piero Velarde</t>
  </si>
  <si>
    <t>Jessy Barrenachea</t>
  </si>
  <si>
    <t>Elizabeth Álvarez</t>
  </si>
  <si>
    <t>Carlos Adolfo Cano Aquino</t>
  </si>
  <si>
    <t>Nijachi28681@gmail.com</t>
  </si>
  <si>
    <t>Comas</t>
  </si>
  <si>
    <t>Ynes Mendoza Justo</t>
  </si>
  <si>
    <t>Cynthian Milagros Lazo Chauca</t>
  </si>
  <si>
    <t>sharmony047@gmail.com</t>
  </si>
  <si>
    <t>938 121 803</t>
  </si>
  <si>
    <t>Diego Sebastián Aranda Lazo</t>
  </si>
  <si>
    <t>´03663755</t>
  </si>
  <si>
    <t>LUPITA QUINTANA SILVA</t>
  </si>
  <si>
    <t>933 070 617</t>
  </si>
  <si>
    <t>000326987</t>
  </si>
  <si>
    <t xml:space="preserve">Dalia Del. Socorro Carvajal.  </t>
  </si>
  <si>
    <t>Alfredo reza Matos</t>
  </si>
  <si>
    <r>
      <rPr>
        <color rgb="FF1155CC"/>
        <u/>
      </rPr>
      <t>Alfredorezamatos@gmail.com</t>
    </r>
  </si>
  <si>
    <t xml:space="preserve"> 999 084 715</t>
  </si>
  <si>
    <t xml:space="preserve">Elizabeth condori de la Peña
</t>
  </si>
  <si>
    <t>Nathaly.2305.3@gmail.com</t>
  </si>
  <si>
    <t xml:space="preserve">Jesús Amir Huaccho Hidalgo
</t>
  </si>
  <si>
    <r>
      <rPr>
        <color rgb="FF1155CC"/>
        <u/>
      </rPr>
      <t>ruthm_hidalgo@hotmail.com</t>
    </r>
  </si>
  <si>
    <t xml:space="preserve"> Brandon Barros Vizano</t>
  </si>
  <si>
    <t>brandon_honor2@outlook.com</t>
  </si>
  <si>
    <t xml:space="preserve">Yulisa Quispe Cuba  </t>
  </si>
  <si>
    <t>968 148 037</t>
  </si>
  <si>
    <t>Juan Carlos borja</t>
  </si>
  <si>
    <t>Jcarlos.borjah@gmail.com</t>
  </si>
  <si>
    <t>Villa el salvador</t>
  </si>
  <si>
    <t>976 057 552</t>
  </si>
  <si>
    <t xml:space="preserve">Helen llanos </t>
  </si>
  <si>
    <t>Nancy Tamani</t>
  </si>
  <si>
    <t>Oscar Vega</t>
  </si>
  <si>
    <t>EFECTIVO</t>
  </si>
  <si>
    <t>Rimac</t>
  </si>
  <si>
    <t>Nataly Cristina Aparicio Perez</t>
  </si>
  <si>
    <t>JUAN CARLOS BORJA</t>
  </si>
  <si>
    <t>VILLA EL SALVADOR</t>
  </si>
  <si>
    <t xml:space="preserve">Edwin Quichiz Bernal </t>
  </si>
  <si>
    <t>edwinquichiz@gmail.com</t>
  </si>
  <si>
    <t>HUACHO</t>
  </si>
  <si>
    <t xml:space="preserve">Fernando Quichiz Bernal </t>
  </si>
  <si>
    <t>Fernando4822@hotmail.com</t>
  </si>
  <si>
    <t xml:space="preserve">Oscar Quichiz Bernal </t>
  </si>
  <si>
    <t>aosquibe@gmail.com</t>
  </si>
  <si>
    <t>08202850</t>
  </si>
  <si>
    <t xml:space="preserve">Teófila Sánchez mellado  </t>
  </si>
  <si>
    <t>LURIN</t>
  </si>
  <si>
    <t>972 814 258</t>
  </si>
  <si>
    <t>Jocsahel jose Valera morales</t>
  </si>
  <si>
    <t xml:space="preserve"> jocsahel912@gmail.com</t>
  </si>
  <si>
    <t>983 486 695</t>
  </si>
  <si>
    <t>007629170</t>
  </si>
  <si>
    <t xml:space="preserve">Jocsmar José Valera Osorio </t>
  </si>
  <si>
    <t>kosorio270876@gmail.com</t>
  </si>
  <si>
    <t xml:space="preserve">flor María esperanza Urtecho rabines </t>
  </si>
  <si>
    <t>esperanzah1994.flor@gmail.com</t>
  </si>
  <si>
    <t>REPROGRAMACION</t>
  </si>
  <si>
    <t xml:space="preserve"> Almonacid Lujan shonin</t>
  </si>
  <si>
    <t>907 531 070</t>
  </si>
  <si>
    <r>
      <rPr>
        <color rgb="FF000000"/>
      </rPr>
      <t>gian.agesto.tkm@gmail.com</t>
    </r>
  </si>
  <si>
    <t>Janet Quincho Ruiz</t>
  </si>
  <si>
    <t>Gloria Stefany Garcia López</t>
  </si>
  <si>
    <t>JEAN CARLOS CARDENAS CALMA</t>
  </si>
  <si>
    <t>Karin Chacon Gonzales</t>
  </si>
  <si>
    <t>Karinchacong@gmail.com</t>
  </si>
  <si>
    <t>PACHACAMAC</t>
  </si>
  <si>
    <t>959 264 231</t>
  </si>
  <si>
    <t>Norita Isabel Uraco Acho</t>
  </si>
  <si>
    <t>noritauraco024@gmail.com</t>
  </si>
  <si>
    <t>969 047 205</t>
  </si>
  <si>
    <t xml:space="preserve"> Miguel Rios López</t>
  </si>
  <si>
    <t>cuatroburgueses@gmail.com</t>
  </si>
  <si>
    <t>962 202 597</t>
  </si>
  <si>
    <t>Diana Mora Terrones</t>
  </si>
  <si>
    <t>Jesús Geldres Pérez</t>
  </si>
  <si>
    <t>jesusgeldres7@gmail.com</t>
  </si>
  <si>
    <t>960 621 786</t>
  </si>
  <si>
    <t>Henry Manuel Miranda Cuya</t>
  </si>
  <si>
    <t>Henrymc23@gmail.com</t>
  </si>
  <si>
    <t>973 905 000</t>
  </si>
  <si>
    <t>Sthefany Milagros Alata Romero</t>
  </si>
  <si>
    <t>Sthefany2321@gmail.com</t>
  </si>
  <si>
    <t>JESUS ENRIQUE MEDINA LAZO</t>
  </si>
  <si>
    <t xml:space="preserve"> jesus_8_n@hotmail.com </t>
  </si>
  <si>
    <t>Milagros Lazo Osorio</t>
  </si>
  <si>
    <t>lazoosoriomilagros@gmail.com</t>
  </si>
  <si>
    <t>Luz Fabiola Rodriguez Guerrero</t>
  </si>
  <si>
    <t>luzfabiolaa1603@gmail.com</t>
  </si>
  <si>
    <t>989 823 869</t>
  </si>
  <si>
    <t>Andre Geusepee Cruz Barzola</t>
  </si>
  <si>
    <t>andrecruzbarzola@hotmail.com</t>
  </si>
  <si>
    <t>Anderson Meneses Vilca</t>
  </si>
  <si>
    <t>huachipa</t>
  </si>
  <si>
    <t>ROXANA PACCINI</t>
  </si>
  <si>
    <t>luis.perez@rems.pe</t>
  </si>
  <si>
    <t>LUIS PEREZ</t>
  </si>
  <si>
    <t>online</t>
  </si>
  <si>
    <t>DEPARTAMENTO</t>
  </si>
  <si>
    <t>Miguel Angel Minaya Gonzalez</t>
  </si>
  <si>
    <t>mi.minaya.go@hotmail.com</t>
  </si>
  <si>
    <t>Edinson grower lostaunau padilla</t>
  </si>
  <si>
    <t>Mikelacayetana23@gmail.com</t>
  </si>
  <si>
    <t>LIMA</t>
  </si>
  <si>
    <t>Mauro ore</t>
  </si>
  <si>
    <t>Fernando_ore92@hotmail.com</t>
  </si>
  <si>
    <t>Jherardina Ore Rengifo</t>
  </si>
  <si>
    <t>jhera84.jor@gmail.com</t>
  </si>
  <si>
    <t>Juvenal Zamalloa Aguirre</t>
  </si>
  <si>
    <t>juvicha.z@gmail.com</t>
  </si>
  <si>
    <t>Joel flores jacinto</t>
  </si>
  <si>
    <t>Joe1430156@gmail.com</t>
  </si>
  <si>
    <t xml:space="preserve">Huanuco </t>
  </si>
  <si>
    <t>Ricardo franco davila nuñez</t>
  </si>
  <si>
    <t>ricardodavilanu07@gmail.com</t>
  </si>
  <si>
    <t>CAMANÁ</t>
  </si>
  <si>
    <t>966 463 572</t>
  </si>
  <si>
    <t>SOLO ACCEDE A CURSO ONLINE DE HAMBURGUESAS</t>
  </si>
  <si>
    <t xml:space="preserve">César Juan Cortijo Villalobos </t>
  </si>
  <si>
    <t xml:space="preserve">Junin </t>
  </si>
  <si>
    <t>Benjamin Lau Chiong</t>
  </si>
  <si>
    <t>benjalau@yahoo.com</t>
  </si>
  <si>
    <t>Fredy Condori Hancco</t>
  </si>
  <si>
    <t>Fredycondorihancco62@gmail.com</t>
  </si>
  <si>
    <t>CILINDRO Y CAJA CHINA</t>
  </si>
  <si>
    <t>CyC F9</t>
  </si>
  <si>
    <t xml:space="preserve">Pedro Gonzales Correa </t>
  </si>
  <si>
    <t>pegc68@gmail.com</t>
  </si>
  <si>
    <t>Fernando García Rojas</t>
  </si>
  <si>
    <t>anthonygb89@gmail.com</t>
  </si>
  <si>
    <t>985 546 938</t>
  </si>
  <si>
    <t xml:space="preserve">HILDA MERCEDES ZAVALA RAMOS </t>
  </si>
  <si>
    <t>Julio.aliagaz@pucp.edu.pe</t>
  </si>
  <si>
    <t>Completo pago el 10/01</t>
  </si>
  <si>
    <t>JULIO GODOFREDO ALIAGA SUÁREZ</t>
  </si>
  <si>
    <t xml:space="preserve">Elio Rios Cardenas
</t>
  </si>
  <si>
    <t>emz2011@hotmail.com</t>
  </si>
  <si>
    <t xml:space="preserve"> 991 708 648</t>
  </si>
  <si>
    <t>Haydee Loayza</t>
  </si>
  <si>
    <t>995 755 666</t>
  </si>
  <si>
    <t>JM</t>
  </si>
  <si>
    <t>Karen Sánchez vilcamiche</t>
  </si>
  <si>
    <t>Luis Alberto Neyra Coveñas</t>
  </si>
  <si>
    <t>Andres Lucana</t>
  </si>
  <si>
    <t>Andres.lucanal@gmail.com</t>
  </si>
  <si>
    <t>942 808 819</t>
  </si>
  <si>
    <t>CINDY ARAUCANO</t>
  </si>
  <si>
    <t>elibenaraucano@gmail.com</t>
  </si>
  <si>
    <t>904 312 283</t>
  </si>
  <si>
    <t>Kelly Jahuira Centeno</t>
  </si>
  <si>
    <t>Kelly.jahuiracenteno123@gmail.com</t>
  </si>
  <si>
    <t>950 523 640</t>
  </si>
  <si>
    <t>Annie Jahuira Centeno</t>
  </si>
  <si>
    <t>Jahuiraannie123@gmail.com</t>
  </si>
  <si>
    <t>Dina Centeno Cruz</t>
  </si>
  <si>
    <t>Dinacenteno66@gmail.com</t>
  </si>
  <si>
    <t>Victor Alfonso Garcia Castro</t>
  </si>
  <si>
    <t>La Victoria</t>
  </si>
  <si>
    <t>Magaly Díaz</t>
  </si>
  <si>
    <t>Moyobamba051116@gmail.com</t>
  </si>
  <si>
    <t xml:space="preserve">La Victoria </t>
  </si>
  <si>
    <t>991 031 685</t>
  </si>
  <si>
    <t>Luis Alberto Marquina Arias</t>
  </si>
  <si>
    <t>María Luisa Díaz García</t>
  </si>
  <si>
    <t>EDUARDO LARIOS SALAZAR</t>
  </si>
  <si>
    <t xml:space="preserve">Lariossalazar1926@gmail.com </t>
  </si>
  <si>
    <t>Carloscumpa195@hotmail.com</t>
  </si>
  <si>
    <t>*005862518</t>
  </si>
  <si>
    <t>Andres Felipe Jurado Aguilar</t>
  </si>
  <si>
    <r>
      <rPr>
        <color rgb="FF000000"/>
        <u/>
      </rPr>
      <t>afelipe.jurado@gmail.com</t>
    </r>
  </si>
  <si>
    <t>949 706 975</t>
  </si>
  <si>
    <t>Juana Alejandrina Pallaca Mallqui</t>
  </si>
  <si>
    <t>PAGRA EN SU TALLER AFI 11/01</t>
  </si>
  <si>
    <t>Janeth mayhuasca lapa</t>
  </si>
  <si>
    <t>09683891</t>
  </si>
  <si>
    <t>Julio la cerna Roncal</t>
  </si>
  <si>
    <t>Galvimetall@yahoo.es</t>
  </si>
  <si>
    <t>982 569 272</t>
  </si>
  <si>
    <t>Williams Fredy Sanabria Reyes</t>
  </si>
  <si>
    <t>wsananria073@gmail.com</t>
  </si>
  <si>
    <t>JUNIN</t>
  </si>
  <si>
    <t>944 542 158</t>
  </si>
  <si>
    <t xml:space="preserve">Rafael Antony Urbina Peña </t>
  </si>
  <si>
    <t>Rafaelurbi18@gmail.com</t>
  </si>
  <si>
    <r>
      <rPr>
        <color rgb="FF000000"/>
        <u/>
      </rPr>
      <t>gian.agesto.tkm@gmail.com</t>
    </r>
  </si>
  <si>
    <t>Francisco José Mesía Liau</t>
  </si>
  <si>
    <t>Lesly chumbiriza chacon</t>
  </si>
  <si>
    <t>leslyrosachumbirizachacon@gmail.com</t>
  </si>
  <si>
    <t>917 313 781</t>
  </si>
  <si>
    <t>PAGARÁ EN CLASE DEL 17/01</t>
  </si>
  <si>
    <t>brenda lahura vento</t>
  </si>
  <si>
    <t>Darlen Estupiñan Euscate</t>
  </si>
  <si>
    <r>
      <rPr>
        <color rgb="FF1155CC"/>
        <u/>
      </rPr>
      <t>dar.val13@hotmail.com</t>
    </r>
  </si>
  <si>
    <t>HUAURA</t>
  </si>
  <si>
    <t>07336007</t>
  </si>
  <si>
    <t>Luis Checa Alayza</t>
  </si>
  <si>
    <t>comcheca@gmail.com</t>
  </si>
  <si>
    <t>998 366 203</t>
  </si>
  <si>
    <t>Félix Uriarte Barranazuela</t>
  </si>
  <si>
    <t xml:space="preserve">Linda Aponte Huaman </t>
  </si>
  <si>
    <t>Leydi359aponte@gmail.com</t>
  </si>
  <si>
    <t>Deysi Quezada Trujillo</t>
  </si>
  <si>
    <r>
      <rPr>
        <color rgb="FF1155CC"/>
        <u/>
      </rPr>
      <t>Luimertaboada@gmail.com</t>
    </r>
  </si>
  <si>
    <t>San Juan de Miraflores</t>
  </si>
  <si>
    <t>933 357 463</t>
  </si>
  <si>
    <t>GESTION DE NEGOCIOS</t>
  </si>
  <si>
    <t>Roberto Gabriel Flores Butron</t>
  </si>
  <si>
    <t>floresrgb97@gmail.com</t>
  </si>
  <si>
    <t>Yanahuara-Arequipa</t>
  </si>
  <si>
    <t>950 536 721</t>
  </si>
  <si>
    <t>Regalo GB</t>
  </si>
  <si>
    <t xml:space="preserve">Eber huayhua vargas </t>
  </si>
  <si>
    <t>Huayhuavargase@gmail.com</t>
  </si>
  <si>
    <t>902 779 238</t>
  </si>
  <si>
    <t>Andrés Sebastian Ordenes Lobatón</t>
  </si>
  <si>
    <r>
      <rPr>
        <rFont val="Arial"/>
        <u/>
      </rPr>
      <t>andresordeneslo@gmail.com</t>
    </r>
  </si>
  <si>
    <t>San isidro</t>
  </si>
  <si>
    <t>999 508 901</t>
  </si>
  <si>
    <t>Jordan Aaron Suarez Acuña</t>
  </si>
  <si>
    <t>sjordanaaron@gmail.com</t>
  </si>
  <si>
    <t>Miguel  Angel Peña Mata</t>
  </si>
  <si>
    <t>penamata90@gmail.com</t>
  </si>
  <si>
    <t xml:space="preserve">Carlos Díaz Ocaña </t>
  </si>
  <si>
    <t>cd1030741@gmail.com</t>
  </si>
  <si>
    <t xml:space="preserve">San Borja </t>
  </si>
  <si>
    <t xml:space="preserve">Lucia Jessica Chávez Ramírez </t>
  </si>
  <si>
    <t>Elchicharrondechavez@gmail.com</t>
  </si>
  <si>
    <t xml:space="preserve">Los Olivos </t>
  </si>
  <si>
    <t>957 435 806</t>
  </si>
  <si>
    <t xml:space="preserve">Maycol Jonathan paz Retamozo </t>
  </si>
  <si>
    <t>Pazm20481@gmail.com</t>
  </si>
  <si>
    <t>901 686 803</t>
  </si>
  <si>
    <t xml:space="preserve">Brian portilla orquiz </t>
  </si>
  <si>
    <t>brianportilla.bp@gmail.com</t>
  </si>
  <si>
    <t xml:space="preserve">Comas </t>
  </si>
  <si>
    <t>954 423 850</t>
  </si>
  <si>
    <t>César Miguel Oré Astorga</t>
  </si>
  <si>
    <t>orec.1602@gmail.com</t>
  </si>
  <si>
    <t xml:space="preserve">Cercado de Lima </t>
  </si>
  <si>
    <t>932 401 077</t>
  </si>
  <si>
    <t>Jorge luis padilla zapata</t>
  </si>
  <si>
    <t>j.l.padilla_93@hotmail.com</t>
  </si>
  <si>
    <t>Huaral</t>
  </si>
  <si>
    <t>916 155 109</t>
  </si>
  <si>
    <t>Abraham Basilio Rojas</t>
  </si>
  <si>
    <t>Abr.2012@gmail.com</t>
  </si>
  <si>
    <t>San miguel</t>
  </si>
  <si>
    <t>997 630 428</t>
  </si>
  <si>
    <t>Ricardo Junior Boza Valdiviezo</t>
  </si>
  <si>
    <t>963 037 833</t>
  </si>
  <si>
    <t>Piero André Damas Salhuana</t>
  </si>
  <si>
    <t>piero27022000@gmail.com</t>
  </si>
  <si>
    <t xml:space="preserve">Carabayllo </t>
  </si>
  <si>
    <t>927 991 306</t>
  </si>
  <si>
    <t>*09837904</t>
  </si>
  <si>
    <t>María Bertha Chavarría rios</t>
  </si>
  <si>
    <t>mariachavarria079@gmail.com</t>
  </si>
  <si>
    <t>962 916 978</t>
  </si>
  <si>
    <t>Magda Rosa Aguilar Vigo</t>
  </si>
  <si>
    <t>Magdaaguilar4@gmail.com</t>
  </si>
  <si>
    <t>San Isidro</t>
  </si>
  <si>
    <t>Yessire Meneses Bellido</t>
  </si>
  <si>
    <t>yess.menesesbellido@gmail.com</t>
  </si>
  <si>
    <t>Ate Salamanca</t>
  </si>
  <si>
    <t>918 819 213</t>
  </si>
  <si>
    <t>S/.180.00</t>
  </si>
  <si>
    <t xml:space="preserve"> luisramosnicoll@gmail.com</t>
  </si>
  <si>
    <t>Jesús María</t>
  </si>
  <si>
    <t>990 040 484</t>
  </si>
  <si>
    <t>*09902780</t>
  </si>
  <si>
    <t>Miguel Angel Gutti Huaman</t>
  </si>
  <si>
    <t>miguelgutti74@gmail.com</t>
  </si>
  <si>
    <t>977 198 257</t>
  </si>
  <si>
    <t>´005508766</t>
  </si>
  <si>
    <t xml:space="preserve">Pablo Fernandez </t>
  </si>
  <si>
    <t>Thepointcellima@gmail.com</t>
  </si>
  <si>
    <t xml:space="preserve">Los olivos </t>
  </si>
  <si>
    <t>997 936 197</t>
  </si>
  <si>
    <t>´02438088</t>
  </si>
  <si>
    <t>Robert Montilla</t>
  </si>
  <si>
    <t>robertmontilla02@gmail.com</t>
  </si>
  <si>
    <t>945 928 161</t>
  </si>
  <si>
    <t>Jessica Escarlen</t>
  </si>
  <si>
    <r>
      <rPr>
        <color rgb="FF000000"/>
        <u/>
      </rPr>
      <t>Escarlen.mrkdigital@gmail.com</t>
    </r>
  </si>
  <si>
    <t>955 805 382</t>
  </si>
  <si>
    <t xml:space="preserve">Anderson Denis López López </t>
  </si>
  <si>
    <t>fcanlelnubf@gmail.com</t>
  </si>
  <si>
    <t xml:space="preserve">Callao </t>
  </si>
  <si>
    <t>942 580 187</t>
  </si>
  <si>
    <t xml:space="preserve">Luis Ivan Novoa Espinoza </t>
  </si>
  <si>
    <t xml:space="preserve"> ivannovoa@gmail.com</t>
  </si>
  <si>
    <t>986 191 035</t>
  </si>
  <si>
    <t>S/.160.00</t>
  </si>
  <si>
    <t>Aldair fuentes castro</t>
  </si>
  <si>
    <r>
      <rPr>
        <color rgb="FF1155CC"/>
        <u/>
      </rPr>
      <t>aldair321703@gmail.com</t>
    </r>
  </si>
  <si>
    <t>Pachacamac</t>
  </si>
  <si>
    <t>991 957 123</t>
  </si>
  <si>
    <t>James Enrique Ccaira Quispe</t>
  </si>
  <si>
    <t>jams.enri@hotmail.com</t>
  </si>
  <si>
    <t>AREQUIPA</t>
  </si>
  <si>
    <t>982 702 847</t>
  </si>
  <si>
    <t>Jorge Luis cabrera Montenegro</t>
  </si>
  <si>
    <r>
      <rPr>
        <color rgb="FF000000"/>
        <u/>
      </rPr>
      <t>ventas@espacioalexandra.com</t>
    </r>
  </si>
  <si>
    <t>Carlos Eduardo Cumpa alayo</t>
  </si>
  <si>
    <t>carlossmithh21@gmail.com</t>
  </si>
  <si>
    <t>San Juan de Lurigancho</t>
  </si>
  <si>
    <t>956 899 742</t>
  </si>
  <si>
    <t>Ricardo Boza</t>
  </si>
  <si>
    <t>Richiebzv@gmail.com</t>
  </si>
  <si>
    <t xml:space="preserve"> 963 037 833</t>
  </si>
  <si>
    <t>GB</t>
  </si>
  <si>
    <t>Martha lucia Gutiérrez Pacheco</t>
  </si>
  <si>
    <t xml:space="preserve">marthaluciagutierrezpacheco@gmail.com  </t>
  </si>
  <si>
    <t>Nasca Ica</t>
  </si>
  <si>
    <t>922 607 372</t>
  </si>
  <si>
    <t>Osmar Rosas Tomas</t>
  </si>
  <si>
    <t>rosastomasosmar@gmail.com</t>
  </si>
  <si>
    <t>Trujillo</t>
  </si>
  <si>
    <t>921 548 092</t>
  </si>
  <si>
    <t>Edver luna goñi</t>
  </si>
  <si>
    <t>Lunaedver@gmail.com</t>
  </si>
  <si>
    <t>Carabayllo</t>
  </si>
  <si>
    <t xml:space="preserve"> 936 928 510</t>
  </si>
  <si>
    <t xml:space="preserve">Luna Alejandra Peláez Egoavil </t>
  </si>
  <si>
    <t>lunapelaez.25.11@gmail.com</t>
  </si>
  <si>
    <t>Walter Seyfarth</t>
  </si>
  <si>
    <t>walterseyfarthbsn@gmail.com</t>
  </si>
  <si>
    <t xml:space="preserve"> 962 372 707</t>
  </si>
  <si>
    <t>RUC</t>
  </si>
  <si>
    <t>EMPRESA</t>
  </si>
  <si>
    <t>Catering</t>
  </si>
  <si>
    <t>Jorge</t>
  </si>
  <si>
    <t>BRENDA FARAON</t>
  </si>
  <si>
    <t>JULIO GELDRES</t>
  </si>
  <si>
    <t>GASTRONOMIA EN BRASAS</t>
  </si>
  <si>
    <t xml:space="preserve">GB </t>
  </si>
  <si>
    <t>GB-21</t>
  </si>
  <si>
    <t>GB - 22</t>
  </si>
  <si>
    <t>Wilder francisco hurtado torres</t>
  </si>
  <si>
    <t>Willyht072@gmail.com</t>
  </si>
  <si>
    <t xml:space="preserve">Bellavista </t>
  </si>
  <si>
    <t>980 199 023</t>
  </si>
  <si>
    <t>Geoffrey Mogollon</t>
  </si>
  <si>
    <t>920 385 441</t>
  </si>
  <si>
    <t xml:space="preserve">GB16 pago total - reprogramacion </t>
  </si>
  <si>
    <t>Ynalia Noemí Quispe Valdivia</t>
  </si>
  <si>
    <t>ynalianoemi@gmail.com</t>
  </si>
  <si>
    <t>982 215 485</t>
  </si>
  <si>
    <t xml:space="preserve">Isolina Ruiz roman </t>
  </si>
  <si>
    <t xml:space="preserve">isolinachef@gmail.com </t>
  </si>
  <si>
    <t>987 868 627</t>
  </si>
  <si>
    <t xml:space="preserve">Victor Mario Zapata Vilchez </t>
  </si>
  <si>
    <t>qjazminmilagros@gmail.com</t>
  </si>
  <si>
    <t xml:space="preserve">Cieneguilla </t>
  </si>
  <si>
    <t>991 548 337</t>
  </si>
  <si>
    <r>
      <rPr>
        <rFont val="Arial"/>
        <color rgb="FF000000"/>
        <u/>
      </rPr>
      <t>andresordeneslo@gmail.com</t>
    </r>
  </si>
  <si>
    <t>Rodrigo Romero León</t>
  </si>
  <si>
    <t xml:space="preserve"> christian_romleo@hotmail.com</t>
  </si>
  <si>
    <t>Nilber Eduardo portocarrero López</t>
  </si>
  <si>
    <t>e.portocarrero_10@hotmail.com</t>
  </si>
  <si>
    <t>CUOTAS</t>
  </si>
  <si>
    <t xml:space="preserve">Ronald Rene cuya lozano </t>
  </si>
  <si>
    <t>ronaldcuya61@gmail.com</t>
  </si>
  <si>
    <t xml:space="preserve"> 957 347 807</t>
  </si>
  <si>
    <t>966 205 316</t>
  </si>
  <si>
    <t xml:space="preserve">Miguel Angel Martinez Galvez </t>
  </si>
  <si>
    <t>mg.martinezgalvez@gmail.com</t>
  </si>
  <si>
    <t>922 518 814</t>
  </si>
  <si>
    <t>Pazm20481gmail.com</t>
  </si>
  <si>
    <r>
      <rPr>
        <color rgb="FF000000"/>
        <u/>
      </rPr>
      <t>Magdaaguilar4@gmail.com</t>
    </r>
  </si>
  <si>
    <t>Julio cesar Nalbarte villar</t>
  </si>
  <si>
    <t>Dieguito.2203.jnv@gmail.com</t>
  </si>
  <si>
    <t>Demetrio Ramos Mancilla</t>
  </si>
  <si>
    <r>
      <rPr>
        <color rgb="FF000000"/>
        <u/>
      </rPr>
      <t>joshua_rexar@hotmail.com</t>
    </r>
  </si>
  <si>
    <t>954 270 991</t>
  </si>
  <si>
    <t>Oscar Vega Orue</t>
  </si>
  <si>
    <t>oscar85.vo@gmail.com</t>
  </si>
  <si>
    <t xml:space="preserve">Rimac </t>
  </si>
  <si>
    <t>938 515 034</t>
  </si>
  <si>
    <t>Rodrigo Sebastian Salazar Palacios</t>
  </si>
  <si>
    <t>GB 23</t>
  </si>
  <si>
    <t>GB 24</t>
  </si>
  <si>
    <t>Ruedi Mazuelos</t>
  </si>
  <si>
    <t>bs1@jeanmazuelos.com</t>
  </si>
  <si>
    <t>San Luis</t>
  </si>
  <si>
    <t>Richard Carlo Rodriguez Balcazar</t>
  </si>
  <si>
    <t>rcrbalcazar@hotmail.com</t>
  </si>
  <si>
    <t>va cambiar de grupo</t>
  </si>
  <si>
    <t xml:space="preserve"> richievzb@gmail.com</t>
  </si>
  <si>
    <t>Gabriel Maximiliano Sánchez Castro</t>
  </si>
  <si>
    <t>gabrielsanchezcastro67@gmail.com</t>
  </si>
  <si>
    <t>Jhon Eduardo Ruiz Sachun</t>
  </si>
  <si>
    <t>Independencia</t>
  </si>
  <si>
    <t>Luis Alberto Pérez zevallos</t>
  </si>
  <si>
    <r>
      <rPr>
        <color rgb="FF000000"/>
        <u/>
      </rPr>
      <t>Perezze@hotmail.com</t>
    </r>
  </si>
  <si>
    <t>965 480 780</t>
  </si>
  <si>
    <t>Pedro Chavez</t>
  </si>
  <si>
    <t>pedro.chavz@gmail.com</t>
  </si>
  <si>
    <t>989 884 998</t>
  </si>
  <si>
    <t>Fabrizzio Mijael Lima Obregón</t>
  </si>
  <si>
    <r>
      <rPr>
        <color rgb="FF000000"/>
        <u/>
      </rPr>
      <t>mijaellima140@gmail.com</t>
    </r>
  </si>
  <si>
    <t xml:space="preserve">Elvis Gustavo lluen Torres </t>
  </si>
  <si>
    <t xml:space="preserve">elvislluentorres@gmail.com </t>
  </si>
  <si>
    <t xml:space="preserve"> 988 407 264</t>
  </si>
  <si>
    <r>
      <rPr>
        <color rgb="FF000000"/>
        <u/>
      </rPr>
      <t>ventas@espacioalexandra.com</t>
    </r>
  </si>
  <si>
    <t xml:space="preserve">Peter Günther Kost Soto </t>
  </si>
  <si>
    <t>peterpgks80@gmail.com</t>
  </si>
  <si>
    <t>979 389 674</t>
  </si>
  <si>
    <r>
      <rPr>
        <color rgb="FF000000"/>
        <u/>
      </rPr>
      <t>Escarlen.mrkdigital@gmail.com</t>
    </r>
  </si>
  <si>
    <t>Mirko jesus neyra solis</t>
  </si>
  <si>
    <t>Mirkoneyrasolis@gmail.com</t>
  </si>
  <si>
    <t xml:space="preserve">La victoria </t>
  </si>
  <si>
    <t>927 163 904</t>
  </si>
  <si>
    <t>40641102,</t>
  </si>
  <si>
    <t>Edward Crispín paredes</t>
  </si>
  <si>
    <t>ecocrispinparedes@gmail.com</t>
  </si>
  <si>
    <t>958 989 904</t>
  </si>
  <si>
    <t xml:space="preserve">Milton Fuentes Guerrero </t>
  </si>
  <si>
    <t>sican.eirl.2025@gmail.com</t>
  </si>
  <si>
    <t>999 507 967</t>
  </si>
  <si>
    <t xml:space="preserve">eva bendezú gallegos </t>
  </si>
  <si>
    <t>jesusabendezu18@gmail.com</t>
  </si>
  <si>
    <t xml:space="preserve"> 951 952 324</t>
  </si>
  <si>
    <t>Alberto Gallegos Arias</t>
  </si>
  <si>
    <t>agallegos197681@gmail.com</t>
  </si>
  <si>
    <t>981 020 021</t>
  </si>
  <si>
    <t>mateo quispe solis</t>
  </si>
  <si>
    <t xml:space="preserve"> math_leo.u@hotmail.com</t>
  </si>
  <si>
    <t xml:space="preserve">El agustino </t>
  </si>
  <si>
    <t xml:space="preserve">Luis Alberto cavero alvites </t>
  </si>
  <si>
    <t>luisalbertocaveroalvites@gmail.com</t>
  </si>
  <si>
    <t xml:space="preserve">Villa El Salvador </t>
  </si>
  <si>
    <t>989 665 617</t>
  </si>
  <si>
    <t>Rafael Torres - GB15</t>
  </si>
  <si>
    <t>Renato Jurado Vilchez- GB16</t>
  </si>
  <si>
    <t>Antonio martin hidalgo alencar GB-20</t>
  </si>
  <si>
    <t>Rolando, Cristobal Alarcon GB-20</t>
  </si>
  <si>
    <t>Denis Walter roman cataño GB-19</t>
  </si>
  <si>
    <t>Dejo el curso</t>
  </si>
  <si>
    <t>Juan manuel gallardo Escalante GB-20</t>
  </si>
  <si>
    <t>P</t>
  </si>
  <si>
    <t>GRADUACIÓN GASTRONOMIA EN BRASAS - 19</t>
  </si>
  <si>
    <t>LISTA DE INVITADOS</t>
  </si>
  <si>
    <t>DOMINGO 01/02 - 2:00PM</t>
  </si>
  <si>
    <t>QR</t>
  </si>
  <si>
    <t>FIRMA</t>
  </si>
  <si>
    <t>Stephanie Ysabel Guerra Uribe</t>
  </si>
  <si>
    <t>Felix isanu Huapaya Atencio</t>
  </si>
  <si>
    <t>Astrid Hassel Criales Johnson</t>
  </si>
  <si>
    <t xml:space="preserve">Roger Vargas Morales </t>
  </si>
  <si>
    <t>Elio Campos Ramos</t>
  </si>
  <si>
    <t>Ángel Huamán Ccopa</t>
  </si>
  <si>
    <t>Fiorella Guevara Ampuero</t>
  </si>
  <si>
    <t>CUENTAS</t>
  </si>
  <si>
    <t>SITUACION</t>
  </si>
  <si>
    <t>CURSOS</t>
  </si>
  <si>
    <t>CILINDRO Y CAJA</t>
  </si>
  <si>
    <t>SCOT JL</t>
  </si>
  <si>
    <t>Mariel</t>
  </si>
  <si>
    <t>PARRILLA T1</t>
  </si>
  <si>
    <t>DESC</t>
  </si>
  <si>
    <t>PARRILLA T2</t>
  </si>
  <si>
    <t>INTER</t>
  </si>
  <si>
    <t>PARRILLA 2 TURNOS</t>
  </si>
  <si>
    <t>AMBOS</t>
  </si>
  <si>
    <t>Yerika</t>
  </si>
  <si>
    <t>Sergio</t>
  </si>
  <si>
    <t>BCP 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</si>
</sst>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"/>
    <numFmt numFmtId="165" formatCode="[$S/.]#,##0.00"/>
    <numFmt numFmtId="166" formatCode="d/m"/>
    <numFmt numFmtId="167" formatCode="d/M/yyyy"/>
    <numFmt numFmtId="168" formatCode="dd/mm/yyyy"/>
    <numFmt numFmtId="169" formatCode="dd/mm"/>
    <numFmt numFmtId="170" formatCode="d/m/yyyy"/>
    <numFmt numFmtId="171" formatCode="dd-mm"/>
    <numFmt numFmtId="172" formatCode="dddd&quot; &quot;d&quot; de &quot;mmm"/>
  </numFmts>
  <fonts count="80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10.0"/>
      <color rgb="FFFFFFFF"/>
      <name val="Arial"/>
      <scheme val="minor"/>
    </font>
    <font>
      <sz val="11.0"/>
      <color rgb="FF363B44"/>
      <name val="&quot;PT Sans&quot;"/>
    </font>
    <font>
      <color theme="1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theme="1"/>
      <name val="Arial"/>
    </font>
    <font>
      <u/>
      <color theme="1"/>
      <name val="Arial"/>
      <scheme val="minor"/>
    </font>
    <font>
      <u/>
      <color rgb="FF0000FF"/>
      <name val="Arial"/>
    </font>
    <font>
      <u/>
      <color theme="1"/>
      <name val="Arial"/>
    </font>
    <font>
      <b/>
      <sz val="12.0"/>
      <color rgb="FFFF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8.0"/>
      <color theme="1"/>
      <name val="Arial"/>
      <scheme val="minor"/>
    </font>
    <font/>
    <font>
      <b/>
      <sz val="15.0"/>
      <color theme="1"/>
      <name val="Arial"/>
      <scheme val="minor"/>
    </font>
    <font>
      <color rgb="FFFFFFFF"/>
      <name val="Arial"/>
      <scheme val="minor"/>
    </font>
    <font>
      <sz val="11.0"/>
      <color rgb="FF363B44"/>
      <name val="PT Sans"/>
    </font>
    <font>
      <u/>
      <sz val="11.0"/>
      <color rgb="FF363B44"/>
      <name val="&quot;PT Sans&quot;"/>
    </font>
    <font>
      <color rgb="FF000000"/>
      <name val="Arial"/>
      <scheme val="minor"/>
    </font>
    <font>
      <sz val="8.0"/>
      <color theme="1"/>
      <name val="Arial"/>
    </font>
    <font>
      <u/>
      <sz val="11.0"/>
      <color rgb="FF0000FF"/>
      <name val="Arial"/>
    </font>
    <font>
      <u/>
      <color rgb="FF0000FF"/>
    </font>
    <font>
      <strike/>
      <sz val="11.0"/>
      <color rgb="FF363B44"/>
      <name val="PT Sans"/>
    </font>
    <font>
      <u/>
      <color rgb="FF0000FF"/>
    </font>
    <font>
      <sz val="11.0"/>
      <color rgb="FF000000"/>
      <name val="&quot;PT Sans&quot;"/>
    </font>
    <font>
      <u/>
      <color rgb="FF000000"/>
    </font>
    <font>
      <sz val="10.0"/>
      <color rgb="FF363B44"/>
      <name val="Arial"/>
      <scheme val="minor"/>
    </font>
    <font>
      <color rgb="FF363B44"/>
      <name val="Inherit"/>
    </font>
    <font>
      <u/>
      <color rgb="FF363B44"/>
      <name val="Inherit"/>
    </font>
    <font>
      <color rgb="FF000000"/>
      <name val="Arial"/>
    </font>
    <font>
      <sz val="11.0"/>
      <color rgb="FF434343"/>
      <name val="&quot;PT Sans&quot;"/>
    </font>
    <font>
      <sz val="11.0"/>
      <color rgb="FFFFFFFF"/>
      <name val="&quot;PT Sans&quot;"/>
    </font>
    <font>
      <u/>
      <color theme="1"/>
      <name val="Arial"/>
    </font>
    <font>
      <sz val="11.0"/>
      <color rgb="FF000000"/>
      <name val="PT Sans"/>
    </font>
    <font>
      <strike/>
      <sz val="11.0"/>
      <color rgb="FF000000"/>
      <name val="PT Sans"/>
    </font>
    <font>
      <color rgb="FF000000"/>
      <name val="Inherit"/>
    </font>
    <font>
      <strike/>
      <sz val="11.0"/>
      <color rgb="FF000000"/>
      <name val="&quot;PT Sans&quot;"/>
    </font>
    <font>
      <u/>
      <color rgb="FF000000"/>
    </font>
    <font>
      <sz val="9.0"/>
      <color rgb="FF363B44"/>
      <name val="PT Sans"/>
    </font>
    <font>
      <color rgb="FF6B6D72"/>
      <name val="Inherit"/>
    </font>
    <font>
      <sz val="10.0"/>
      <color rgb="FF1F1F1F"/>
      <name val="&quot;Google Sans&quot;"/>
    </font>
    <font>
      <u/>
      <color rgb="FF000000"/>
      <name val="Inherit"/>
    </font>
    <font>
      <sz val="12.0"/>
      <color theme="1"/>
      <name val="Arial"/>
    </font>
    <font>
      <b/>
      <sz val="13.0"/>
      <color theme="1"/>
      <name val="Arial"/>
    </font>
    <font>
      <strike/>
      <color theme="1"/>
      <name val="Arial"/>
      <scheme val="minor"/>
    </font>
    <font>
      <b/>
      <color theme="1"/>
      <name val="Arial"/>
    </font>
    <font>
      <sz val="13.0"/>
      <color theme="1"/>
      <name val="Arial"/>
    </font>
    <font>
      <b/>
      <sz val="9.0"/>
      <color theme="1"/>
      <name val="Arial"/>
    </font>
    <font>
      <b/>
      <sz val="12.0"/>
      <color theme="1"/>
      <name val="Arial"/>
    </font>
    <font>
      <b/>
      <sz val="10.0"/>
      <color theme="1"/>
      <name val="Arial"/>
      <scheme val="minor"/>
    </font>
    <font>
      <b/>
      <sz val="14.0"/>
      <color theme="1"/>
      <name val="Arial"/>
      <scheme val="minor"/>
    </font>
    <font>
      <sz val="10.0"/>
      <color rgb="FFFFFFFF"/>
      <name val="Arial"/>
      <scheme val="minor"/>
    </font>
    <font>
      <strike/>
      <sz val="11.0"/>
      <color rgb="FF363B44"/>
      <name val="&quot;PT Sans&quot;"/>
    </font>
    <font>
      <u/>
      <color theme="1"/>
      <name val="Arial"/>
    </font>
    <font>
      <b/>
      <sz val="13.0"/>
      <color rgb="FFFFFFFF"/>
      <name val="Arial"/>
    </font>
    <font>
      <b/>
      <sz val="14.0"/>
      <color theme="1"/>
      <name val="Arial"/>
    </font>
    <font>
      <sz val="11.0"/>
      <color rgb="FF313942"/>
      <name val="&quot;PT Sans&quot;"/>
    </font>
    <font>
      <strike/>
      <sz val="10.0"/>
      <color rgb="FF363B44"/>
      <name val="Arial"/>
      <scheme val="minor"/>
    </font>
    <font>
      <color rgb="FF363B44"/>
      <name val="Arial"/>
    </font>
    <font>
      <sz val="11.0"/>
      <color theme="1"/>
      <name val="PT Sans"/>
    </font>
    <font>
      <u/>
      <color rgb="FF0000FF"/>
      <name val="Arial"/>
    </font>
    <font>
      <u/>
      <sz val="10.0"/>
      <color rgb="FF000000"/>
    </font>
    <font>
      <u/>
      <color rgb="FF000000"/>
    </font>
    <font>
      <u/>
      <color rgb="FF000000"/>
      <name val="Arial"/>
    </font>
    <font>
      <u/>
      <sz val="10.0"/>
      <color rgb="FF000000"/>
    </font>
    <font>
      <u/>
      <sz val="11.0"/>
      <color rgb="FF000000"/>
      <name val="&quot;PT Sans&quot;"/>
    </font>
    <font>
      <sz val="11.0"/>
      <color theme="1"/>
      <name val="Arial"/>
    </font>
    <font>
      <color rgb="FFFFFFFF"/>
      <name val="Arial"/>
    </font>
    <font>
      <b/>
      <sz val="17.0"/>
      <color theme="1"/>
      <name val="Arial"/>
      <scheme val="minor"/>
    </font>
    <font>
      <b/>
      <sz val="13.0"/>
      <color rgb="FFFFFFFF"/>
      <name val="Arial"/>
      <scheme val="minor"/>
    </font>
    <font>
      <sz val="17.0"/>
      <color rgb="FF000000"/>
      <name val="Arial"/>
    </font>
    <font>
      <sz val="19.0"/>
      <color rgb="FF000000"/>
      <name val="Arial"/>
    </font>
    <font>
      <b/>
      <sz val="13.0"/>
      <color rgb="FFFF0000"/>
      <name val="Arial"/>
    </font>
    <font>
      <sz val="20.0"/>
      <color rgb="FF000000"/>
      <name val="Arial"/>
    </font>
    <font>
      <sz val="19.0"/>
      <color theme="1"/>
      <name val="Arial"/>
    </font>
    <font>
      <sz val="17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F5F5F5"/>
      </patternFill>
    </fill>
    <fill>
      <patternFill patternType="solid">
        <fgColor rgb="FF9900FF"/>
        <bgColor rgb="FF9900FF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3C78D8"/>
        <bgColor rgb="FF3C78D8"/>
      </patternFill>
    </fill>
    <fill>
      <patternFill patternType="solid">
        <fgColor rgb="FF93C47D"/>
        <bgColor rgb="FF93C47D"/>
      </patternFill>
    </fill>
    <fill>
      <patternFill patternType="solid">
        <fgColor rgb="FF980000"/>
        <bgColor rgb="FF980000"/>
      </patternFill>
    </fill>
    <fill>
      <patternFill patternType="solid">
        <fgColor theme="9"/>
        <bgColor theme="9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dotted">
        <color rgb="FFD9D9D9"/>
      </left>
      <top style="dotted">
        <color rgb="FFD9D9D9"/>
      </top>
      <bottom style="dotted">
        <color rgb="FFD9D9D9"/>
      </bottom>
    </border>
    <border>
      <top style="dotted">
        <color rgb="FFD9D9D9"/>
      </top>
      <bottom style="dotted">
        <color rgb="FFD9D9D9"/>
      </bottom>
    </border>
    <border>
      <right style="dotted">
        <color rgb="FFD9D9D9"/>
      </right>
      <top style="dotted">
        <color rgb="FFD9D9D9"/>
      </top>
      <bottom style="dotted">
        <color rgb="FFD9D9D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dotted">
        <color rgb="FFD9D9D9"/>
      </left>
      <right style="dotted">
        <color rgb="FFD9D9D9"/>
      </right>
      <top style="dotted">
        <color rgb="FFD9D9D9"/>
      </top>
      <bottom style="dotted">
        <color rgb="FFD9D9D9"/>
      </bottom>
    </border>
    <border>
      <top style="dotted">
        <color rgb="FFD9D9D9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bottom style="thin">
        <color rgb="FFFFFFFF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165" xfId="0" applyAlignment="1" applyBorder="1" applyFont="1" applyNumberForma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left" readingOrder="0" vertical="center"/>
    </xf>
    <xf borderId="1" fillId="2" fontId="3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165" xfId="0" applyAlignment="1" applyBorder="1" applyFont="1" applyNumberFormat="1">
      <alignment horizontal="center" readingOrder="0" vertical="center"/>
    </xf>
    <xf borderId="1" fillId="4" fontId="2" numFmtId="165" xfId="0" applyAlignment="1" applyBorder="1" applyFill="1" applyFont="1" applyNumberForma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1" fillId="5" fontId="5" numFmtId="166" xfId="0" applyAlignment="1" applyBorder="1" applyFont="1" applyNumberFormat="1">
      <alignment horizontal="center" readingOrder="0" vertical="center"/>
    </xf>
    <xf borderId="1" fillId="6" fontId="5" numFmtId="4" xfId="0" applyAlignment="1" applyBorder="1" applyFill="1" applyFont="1" applyNumberFormat="1">
      <alignment horizontal="center" readingOrder="0" vertical="center"/>
    </xf>
    <xf borderId="1" fillId="6" fontId="5" numFmtId="166" xfId="0" applyAlignment="1" applyBorder="1" applyFont="1" applyNumberFormat="1">
      <alignment horizontal="center" readingOrder="0" vertical="center"/>
    </xf>
    <xf borderId="1" fillId="6" fontId="5" numFmtId="166" xfId="0" applyAlignment="1" applyBorder="1" applyFont="1" applyNumberFormat="1">
      <alignment horizontal="left" readingOrder="0" vertical="center"/>
    </xf>
    <xf borderId="1" fillId="6" fontId="5" numFmtId="165" xfId="0" applyAlignment="1" applyBorder="1" applyFont="1" applyNumberFormat="1">
      <alignment horizontal="center" readingOrder="0" vertical="center"/>
    </xf>
    <xf borderId="1" fillId="6" fontId="6" numFmtId="166" xfId="0" applyAlignment="1" applyBorder="1" applyFont="1" applyNumberFormat="1">
      <alignment horizontal="left" readingOrder="0" vertical="center"/>
    </xf>
    <xf borderId="1" fillId="7" fontId="4" numFmtId="0" xfId="0" applyAlignment="1" applyBorder="1" applyFill="1" applyFont="1">
      <alignment horizontal="center" readingOrder="0" vertical="center"/>
    </xf>
    <xf borderId="1" fillId="7" fontId="5" numFmtId="166" xfId="0" applyAlignment="1" applyBorder="1" applyFont="1" applyNumberFormat="1">
      <alignment horizontal="center" readingOrder="0" vertical="center"/>
    </xf>
    <xf borderId="1" fillId="0" fontId="1" numFmtId="167" xfId="0" applyAlignment="1" applyBorder="1" applyFont="1" applyNumberForma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6" fontId="8" numFmtId="166" xfId="0" applyAlignment="1" applyBorder="1" applyFont="1" applyNumberFormat="1">
      <alignment horizontal="center" readingOrder="0" vertical="center"/>
    </xf>
    <xf borderId="1" fillId="6" fontId="9" numFmtId="166" xfId="0" applyAlignment="1" applyBorder="1" applyFont="1" applyNumberFormat="1">
      <alignment horizontal="center" readingOrder="0" vertical="center"/>
    </xf>
    <xf borderId="1" fillId="0" fontId="1" numFmtId="49" xfId="0" applyAlignment="1" applyBorder="1" applyFont="1" applyNumberFormat="1">
      <alignment horizontal="center" vertical="center"/>
    </xf>
    <xf borderId="1" fillId="0" fontId="1" numFmtId="168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1" numFmtId="169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5" numFmtId="167" xfId="0" applyAlignment="1" applyBorder="1" applyFont="1" applyNumberFormat="1">
      <alignment horizontal="center"/>
    </xf>
    <xf borderId="1" fillId="0" fontId="11" numFmtId="167" xfId="0" applyAlignment="1" applyBorder="1" applyFont="1" applyNumberFormat="1">
      <alignment horizontal="center"/>
    </xf>
    <xf borderId="1" fillId="0" fontId="12" numFmtId="167" xfId="0" applyAlignment="1" applyBorder="1" applyFont="1" applyNumberFormat="1">
      <alignment horizontal="center"/>
    </xf>
    <xf borderId="1" fillId="0" fontId="1" numFmtId="170" xfId="0" applyAlignment="1" applyBorder="1" applyFont="1" applyNumberFormat="1">
      <alignment horizontal="center" vertical="center"/>
    </xf>
    <xf borderId="1" fillId="0" fontId="1" numFmtId="171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center" vertical="center"/>
    </xf>
    <xf borderId="0" fillId="0" fontId="13" numFmtId="0" xfId="0" applyAlignment="1" applyFont="1">
      <alignment horizontal="left" readingOrder="0" vertical="center"/>
    </xf>
    <xf borderId="0" fillId="0" fontId="14" numFmtId="0" xfId="0" applyAlignment="1" applyFont="1">
      <alignment horizontal="left" vertical="center"/>
    </xf>
    <xf borderId="0" fillId="0" fontId="14" numFmtId="165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3" numFmtId="166" xfId="0" applyAlignment="1" applyFont="1" applyNumberFormat="1">
      <alignment horizontal="left" readingOrder="0" vertical="center"/>
    </xf>
    <xf borderId="0" fillId="0" fontId="1" numFmtId="9" xfId="0" applyAlignment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0" fillId="0" fontId="13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0" fontId="14" numFmtId="166" xfId="0" applyAlignment="1" applyFont="1" applyNumberFormat="1">
      <alignment horizontal="center" vertical="center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 readingOrder="0" vertical="center"/>
    </xf>
    <xf borderId="2" fillId="0" fontId="1" numFmtId="172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center" vertical="center"/>
    </xf>
    <xf borderId="3" fillId="0" fontId="16" numFmtId="0" xfId="0" applyAlignment="1" applyBorder="1" applyFont="1">
      <alignment horizontal="center" readingOrder="0" vertical="center"/>
    </xf>
    <xf borderId="4" fillId="0" fontId="17" numFmtId="0" xfId="0" applyBorder="1" applyFont="1"/>
    <xf borderId="5" fillId="0" fontId="17" numFmtId="0" xfId="0" applyBorder="1" applyFont="1"/>
    <xf borderId="6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16" numFmtId="165" xfId="0" applyAlignment="1" applyBorder="1" applyFont="1" applyNumberFormat="1">
      <alignment horizontal="center" readingOrder="0" vertical="center"/>
    </xf>
    <xf borderId="3" fillId="0" fontId="18" numFmtId="0" xfId="0" applyAlignment="1" applyBorder="1" applyFont="1">
      <alignment horizontal="center" readingOrder="0" vertical="center"/>
    </xf>
    <xf borderId="4" fillId="0" fontId="18" numFmtId="169" xfId="0" applyAlignment="1" applyBorder="1" applyFont="1" applyNumberFormat="1">
      <alignment horizontal="center" readingOrder="0" vertical="center"/>
    </xf>
    <xf borderId="4" fillId="0" fontId="18" numFmtId="0" xfId="0" applyAlignment="1" applyBorder="1" applyFont="1">
      <alignment horizontal="center" readingOrder="0" vertical="center"/>
    </xf>
    <xf borderId="5" fillId="0" fontId="18" numFmtId="0" xfId="0" applyAlignment="1" applyBorder="1" applyFont="1">
      <alignment horizontal="center" readingOrder="0" vertical="center"/>
    </xf>
    <xf borderId="7" fillId="0" fontId="18" numFmtId="0" xfId="0" applyAlignment="1" applyBorder="1" applyFont="1">
      <alignment horizontal="center" readingOrder="0" vertical="center"/>
    </xf>
    <xf borderId="2" fillId="0" fontId="18" numFmtId="0" xfId="0" applyAlignment="1" applyBorder="1" applyFont="1">
      <alignment horizontal="center" readingOrder="0" vertical="center"/>
    </xf>
    <xf borderId="2" fillId="0" fontId="18" numFmtId="165" xfId="0" applyAlignment="1" applyBorder="1" applyFont="1" applyNumberFormat="1">
      <alignment horizontal="center" readingOrder="0" vertical="center"/>
    </xf>
    <xf borderId="8" fillId="2" fontId="2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vertical="center"/>
    </xf>
    <xf borderId="8" fillId="3" fontId="2" numFmtId="0" xfId="0" applyAlignment="1" applyBorder="1" applyFont="1">
      <alignment horizontal="center" readingOrder="0" vertical="center"/>
    </xf>
    <xf borderId="8" fillId="4" fontId="2" numFmtId="0" xfId="0" applyAlignment="1" applyBorder="1" applyFont="1">
      <alignment horizontal="center" readingOrder="0" vertical="center"/>
    </xf>
    <xf borderId="8" fillId="4" fontId="2" numFmtId="165" xfId="0" applyAlignment="1" applyBorder="1" applyFont="1" applyNumberFormat="1">
      <alignment horizontal="center" readingOrder="0" vertical="center"/>
    </xf>
    <xf borderId="8" fillId="4" fontId="19" numFmtId="0" xfId="0" applyAlignment="1" applyBorder="1" applyFont="1">
      <alignment horizontal="center" readingOrder="0" vertical="center"/>
    </xf>
    <xf borderId="5" fillId="8" fontId="5" numFmtId="167" xfId="0" applyAlignment="1" applyBorder="1" applyFill="1" applyFont="1" applyNumberFormat="1">
      <alignment horizontal="center" readingOrder="0" vertical="center"/>
    </xf>
    <xf borderId="5" fillId="6" fontId="5" numFmtId="0" xfId="0" applyAlignment="1" applyBorder="1" applyFont="1">
      <alignment horizontal="center" readingOrder="0" vertical="center"/>
    </xf>
    <xf borderId="5" fillId="6" fontId="20" numFmtId="0" xfId="0" applyAlignment="1" applyBorder="1" applyFont="1">
      <alignment horizontal="center" readingOrder="0" vertical="center"/>
    </xf>
    <xf borderId="9" fillId="6" fontId="5" numFmtId="0" xfId="0" applyAlignment="1" applyBorder="1" applyFont="1">
      <alignment horizontal="center" readingOrder="0" vertical="center"/>
    </xf>
    <xf borderId="5" fillId="7" fontId="5" numFmtId="0" xfId="0" applyAlignment="1" applyBorder="1" applyFont="1">
      <alignment horizontal="center" readingOrder="0" vertical="center"/>
    </xf>
    <xf borderId="5" fillId="7" fontId="5" numFmtId="165" xfId="0" applyAlignment="1" applyBorder="1" applyFont="1" applyNumberFormat="1">
      <alignment horizontal="center" readingOrder="0" vertical="center"/>
    </xf>
    <xf borderId="5" fillId="5" fontId="5" numFmtId="0" xfId="0" applyAlignment="1" applyBorder="1" applyFont="1">
      <alignment horizontal="center" readingOrder="0" vertical="center"/>
    </xf>
    <xf borderId="8" fillId="4" fontId="19" numFmtId="0" xfId="0" applyAlignment="1" applyBorder="1" applyFont="1">
      <alignment horizontal="center" vertical="center"/>
    </xf>
    <xf borderId="5" fillId="9" fontId="5" numFmtId="167" xfId="0" applyAlignment="1" applyBorder="1" applyFill="1" applyFont="1" applyNumberFormat="1">
      <alignment horizontal="center" readingOrder="0" vertical="center"/>
    </xf>
    <xf borderId="5" fillId="6" fontId="5" numFmtId="167" xfId="0" applyAlignment="1" applyBorder="1" applyFont="1" applyNumberFormat="1">
      <alignment horizontal="center" readingOrder="0" vertical="center"/>
    </xf>
    <xf borderId="5" fillId="10" fontId="5" numFmtId="167" xfId="0" applyAlignment="1" applyBorder="1" applyFill="1" applyFont="1" applyNumberFormat="1">
      <alignment horizontal="center" readingOrder="0" vertical="center"/>
    </xf>
    <xf borderId="0" fillId="11" fontId="4" numFmtId="0" xfId="0" applyAlignment="1" applyFill="1" applyFont="1">
      <alignment readingOrder="0"/>
    </xf>
    <xf borderId="0" fillId="11" fontId="4" numFmtId="0" xfId="0" applyAlignment="1" applyFont="1">
      <alignment horizontal="center" readingOrder="0"/>
    </xf>
    <xf borderId="0" fillId="11" fontId="21" numFmtId="0" xfId="0" applyAlignment="1" applyFont="1">
      <alignment readingOrder="0"/>
    </xf>
    <xf borderId="5" fillId="6" fontId="5" numFmtId="49" xfId="0" applyAlignment="1" applyBorder="1" applyFont="1" applyNumberFormat="1">
      <alignment horizontal="center" readingOrder="0" vertical="center"/>
    </xf>
    <xf borderId="5" fillId="12" fontId="5" numFmtId="170" xfId="0" applyAlignment="1" applyBorder="1" applyFill="1" applyFont="1" applyNumberFormat="1">
      <alignment horizontal="center" readingOrder="0" vertical="center"/>
    </xf>
    <xf borderId="5" fillId="12" fontId="5" numFmtId="167" xfId="0" applyAlignment="1" applyBorder="1" applyFont="1" applyNumberFormat="1">
      <alignment horizontal="center" readingOrder="0" vertical="center"/>
    </xf>
    <xf borderId="10" fillId="0" fontId="1" numFmtId="0" xfId="0" applyAlignment="1" applyBorder="1" applyFont="1">
      <alignment horizontal="center" vertical="center"/>
    </xf>
    <xf borderId="10" fillId="13" fontId="19" numFmtId="0" xfId="0" applyAlignment="1" applyBorder="1" applyFill="1" applyFont="1">
      <alignment horizontal="center" readingOrder="0" vertical="center"/>
    </xf>
    <xf borderId="10" fillId="4" fontId="2" numFmtId="0" xfId="0" applyAlignment="1" applyBorder="1" applyFont="1">
      <alignment horizontal="center" readingOrder="0" vertical="center"/>
    </xf>
    <xf borderId="10" fillId="2" fontId="2" numFmtId="165" xfId="0" applyAlignment="1" applyBorder="1" applyFont="1" applyNumberFormat="1">
      <alignment horizontal="center" readingOrder="0" vertical="center"/>
    </xf>
    <xf borderId="10" fillId="0" fontId="1" numFmtId="165" xfId="0" applyAlignment="1" applyBorder="1" applyFont="1" applyNumberFormat="1">
      <alignment horizontal="center" vertical="center"/>
    </xf>
    <xf borderId="1" fillId="14" fontId="19" numFmtId="0" xfId="0" applyAlignment="1" applyBorder="1" applyFill="1" applyFont="1">
      <alignment horizontal="center" readingOrder="0" vertical="center"/>
    </xf>
    <xf borderId="1" fillId="15" fontId="1" numFmtId="0" xfId="0" applyAlignment="1" applyBorder="1" applyFill="1" applyFont="1">
      <alignment horizontal="center" readingOrder="0" vertical="center"/>
    </xf>
    <xf borderId="11" fillId="4" fontId="2" numFmtId="165" xfId="0" applyAlignment="1" applyBorder="1" applyFont="1" applyNumberFormat="1">
      <alignment horizontal="center" readingOrder="0" vertical="center"/>
    </xf>
    <xf borderId="12" fillId="0" fontId="17" numFmtId="0" xfId="0" applyBorder="1" applyFont="1"/>
    <xf borderId="1" fillId="0" fontId="1" numFmtId="172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10" fontId="22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vertical="center"/>
    </xf>
    <xf borderId="13" fillId="13" fontId="2" numFmtId="0" xfId="0" applyAlignment="1" applyBorder="1" applyFont="1">
      <alignment horizontal="center" readingOrder="0" vertical="center"/>
    </xf>
    <xf borderId="6" fillId="0" fontId="17" numFmtId="0" xfId="0" applyBorder="1" applyFont="1"/>
    <xf borderId="1" fillId="16" fontId="1" numFmtId="165" xfId="0" applyAlignment="1" applyBorder="1" applyFill="1" applyFont="1" applyNumberFormat="1">
      <alignment horizontal="center" readingOrder="0" vertical="center"/>
    </xf>
    <xf borderId="1" fillId="17" fontId="1" numFmtId="165" xfId="0" applyAlignment="1" applyBorder="1" applyFill="1" applyFont="1" applyNumberFormat="1">
      <alignment horizontal="center" vertical="center"/>
    </xf>
    <xf borderId="13" fillId="17" fontId="14" numFmtId="165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vertical="center"/>
    </xf>
    <xf borderId="1" fillId="0" fontId="1" numFmtId="165" xfId="0" applyAlignment="1" applyBorder="1" applyFont="1" applyNumberFormat="1">
      <alignment vertical="center"/>
    </xf>
    <xf borderId="3" fillId="0" fontId="18" numFmtId="0" xfId="0" applyAlignment="1" applyBorder="1" applyFont="1">
      <alignment horizontal="right" readingOrder="0" vertical="center"/>
    </xf>
    <xf borderId="4" fillId="0" fontId="18" numFmtId="169" xfId="0" applyAlignment="1" applyBorder="1" applyFont="1" applyNumberFormat="1">
      <alignment horizontal="left" readingOrder="0" vertical="center"/>
    </xf>
    <xf borderId="4" fillId="6" fontId="18" numFmtId="0" xfId="0" applyAlignment="1" applyBorder="1" applyFont="1">
      <alignment horizontal="center" readingOrder="0" vertical="center"/>
    </xf>
    <xf borderId="5" fillId="6" fontId="18" numFmtId="0" xfId="0" applyAlignment="1" applyBorder="1" applyFont="1">
      <alignment horizontal="center" readingOrder="0" vertical="center"/>
    </xf>
    <xf borderId="5" fillId="5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 vertical="center"/>
    </xf>
    <xf borderId="5" fillId="5" fontId="23" numFmtId="0" xfId="0" applyAlignment="1" applyBorder="1" applyFont="1">
      <alignment horizontal="center" readingOrder="0" vertical="center"/>
    </xf>
    <xf borderId="5" fillId="9" fontId="5" numFmtId="166" xfId="0" applyAlignment="1" applyBorder="1" applyFont="1" applyNumberFormat="1">
      <alignment horizontal="center" readingOrder="0" vertical="center"/>
    </xf>
    <xf borderId="0" fillId="11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11" fontId="4" numFmtId="0" xfId="0" applyAlignment="1" applyFont="1">
      <alignment horizontal="center" readingOrder="0" shrinkToFit="0" wrapText="1"/>
    </xf>
    <xf borderId="5" fillId="6" fontId="26" numFmtId="0" xfId="0" applyAlignment="1" applyBorder="1" applyFont="1">
      <alignment horizontal="center" readingOrder="0" vertical="center"/>
    </xf>
    <xf borderId="5" fillId="18" fontId="5" numFmtId="167" xfId="0" applyAlignment="1" applyBorder="1" applyFill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0" fillId="0" fontId="27" numFmtId="0" xfId="0" applyAlignment="1" applyFont="1">
      <alignment readingOrder="0"/>
    </xf>
    <xf borderId="5" fillId="19" fontId="5" numFmtId="167" xfId="0" applyAlignment="1" applyBorder="1" applyFill="1" applyFont="1" applyNumberFormat="1">
      <alignment horizontal="center" readingOrder="0" vertical="center"/>
    </xf>
    <xf borderId="10" fillId="0" fontId="1" numFmtId="0" xfId="0" applyAlignment="1" applyBorder="1" applyFont="1">
      <alignment horizontal="left" vertical="center"/>
    </xf>
    <xf borderId="10" fillId="0" fontId="1" numFmtId="0" xfId="0" applyAlignment="1" applyBorder="1" applyFont="1">
      <alignment vertical="center"/>
    </xf>
    <xf borderId="10" fillId="0" fontId="1" numFmtId="165" xfId="0" applyAlignment="1" applyBorder="1" applyFont="1" applyNumberFormat="1">
      <alignment vertical="center"/>
    </xf>
    <xf borderId="14" fillId="0" fontId="17" numFmtId="0" xfId="0" applyBorder="1" applyFont="1"/>
    <xf borderId="1" fillId="0" fontId="15" numFmtId="0" xfId="0" applyAlignment="1" applyBorder="1" applyFont="1">
      <alignment horizontal="left" vertical="center"/>
    </xf>
    <xf borderId="15" fillId="0" fontId="17" numFmtId="0" xfId="0" applyBorder="1" applyFont="1"/>
    <xf borderId="2" fillId="0" fontId="15" numFmtId="0" xfId="0" applyAlignment="1" applyBorder="1" applyFont="1">
      <alignment vertical="center"/>
    </xf>
    <xf borderId="2" fillId="0" fontId="1" numFmtId="165" xfId="0" applyAlignment="1" applyBorder="1" applyFont="1" applyNumberFormat="1">
      <alignment horizontal="center" vertical="center"/>
    </xf>
    <xf borderId="8" fillId="3" fontId="2" numFmtId="165" xfId="0" applyAlignment="1" applyBorder="1" applyFont="1" applyNumberFormat="1">
      <alignment horizontal="center" readingOrder="0" vertical="center"/>
    </xf>
    <xf borderId="0" fillId="20" fontId="4" numFmtId="0" xfId="0" applyAlignment="1" applyFill="1" applyFont="1">
      <alignment readingOrder="0"/>
    </xf>
    <xf borderId="0" fillId="20" fontId="4" numFmtId="0" xfId="0" applyAlignment="1" applyFont="1">
      <alignment horizontal="center" readingOrder="0"/>
    </xf>
    <xf borderId="5" fillId="20" fontId="5" numFmtId="49" xfId="0" applyAlignment="1" applyBorder="1" applyFont="1" applyNumberFormat="1">
      <alignment horizontal="center" readingOrder="0" vertical="center"/>
    </xf>
    <xf borderId="0" fillId="20" fontId="4" numFmtId="0" xfId="0" applyAlignment="1" applyFont="1">
      <alignment horizontal="center" readingOrder="0" shrinkToFit="0" wrapText="1"/>
    </xf>
    <xf borderId="5" fillId="20" fontId="5" numFmtId="0" xfId="0" applyAlignment="1" applyBorder="1" applyFont="1">
      <alignment horizontal="center" readingOrder="0" vertical="center"/>
    </xf>
    <xf borderId="5" fillId="8" fontId="5" numFmtId="167" xfId="0" applyAlignment="1" applyBorder="1" applyFont="1" applyNumberFormat="1">
      <alignment horizontal="center"/>
    </xf>
    <xf borderId="5" fillId="6" fontId="5" numFmtId="0" xfId="0" applyAlignment="1" applyBorder="1" applyFont="1">
      <alignment horizontal="center"/>
    </xf>
    <xf borderId="0" fillId="6" fontId="28" numFmtId="0" xfId="0" applyAlignment="1" applyFont="1">
      <alignment horizontal="center" readingOrder="0"/>
    </xf>
    <xf borderId="0" fillId="0" fontId="29" numFmtId="0" xfId="0" applyAlignment="1" applyFont="1">
      <alignment readingOrder="0"/>
    </xf>
    <xf borderId="5" fillId="6" fontId="30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5" fillId="6" fontId="15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shrinkToFit="0" wrapText="0"/>
    </xf>
    <xf borderId="0" fillId="0" fontId="31" numFmtId="0" xfId="0" applyAlignment="1" applyFont="1">
      <alignment horizontal="center" readingOrder="0" shrinkToFit="0" wrapText="1"/>
    </xf>
    <xf borderId="0" fillId="0" fontId="32" numFmtId="0" xfId="0" applyAlignment="1" applyFont="1">
      <alignment readingOrder="0" shrinkToFit="0" wrapText="1"/>
    </xf>
    <xf borderId="5" fillId="6" fontId="33" numFmtId="0" xfId="0" applyAlignment="1" applyBorder="1" applyFont="1">
      <alignment horizontal="center" readingOrder="0" vertical="center"/>
    </xf>
    <xf borderId="9" fillId="6" fontId="33" numFmtId="0" xfId="0" applyAlignment="1" applyBorder="1" applyFont="1">
      <alignment horizontal="center" readingOrder="0" vertical="center"/>
    </xf>
    <xf quotePrefix="1" borderId="5" fillId="6" fontId="5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shrinkToFit="0" wrapText="0"/>
    </xf>
    <xf borderId="0" fillId="0" fontId="34" numFmtId="0" xfId="0" applyAlignment="1" applyFont="1">
      <alignment readingOrder="0" shrinkToFit="0" wrapText="1"/>
    </xf>
    <xf borderId="0" fillId="0" fontId="28" numFmtId="0" xfId="0" applyAlignment="1" applyFont="1">
      <alignment horizontal="center" readingOrder="0" shrinkToFit="0" wrapText="1"/>
    </xf>
    <xf borderId="0" fillId="0" fontId="35" numFmtId="0" xfId="0" applyAlignment="1" applyFont="1">
      <alignment readingOrder="0" shrinkToFit="0" wrapText="1"/>
    </xf>
    <xf borderId="5" fillId="0" fontId="5" numFmtId="167" xfId="0" applyAlignment="1" applyBorder="1" applyFont="1" applyNumberFormat="1">
      <alignment horizontal="center" readingOrder="0" vertical="center"/>
    </xf>
    <xf borderId="5" fillId="6" fontId="36" numFmtId="0" xfId="0" applyAlignment="1" applyBorder="1" applyFont="1">
      <alignment horizontal="center" readingOrder="0" vertical="center"/>
    </xf>
    <xf borderId="5" fillId="10" fontId="5" numFmtId="169" xfId="0" applyAlignment="1" applyBorder="1" applyFont="1" applyNumberFormat="1">
      <alignment horizontal="center" readingOrder="0" vertical="center"/>
    </xf>
    <xf borderId="5" fillId="6" fontId="15" numFmtId="0" xfId="0" applyAlignment="1" applyBorder="1" applyFont="1">
      <alignment readingOrder="0" vertical="center"/>
    </xf>
    <xf borderId="1" fillId="0" fontId="15" numFmtId="0" xfId="0" applyAlignment="1" applyBorder="1" applyFont="1">
      <alignment vertical="center"/>
    </xf>
    <xf borderId="5" fillId="6" fontId="37" numFmtId="0" xfId="0" applyAlignment="1" applyBorder="1" applyFont="1">
      <alignment horizontal="center" readingOrder="0" vertical="center"/>
    </xf>
    <xf borderId="5" fillId="6" fontId="38" numFmtId="0" xfId="0" applyAlignment="1" applyBorder="1" applyFont="1">
      <alignment horizontal="center" readingOrder="0" vertical="center"/>
    </xf>
    <xf borderId="0" fillId="0" fontId="39" numFmtId="0" xfId="0" applyAlignment="1" applyFont="1">
      <alignment horizontal="center" readingOrder="0" shrinkToFit="0" wrapText="1"/>
    </xf>
    <xf borderId="0" fillId="0" fontId="39" numFmtId="0" xfId="0" applyAlignment="1" applyFont="1">
      <alignment readingOrder="0" shrinkToFit="0" wrapText="1"/>
    </xf>
    <xf borderId="0" fillId="0" fontId="22" numFmtId="0" xfId="0" applyAlignment="1" applyFont="1">
      <alignment horizontal="center" readingOrder="0" shrinkToFit="0" wrapText="0"/>
    </xf>
    <xf borderId="0" fillId="19" fontId="1" numFmtId="168" xfId="0" applyAlignment="1" applyFont="1" applyNumberFormat="1">
      <alignment horizontal="center" readingOrder="0"/>
    </xf>
    <xf borderId="0" fillId="0" fontId="22" numFmtId="0" xfId="0" applyAlignment="1" applyFont="1">
      <alignment horizontal="center" readingOrder="0"/>
    </xf>
    <xf borderId="0" fillId="0" fontId="40" numFmtId="0" xfId="0" applyAlignment="1" applyFont="1">
      <alignment horizontal="center" readingOrder="0" shrinkToFit="0" wrapText="1"/>
    </xf>
    <xf borderId="0" fillId="6" fontId="40" numFmtId="0" xfId="0" applyAlignment="1" applyFont="1">
      <alignment horizontal="center" readingOrder="0"/>
    </xf>
    <xf borderId="0" fillId="6" fontId="41" numFmtId="0" xfId="0" applyAlignment="1" applyFont="1">
      <alignment readingOrder="0"/>
    </xf>
    <xf borderId="5" fillId="6" fontId="42" numFmtId="0" xfId="0" applyAlignment="1" applyBorder="1" applyFont="1">
      <alignment horizontal="center" readingOrder="0" vertical="center"/>
    </xf>
    <xf borderId="5" fillId="5" fontId="5" numFmtId="9" xfId="0" applyAlignment="1" applyBorder="1" applyFont="1" applyNumberFormat="1">
      <alignment horizontal="center" readingOrder="0" vertical="center"/>
    </xf>
    <xf borderId="0" fillId="0" fontId="31" numFmtId="0" xfId="0" applyAlignment="1" applyFont="1">
      <alignment readingOrder="0" shrinkToFit="0" wrapText="1"/>
    </xf>
    <xf borderId="0" fillId="0" fontId="43" numFmtId="0" xfId="0" applyAlignment="1" applyFont="1">
      <alignment readingOrder="0" shrinkToFit="0" wrapText="1"/>
    </xf>
    <xf borderId="0" fillId="0" fontId="43" numFmtId="0" xfId="0" applyAlignment="1" applyFont="1">
      <alignment shrinkToFit="0" wrapText="1"/>
    </xf>
    <xf borderId="0" fillId="6" fontId="44" numFmtId="0" xfId="0" applyAlignment="1" applyFont="1">
      <alignment horizontal="center" readingOrder="0" shrinkToFit="0" wrapText="0"/>
    </xf>
    <xf borderId="2" fillId="0" fontId="15" numFmtId="0" xfId="0" applyAlignment="1" applyBorder="1" applyFont="1">
      <alignment horizontal="center" readingOrder="0" vertical="center"/>
    </xf>
    <xf borderId="0" fillId="0" fontId="45" numFmtId="0" xfId="0" applyAlignment="1" applyFont="1">
      <alignment readingOrder="0" shrinkToFit="0" wrapText="1"/>
    </xf>
    <xf borderId="0" fillId="0" fontId="1" numFmtId="49" xfId="0" applyAlignment="1" applyFont="1" applyNumberFormat="1">
      <alignment horizontal="center" readingOrder="0" shrinkToFit="0" wrapText="0"/>
    </xf>
    <xf borderId="0" fillId="12" fontId="1" numFmtId="168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8" numFmtId="0" xfId="0" applyAlignment="1" applyFont="1">
      <alignment horizontal="center"/>
    </xf>
    <xf borderId="5" fillId="21" fontId="5" numFmtId="167" xfId="0" applyAlignment="1" applyBorder="1" applyFill="1" applyFont="1" applyNumberFormat="1">
      <alignment horizontal="center" readingOrder="0" vertical="center"/>
    </xf>
    <xf borderId="5" fillId="22" fontId="5" numFmtId="167" xfId="0" applyAlignment="1" applyBorder="1" applyFill="1" applyFont="1" applyNumberFormat="1">
      <alignment horizontal="center" readingOrder="0" vertical="center"/>
    </xf>
    <xf borderId="0" fillId="11" fontId="4" numFmtId="0" xfId="0" applyAlignment="1" applyFont="1">
      <alignment readingOrder="0" shrinkToFit="0" wrapText="1"/>
    </xf>
    <xf borderId="0" fillId="0" fontId="28" numFmtId="0" xfId="0" applyAlignment="1" applyFont="1">
      <alignment readingOrder="0"/>
    </xf>
    <xf borderId="0" fillId="0" fontId="14" numFmtId="169" xfId="0" applyAlignment="1" applyFont="1" applyNumberFormat="1">
      <alignment horizontal="center" readingOrder="0"/>
    </xf>
    <xf borderId="9" fillId="6" fontId="46" numFmtId="0" xfId="0" applyAlignment="1" applyBorder="1" applyFont="1">
      <alignment horizontal="center" readingOrder="0" vertical="center"/>
    </xf>
    <xf borderId="5" fillId="6" fontId="47" numFmtId="0" xfId="0" applyAlignment="1" applyBorder="1" applyFont="1">
      <alignment horizontal="center" readingOrder="0" vertical="center"/>
    </xf>
    <xf borderId="2" fillId="0" fontId="1" numFmtId="167" xfId="0" applyAlignment="1" applyBorder="1" applyFont="1" applyNumberFormat="1">
      <alignment horizontal="center" vertical="center"/>
    </xf>
    <xf borderId="8" fillId="2" fontId="2" numFmtId="167" xfId="0" applyAlignment="1" applyBorder="1" applyFont="1" applyNumberFormat="1">
      <alignment horizontal="center" readingOrder="0" vertical="center"/>
    </xf>
    <xf borderId="8" fillId="3" fontId="2" numFmtId="169" xfId="0" applyAlignment="1" applyBorder="1" applyFont="1" applyNumberFormat="1">
      <alignment horizontal="center" readingOrder="0" vertical="center"/>
    </xf>
    <xf borderId="0" fillId="0" fontId="48" numFmtId="0" xfId="0" applyAlignment="1" applyFont="1">
      <alignment horizontal="center" readingOrder="0" shrinkToFit="0" wrapText="0"/>
    </xf>
    <xf borderId="5" fillId="6" fontId="49" numFmtId="0" xfId="0" applyAlignment="1" applyBorder="1" applyFont="1">
      <alignment horizontal="center" readingOrder="0" vertical="center"/>
    </xf>
    <xf borderId="9" fillId="6" fontId="50" numFmtId="0" xfId="0" applyAlignment="1" applyBorder="1" applyFont="1">
      <alignment horizontal="center" readingOrder="0" vertical="center"/>
    </xf>
    <xf borderId="5" fillId="6" fontId="51" numFmtId="0" xfId="0" applyAlignment="1" applyBorder="1" applyFont="1">
      <alignment horizontal="center" readingOrder="0" vertical="center"/>
    </xf>
    <xf borderId="9" fillId="6" fontId="52" numFmtId="0" xfId="0" applyAlignment="1" applyBorder="1" applyFont="1">
      <alignment horizontal="center" readingOrder="0" vertical="center"/>
    </xf>
    <xf borderId="10" fillId="0" fontId="1" numFmtId="167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readingOrder="0" vertical="center"/>
    </xf>
    <xf borderId="2" fillId="0" fontId="15" numFmtId="167" xfId="0" applyAlignment="1" applyBorder="1" applyFont="1" applyNumberFormat="1">
      <alignment horizontal="center" vertical="center"/>
    </xf>
    <xf borderId="1" fillId="0" fontId="15" numFmtId="165" xfId="0" applyAlignment="1" applyBorder="1" applyFont="1" applyNumberFormat="1">
      <alignment vertical="center"/>
    </xf>
    <xf borderId="6" fillId="0" fontId="53" numFmtId="0" xfId="0" applyAlignment="1" applyBorder="1" applyFont="1">
      <alignment horizontal="center" readingOrder="0" vertical="center"/>
    </xf>
    <xf borderId="1" fillId="0" fontId="53" numFmtId="0" xfId="0" applyAlignment="1" applyBorder="1" applyFont="1">
      <alignment horizontal="center" readingOrder="0" vertical="center"/>
    </xf>
    <xf borderId="1" fillId="0" fontId="53" numFmtId="165" xfId="0" applyAlignment="1" applyBorder="1" applyFont="1" applyNumberFormat="1">
      <alignment horizontal="center" readingOrder="0" vertical="center"/>
    </xf>
    <xf borderId="4" fillId="0" fontId="54" numFmtId="0" xfId="0" applyAlignment="1" applyBorder="1" applyFont="1">
      <alignment horizontal="center" readingOrder="0" vertical="center"/>
    </xf>
    <xf borderId="5" fillId="0" fontId="54" numFmtId="0" xfId="0" applyAlignment="1" applyBorder="1" applyFont="1">
      <alignment horizontal="center" readingOrder="0" vertical="center"/>
    </xf>
    <xf borderId="7" fillId="0" fontId="53" numFmtId="0" xfId="0" applyAlignment="1" applyBorder="1" applyFont="1">
      <alignment horizontal="center" readingOrder="0" vertical="center"/>
    </xf>
    <xf borderId="2" fillId="0" fontId="53" numFmtId="0" xfId="0" applyAlignment="1" applyBorder="1" applyFont="1">
      <alignment horizontal="center" readingOrder="0" vertical="center"/>
    </xf>
    <xf borderId="2" fillId="0" fontId="53" numFmtId="165" xfId="0" applyAlignment="1" applyBorder="1" applyFont="1" applyNumberFormat="1">
      <alignment horizontal="center" readingOrder="0" vertical="center"/>
    </xf>
    <xf borderId="8" fillId="2" fontId="3" numFmtId="167" xfId="0" applyAlignment="1" applyBorder="1" applyFont="1" applyNumberFormat="1">
      <alignment horizontal="center" readingOrder="0" vertical="center"/>
    </xf>
    <xf borderId="8" fillId="3" fontId="3" numFmtId="169" xfId="0" applyAlignment="1" applyBorder="1" applyFont="1" applyNumberFormat="1">
      <alignment horizontal="center" readingOrder="0" vertical="center"/>
    </xf>
    <xf borderId="8" fillId="3" fontId="3" numFmtId="0" xfId="0" applyAlignment="1" applyBorder="1" applyFont="1">
      <alignment horizontal="center" readingOrder="0" vertical="center"/>
    </xf>
    <xf borderId="8" fillId="4" fontId="3" numFmtId="0" xfId="0" applyAlignment="1" applyBorder="1" applyFont="1">
      <alignment horizontal="center" readingOrder="0" vertical="center"/>
    </xf>
    <xf borderId="8" fillId="4" fontId="3" numFmtId="165" xfId="0" applyAlignment="1" applyBorder="1" applyFont="1" applyNumberFormat="1">
      <alignment horizontal="center" readingOrder="0" vertical="center"/>
    </xf>
    <xf borderId="8" fillId="4" fontId="55" numFmtId="0" xfId="0" applyAlignment="1" applyBorder="1" applyFont="1">
      <alignment horizontal="center" readingOrder="0" vertical="center"/>
    </xf>
    <xf borderId="5" fillId="8" fontId="5" numFmtId="166" xfId="0" applyAlignment="1" applyBorder="1" applyFont="1" applyNumberFormat="1">
      <alignment horizontal="center" readingOrder="0" vertical="center"/>
    </xf>
    <xf borderId="5" fillId="6" fontId="5" numFmtId="0" xfId="0" applyAlignment="1" applyBorder="1" applyFont="1">
      <alignment horizontal="left" readingOrder="0" vertical="center"/>
    </xf>
    <xf borderId="5" fillId="7" fontId="5" numFmtId="0" xfId="0" applyAlignment="1" applyBorder="1" applyFont="1">
      <alignment readingOrder="0" vertical="center"/>
    </xf>
    <xf borderId="8" fillId="4" fontId="55" numFmtId="0" xfId="0" applyAlignment="1" applyBorder="1" applyFont="1">
      <alignment horizontal="center" vertical="center"/>
    </xf>
    <xf borderId="8" fillId="5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readingOrder="0" vertical="center"/>
    </xf>
    <xf borderId="0" fillId="11" fontId="56" numFmtId="0" xfId="0" applyAlignment="1" applyFont="1">
      <alignment horizontal="center" readingOrder="0"/>
    </xf>
    <xf borderId="5" fillId="6" fontId="20" numFmtId="0" xfId="0" applyAlignment="1" applyBorder="1" applyFont="1">
      <alignment horizontal="left" readingOrder="0" vertical="center"/>
    </xf>
    <xf borderId="8" fillId="2" fontId="55" numFmtId="0" xfId="0" applyAlignment="1" applyBorder="1" applyFont="1">
      <alignment horizontal="center" readingOrder="0" vertical="center"/>
    </xf>
    <xf borderId="8" fillId="23" fontId="55" numFmtId="0" xfId="0" applyAlignment="1" applyBorder="1" applyFill="1" applyFont="1">
      <alignment horizontal="center" readingOrder="0" vertical="center"/>
    </xf>
    <xf borderId="8" fillId="23" fontId="55" numFmtId="0" xfId="0" applyAlignment="1" applyBorder="1" applyFont="1">
      <alignment horizontal="center" vertical="center"/>
    </xf>
    <xf borderId="5" fillId="6" fontId="57" numFmtId="0" xfId="0" applyAlignment="1" applyBorder="1" applyFont="1">
      <alignment horizontal="left" readingOrder="0" vertical="center"/>
    </xf>
    <xf borderId="3" fillId="23" fontId="55" numFmtId="0" xfId="0" applyAlignment="1" applyBorder="1" applyFont="1">
      <alignment horizontal="center" vertical="center"/>
    </xf>
    <xf borderId="0" fillId="6" fontId="28" numFmtId="0" xfId="0" applyAlignment="1" applyFont="1">
      <alignment readingOrder="0"/>
    </xf>
    <xf borderId="5" fillId="6" fontId="58" numFmtId="0" xfId="0" applyAlignment="1" applyBorder="1" applyFont="1">
      <alignment horizontal="center" readingOrder="0" vertical="center"/>
    </xf>
    <xf borderId="5" fillId="6" fontId="30" numFmtId="0" xfId="0" applyAlignment="1" applyBorder="1" applyFont="1">
      <alignment readingOrder="0" vertical="center"/>
    </xf>
    <xf borderId="5" fillId="6" fontId="15" numFmtId="0" xfId="0" applyAlignment="1" applyBorder="1" applyFont="1">
      <alignment vertical="center"/>
    </xf>
    <xf borderId="5" fillId="6" fontId="15" numFmtId="165" xfId="0" applyAlignment="1" applyBorder="1" applyFont="1" applyNumberFormat="1">
      <alignment horizontal="center" readingOrder="0" vertical="center"/>
    </xf>
    <xf borderId="5" fillId="6" fontId="15" numFmtId="165" xfId="0" applyAlignment="1" applyBorder="1" applyFont="1" applyNumberFormat="1">
      <alignment horizontal="center" vertical="center"/>
    </xf>
    <xf borderId="5" fillId="7" fontId="15" numFmtId="165" xfId="0" applyAlignment="1" applyBorder="1" applyFont="1" applyNumberFormat="1">
      <alignment horizontal="center" readingOrder="0" vertical="center"/>
    </xf>
    <xf borderId="5" fillId="7" fontId="15" numFmtId="0" xfId="0" applyAlignment="1" applyBorder="1" applyFont="1">
      <alignment horizontal="center" readingOrder="0" vertical="center"/>
    </xf>
    <xf borderId="5" fillId="7" fontId="15" numFmtId="165" xfId="0" applyAlignment="1" applyBorder="1" applyFont="1" applyNumberFormat="1">
      <alignment horizontal="center" readingOrder="0" vertical="center"/>
    </xf>
    <xf borderId="10" fillId="0" fontId="15" numFmtId="0" xfId="0" applyAlignment="1" applyBorder="1" applyFont="1">
      <alignment horizontal="center" vertical="center"/>
    </xf>
    <xf borderId="10" fillId="0" fontId="15" numFmtId="167" xfId="0" applyAlignment="1" applyBorder="1" applyFont="1" applyNumberFormat="1">
      <alignment horizontal="center" vertical="center"/>
    </xf>
    <xf borderId="10" fillId="13" fontId="55" numFmtId="0" xfId="0" applyAlignment="1" applyBorder="1" applyFont="1">
      <alignment horizontal="center" readingOrder="0" vertical="center"/>
    </xf>
    <xf borderId="10" fillId="4" fontId="3" numFmtId="0" xfId="0" applyAlignment="1" applyBorder="1" applyFont="1">
      <alignment horizontal="center" readingOrder="0" vertical="center"/>
    </xf>
    <xf borderId="10" fillId="2" fontId="3" numFmtId="165" xfId="0" applyAlignment="1" applyBorder="1" applyFont="1" applyNumberFormat="1">
      <alignment horizontal="center" readingOrder="0" vertical="center"/>
    </xf>
    <xf borderId="0" fillId="0" fontId="15" numFmtId="0" xfId="0" applyAlignment="1" applyFont="1">
      <alignment vertical="center"/>
    </xf>
    <xf borderId="10" fillId="0" fontId="15" numFmtId="0" xfId="0" applyAlignment="1" applyBorder="1" applyFont="1">
      <alignment vertical="center"/>
    </xf>
    <xf borderId="10" fillId="0" fontId="15" numFmtId="165" xfId="0" applyAlignment="1" applyBorder="1" applyFont="1" applyNumberFormat="1">
      <alignment horizontal="center" vertical="center"/>
    </xf>
    <xf borderId="1" fillId="0" fontId="15" numFmtId="167" xfId="0" applyAlignment="1" applyBorder="1" applyFont="1" applyNumberFormat="1">
      <alignment horizontal="center" vertical="center"/>
    </xf>
    <xf borderId="1" fillId="14" fontId="55" numFmtId="0" xfId="0" applyAlignment="1" applyBorder="1" applyFont="1">
      <alignment horizontal="center" readingOrder="0" vertical="center"/>
    </xf>
    <xf borderId="1" fillId="15" fontId="15" numFmtId="0" xfId="0" applyAlignment="1" applyBorder="1" applyFont="1">
      <alignment horizontal="center" readingOrder="0" vertical="center"/>
    </xf>
    <xf borderId="11" fillId="4" fontId="3" numFmtId="165" xfId="0" applyAlignment="1" applyBorder="1" applyFont="1" applyNumberFormat="1">
      <alignment horizontal="center" readingOrder="0" vertical="center"/>
    </xf>
    <xf borderId="1" fillId="0" fontId="15" numFmtId="165" xfId="0" applyAlignment="1" applyBorder="1" applyFont="1" applyNumberFormat="1">
      <alignment horizontal="center" vertical="center"/>
    </xf>
    <xf borderId="1" fillId="10" fontId="0" numFmtId="0" xfId="0" applyAlignment="1" applyBorder="1" applyFont="1">
      <alignment horizontal="center" readingOrder="0" vertical="center"/>
    </xf>
    <xf borderId="1" fillId="7" fontId="15" numFmtId="0" xfId="0" applyAlignment="1" applyBorder="1" applyFont="1">
      <alignment horizontal="center" vertical="center"/>
    </xf>
    <xf borderId="13" fillId="13" fontId="3" numFmtId="0" xfId="0" applyAlignment="1" applyBorder="1" applyFont="1">
      <alignment horizontal="center" readingOrder="0" vertical="center"/>
    </xf>
    <xf borderId="1" fillId="0" fontId="15" numFmtId="172" xfId="0" applyAlignment="1" applyBorder="1" applyFont="1" applyNumberFormat="1">
      <alignment horizontal="center" vertical="center"/>
    </xf>
    <xf borderId="1" fillId="16" fontId="15" numFmtId="165" xfId="0" applyAlignment="1" applyBorder="1" applyFont="1" applyNumberFormat="1">
      <alignment horizontal="center" readingOrder="0" vertical="center"/>
    </xf>
    <xf borderId="1" fillId="17" fontId="15" numFmtId="165" xfId="0" applyAlignment="1" applyBorder="1" applyFont="1" applyNumberFormat="1">
      <alignment horizontal="center" vertical="center"/>
    </xf>
    <xf borderId="13" fillId="17" fontId="53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readingOrder="0" shrinkToFit="0" wrapText="0"/>
    </xf>
    <xf borderId="9" fillId="6" fontId="59" numFmtId="0" xfId="0" applyAlignment="1" applyBorder="1" applyFont="1">
      <alignment horizontal="center" readingOrder="0" vertical="center"/>
    </xf>
    <xf borderId="5" fillId="6" fontId="60" numFmtId="0" xfId="0" applyAlignment="1" applyBorder="1" applyFont="1">
      <alignment horizontal="center" readingOrder="0" vertical="center"/>
    </xf>
    <xf borderId="4" fillId="6" fontId="5" numFmtId="0" xfId="0" applyAlignment="1" applyBorder="1" applyFont="1">
      <alignment horizontal="center" readingOrder="0" vertical="center"/>
    </xf>
    <xf borderId="5" fillId="6" fontId="5" numFmtId="0" xfId="0" applyAlignment="1" applyBorder="1" applyFont="1">
      <alignment readingOrder="0" vertical="center"/>
    </xf>
    <xf borderId="5" fillId="6" fontId="5" numFmtId="0" xfId="0" applyAlignment="1" applyBorder="1" applyFont="1">
      <alignment vertical="center"/>
    </xf>
    <xf borderId="8" fillId="7" fontId="1" numFmtId="0" xfId="0" applyAlignment="1" applyBorder="1" applyFont="1">
      <alignment horizontal="center" readingOrder="0" vertical="center"/>
    </xf>
    <xf borderId="8" fillId="7" fontId="1" numFmtId="165" xfId="0" applyAlignment="1" applyBorder="1" applyFont="1" applyNumberFormat="1">
      <alignment horizontal="center" readingOrder="0" vertical="center"/>
    </xf>
    <xf borderId="8" fillId="5" fontId="1" numFmtId="0" xfId="0" applyAlignment="1" applyBorder="1" applyFont="1">
      <alignment horizontal="center" readingOrder="0" vertical="center"/>
    </xf>
    <xf borderId="5" fillId="6" fontId="5" numFmtId="165" xfId="0" applyAlignment="1" applyBorder="1" applyFont="1" applyNumberFormat="1">
      <alignment horizontal="center" readingOrder="0" vertical="center"/>
    </xf>
    <xf borderId="5" fillId="6" fontId="5" numFmtId="165" xfId="0" applyAlignment="1" applyBorder="1" applyFont="1" applyNumberFormat="1">
      <alignment vertical="center"/>
    </xf>
    <xf borderId="5" fillId="7" fontId="5" numFmtId="165" xfId="0" applyAlignment="1" applyBorder="1" applyFont="1" applyNumberFormat="1">
      <alignment horizontal="center" readingOrder="0" vertical="center"/>
    </xf>
    <xf borderId="5" fillId="6" fontId="5" numFmtId="0" xfId="0" applyAlignment="1" applyBorder="1" applyFont="1">
      <alignment horizontal="center" vertical="center"/>
    </xf>
    <xf borderId="5" fillId="6" fontId="5" numFmtId="168" xfId="0" applyAlignment="1" applyBorder="1" applyFont="1" applyNumberFormat="1">
      <alignment horizontal="center" readingOrder="0" vertical="center"/>
    </xf>
    <xf borderId="5" fillId="6" fontId="5" numFmtId="165" xfId="0" applyAlignment="1" applyBorder="1" applyFont="1" applyNumberFormat="1">
      <alignment horizontal="center" vertical="center"/>
    </xf>
    <xf borderId="8" fillId="5" fontId="5" numFmtId="0" xfId="0" applyAlignment="1" applyBorder="1" applyFont="1">
      <alignment horizontal="center" vertical="center"/>
    </xf>
    <xf borderId="10" fillId="4" fontId="2" numFmtId="165" xfId="0" applyAlignment="1" applyBorder="1" applyFont="1" applyNumberFormat="1">
      <alignment horizontal="center" readingOrder="0" vertical="center"/>
    </xf>
    <xf borderId="1" fillId="13" fontId="2" numFmtId="0" xfId="0" applyAlignment="1" applyBorder="1" applyFont="1">
      <alignment horizontal="center" readingOrder="0" vertical="center"/>
    </xf>
    <xf borderId="5" fillId="20" fontId="5" numFmtId="167" xfId="0" applyAlignment="1" applyBorder="1" applyFont="1" applyNumberFormat="1">
      <alignment horizontal="center" readingOrder="0" vertical="center"/>
    </xf>
    <xf borderId="5" fillId="6" fontId="0" numFmtId="0" xfId="0" applyAlignment="1" applyBorder="1" applyFont="1">
      <alignment horizontal="center" readingOrder="0" vertical="center"/>
    </xf>
    <xf borderId="5" fillId="8" fontId="5" numFmtId="169" xfId="0" applyAlignment="1" applyBorder="1" applyFont="1" applyNumberFormat="1">
      <alignment horizontal="center" readingOrder="0" vertical="center"/>
    </xf>
    <xf borderId="5" fillId="6" fontId="30" numFmtId="49" xfId="0" applyAlignment="1" applyBorder="1" applyFont="1" applyNumberFormat="1">
      <alignment horizontal="center" readingOrder="0" vertical="center"/>
    </xf>
    <xf borderId="5" fillId="6" fontId="61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5" numFmtId="167" xfId="0" applyAlignment="1" applyFont="1" applyNumberFormat="1">
      <alignment horizontal="center" vertical="center"/>
    </xf>
    <xf borderId="0" fillId="0" fontId="53" numFmtId="0" xfId="0" applyAlignment="1" applyFont="1">
      <alignment horizontal="center" readingOrder="0" vertical="center"/>
    </xf>
    <xf borderId="5" fillId="19" fontId="5" numFmtId="167" xfId="0" applyAlignment="1" applyBorder="1" applyFont="1" applyNumberFormat="1">
      <alignment horizontal="center"/>
    </xf>
    <xf borderId="5" fillId="6" fontId="62" numFmtId="0" xfId="0" applyAlignment="1" applyBorder="1" applyFont="1">
      <alignment horizontal="center"/>
    </xf>
    <xf borderId="5" fillId="6" fontId="62" numFmtId="0" xfId="0" applyBorder="1" applyFont="1"/>
    <xf borderId="5" fillId="6" fontId="5" numFmtId="0" xfId="0" applyBorder="1" applyFont="1"/>
    <xf borderId="1" fillId="0" fontId="15" numFmtId="0" xfId="0" applyAlignment="1" applyBorder="1" applyFont="1">
      <alignment horizontal="center" readingOrder="0" vertical="center"/>
    </xf>
    <xf borderId="0" fillId="6" fontId="63" numFmtId="0" xfId="0" applyAlignment="1" applyFont="1">
      <alignment horizontal="right" vertical="bottom"/>
    </xf>
    <xf borderId="0" fillId="6" fontId="63" numFmtId="0" xfId="0" applyAlignment="1" applyFont="1">
      <alignment vertical="bottom"/>
    </xf>
    <xf borderId="0" fillId="0" fontId="64" numFmtId="0" xfId="0" applyAlignment="1" applyFont="1">
      <alignment vertical="bottom"/>
    </xf>
    <xf borderId="5" fillId="19" fontId="5" numFmtId="170" xfId="0" applyAlignment="1" applyBorder="1" applyFont="1" applyNumberFormat="1">
      <alignment horizontal="center" readingOrder="0" vertical="center"/>
    </xf>
    <xf borderId="5" fillId="6" fontId="65" numFmtId="0" xfId="0" applyAlignment="1" applyBorder="1" applyFont="1">
      <alignment readingOrder="0" vertical="center"/>
    </xf>
    <xf borderId="0" fillId="0" fontId="66" numFmtId="0" xfId="0" applyAlignment="1" applyFont="1">
      <alignment readingOrder="0"/>
    </xf>
    <xf borderId="5" fillId="6" fontId="0" numFmtId="0" xfId="0" applyAlignment="1" applyBorder="1" applyFont="1">
      <alignment readingOrder="0" vertical="center"/>
    </xf>
    <xf borderId="5" fillId="6" fontId="15" numFmtId="171" xfId="0" applyAlignment="1" applyBorder="1" applyFont="1" applyNumberFormat="1">
      <alignment horizontal="center" readingOrder="0" vertical="center"/>
    </xf>
    <xf borderId="5" fillId="19" fontId="5" numFmtId="167" xfId="0" applyAlignment="1" applyBorder="1" applyFont="1" applyNumberFormat="1">
      <alignment horizontal="center" readingOrder="0"/>
    </xf>
    <xf borderId="5" fillId="6" fontId="20" numFmtId="0" xfId="0" applyBorder="1" applyFont="1"/>
    <xf borderId="5" fillId="6" fontId="33" numFmtId="0" xfId="0" applyBorder="1" applyFont="1"/>
    <xf borderId="9" fillId="6" fontId="5" numFmtId="0" xfId="0" applyAlignment="1" applyBorder="1" applyFont="1">
      <alignment horizontal="center"/>
    </xf>
    <xf borderId="5" fillId="19" fontId="5" numFmtId="167" xfId="0" applyAlignment="1" applyBorder="1" applyFont="1" applyNumberFormat="1">
      <alignment readingOrder="0"/>
    </xf>
    <xf borderId="5" fillId="6" fontId="5" numFmtId="0" xfId="0" applyAlignment="1" applyBorder="1" applyFont="1">
      <alignment horizontal="center" readingOrder="0"/>
    </xf>
    <xf borderId="5" fillId="6" fontId="5" numFmtId="165" xfId="0" applyBorder="1" applyFont="1" applyNumberFormat="1"/>
    <xf borderId="5" fillId="6" fontId="5" numFmtId="165" xfId="0" applyAlignment="1" applyBorder="1" applyFont="1" applyNumberFormat="1">
      <alignment horizontal="center"/>
    </xf>
    <xf borderId="5" fillId="6" fontId="5" numFmtId="165" xfId="0" applyAlignment="1" applyBorder="1" applyFont="1" applyNumberFormat="1">
      <alignment horizontal="center" readingOrder="0"/>
    </xf>
    <xf borderId="0" fillId="0" fontId="67" numFmtId="0" xfId="0" applyAlignment="1" applyFont="1">
      <alignment vertical="bottom"/>
    </xf>
    <xf borderId="5" fillId="10" fontId="5" numFmtId="167" xfId="0" applyAlignment="1" applyBorder="1" applyFont="1" applyNumberFormat="1">
      <alignment horizontal="center"/>
    </xf>
    <xf borderId="5" fillId="6" fontId="5" numFmtId="0" xfId="0" applyAlignment="1" applyBorder="1" applyFont="1">
      <alignment readingOrder="0"/>
    </xf>
    <xf borderId="5" fillId="24" fontId="15" numFmtId="165" xfId="0" applyAlignment="1" applyBorder="1" applyFill="1" applyFont="1" applyNumberFormat="1">
      <alignment horizontal="center" readingOrder="0" vertical="center"/>
    </xf>
    <xf borderId="5" fillId="6" fontId="5" numFmtId="167" xfId="0" applyAlignment="1" applyBorder="1" applyFont="1" applyNumberFormat="1">
      <alignment horizontal="center"/>
    </xf>
    <xf borderId="5" fillId="6" fontId="68" numFmtId="0" xfId="0" applyAlignment="1" applyBorder="1" applyFont="1">
      <alignment readingOrder="0" vertical="center"/>
    </xf>
    <xf borderId="0" fillId="6" fontId="69" numFmtId="0" xfId="0" applyAlignment="1" applyFont="1">
      <alignment readingOrder="0"/>
    </xf>
    <xf borderId="5" fillId="6" fontId="37" numFmtId="0" xfId="0" applyAlignment="1" applyBorder="1" applyFont="1">
      <alignment horizontal="left" readingOrder="0" vertical="center"/>
    </xf>
    <xf borderId="0" fillId="6" fontId="20" numFmtId="0" xfId="0" applyAlignment="1" applyFont="1">
      <alignment readingOrder="0" vertical="bottom"/>
    </xf>
    <xf borderId="9" fillId="6" fontId="5" numFmtId="165" xfId="0" applyAlignment="1" applyBorder="1" applyFont="1" applyNumberFormat="1">
      <alignment horizontal="center"/>
    </xf>
    <xf borderId="0" fillId="6" fontId="1" numFmtId="0" xfId="0" applyAlignment="1" applyFont="1">
      <alignment readingOrder="0"/>
    </xf>
    <xf borderId="0" fillId="6" fontId="4" numFmtId="0" xfId="0" applyAlignment="1" applyFont="1">
      <alignment readingOrder="0" shrinkToFit="0" wrapText="1"/>
    </xf>
    <xf borderId="5" fillId="20" fontId="15" numFmtId="165" xfId="0" applyAlignment="1" applyBorder="1" applyFont="1" applyNumberFormat="1">
      <alignment horizontal="center" readingOrder="0" vertical="center"/>
    </xf>
    <xf borderId="0" fillId="19" fontId="28" numFmtId="168" xfId="0" applyAlignment="1" applyFont="1" applyNumberFormat="1">
      <alignment horizontal="center" readingOrder="0"/>
    </xf>
    <xf borderId="5" fillId="19" fontId="70" numFmtId="167" xfId="0" applyAlignment="1" applyBorder="1" applyFont="1" applyNumberFormat="1">
      <alignment horizontal="center" readingOrder="0" vertical="center"/>
    </xf>
    <xf borderId="9" fillId="6" fontId="5" numFmtId="0" xfId="0" applyBorder="1" applyFont="1"/>
    <xf borderId="5" fillId="7" fontId="5" numFmtId="0" xfId="0" applyAlignment="1" applyBorder="1" applyFont="1">
      <alignment horizontal="center" readingOrder="0"/>
    </xf>
    <xf borderId="5" fillId="7" fontId="5" numFmtId="0" xfId="0" applyBorder="1" applyFont="1"/>
    <xf borderId="5" fillId="7" fontId="5" numFmtId="0" xfId="0" applyAlignment="1" applyBorder="1" applyFont="1">
      <alignment readingOrder="0"/>
    </xf>
    <xf borderId="5" fillId="7" fontId="5" numFmtId="165" xfId="0" applyAlignment="1" applyBorder="1" applyFont="1" applyNumberFormat="1">
      <alignment horizontal="center"/>
    </xf>
    <xf borderId="5" fillId="7" fontId="5" numFmtId="165" xfId="0" applyAlignment="1" applyBorder="1" applyFont="1" applyNumberFormat="1">
      <alignment horizontal="center" readingOrder="0"/>
    </xf>
    <xf borderId="5" fillId="7" fontId="5" numFmtId="165" xfId="0" applyBorder="1" applyFont="1" applyNumberFormat="1"/>
    <xf borderId="5" fillId="4" fontId="5" numFmtId="167" xfId="0" applyAlignment="1" applyBorder="1" applyFont="1" applyNumberFormat="1">
      <alignment horizontal="center" readingOrder="0" vertical="center"/>
    </xf>
    <xf borderId="5" fillId="4" fontId="5" numFmtId="0" xfId="0" applyBorder="1" applyFont="1"/>
    <xf borderId="5" fillId="4" fontId="71" numFmtId="0" xfId="0" applyAlignment="1" applyBorder="1" applyFont="1">
      <alignment readingOrder="0"/>
    </xf>
    <xf borderId="5" fillId="4" fontId="58" numFmtId="0" xfId="0" applyAlignment="1" applyBorder="1" applyFont="1">
      <alignment readingOrder="0"/>
    </xf>
    <xf borderId="5" fillId="4" fontId="5" numFmtId="165" xfId="0" applyBorder="1" applyFont="1" applyNumberFormat="1"/>
    <xf borderId="5" fillId="4" fontId="5" numFmtId="165" xfId="0" applyAlignment="1" applyBorder="1" applyFont="1" applyNumberFormat="1">
      <alignment horizontal="center"/>
    </xf>
    <xf borderId="5" fillId="4" fontId="71" numFmtId="165" xfId="0" applyAlignment="1" applyBorder="1" applyFont="1" applyNumberFormat="1">
      <alignment horizontal="center" readingOrder="0"/>
    </xf>
    <xf borderId="5" fillId="6" fontId="49" numFmtId="165" xfId="0" applyAlignment="1" applyBorder="1" applyFont="1" applyNumberFormat="1">
      <alignment horizontal="center" readingOrder="0"/>
    </xf>
    <xf borderId="5" fillId="7" fontId="49" numFmtId="165" xfId="0" applyAlignment="1" applyBorder="1" applyFont="1" applyNumberFormat="1">
      <alignment horizontal="center" readingOrder="0"/>
    </xf>
    <xf borderId="5" fillId="7" fontId="5" numFmtId="165" xfId="0" applyAlignment="1" applyBorder="1" applyFont="1" applyNumberFormat="1">
      <alignment horizontal="center"/>
    </xf>
    <xf borderId="5" fillId="6" fontId="5" numFmtId="165" xfId="0" applyAlignment="1" applyBorder="1" applyFont="1" applyNumberFormat="1">
      <alignment readingOrder="0"/>
    </xf>
    <xf borderId="5" fillId="6" fontId="59" numFmtId="0" xfId="0" applyAlignment="1" applyBorder="1" applyFont="1">
      <alignment readingOrder="0"/>
    </xf>
    <xf borderId="1" fillId="0" fontId="16" numFmtId="0" xfId="0" applyAlignment="1" applyBorder="1" applyFont="1">
      <alignment horizontal="center" readingOrder="0" vertical="bottom"/>
    </xf>
    <xf borderId="13" fillId="0" fontId="16" numFmtId="0" xfId="0" applyAlignment="1" applyBorder="1" applyFont="1">
      <alignment horizontal="center" readingOrder="0" vertical="bottom"/>
    </xf>
    <xf borderId="13" fillId="0" fontId="72" numFmtId="0" xfId="0" applyAlignment="1" applyBorder="1" applyFont="1">
      <alignment horizontal="center" readingOrder="0" shrinkToFit="0" vertical="top" wrapText="1"/>
    </xf>
    <xf borderId="13" fillId="0" fontId="18" numFmtId="0" xfId="0" applyAlignment="1" applyBorder="1" applyFont="1">
      <alignment horizontal="center" readingOrder="0" shrinkToFit="0" vertical="top" wrapText="1"/>
    </xf>
    <xf borderId="2" fillId="2" fontId="73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vertical="center"/>
    </xf>
    <xf borderId="13" fillId="5" fontId="1" numFmtId="0" xfId="0" applyAlignment="1" applyBorder="1" applyFont="1">
      <alignment horizontal="center" readingOrder="0" vertical="center"/>
    </xf>
    <xf borderId="5" fillId="5" fontId="74" numFmtId="0" xfId="0" applyAlignment="1" applyBorder="1" applyFont="1">
      <alignment horizontal="center" readingOrder="0" vertical="center"/>
    </xf>
    <xf borderId="5" fillId="5" fontId="75" numFmtId="0" xfId="0" applyAlignment="1" applyBorder="1" applyFont="1">
      <alignment horizontal="left" readingOrder="0" vertical="center"/>
    </xf>
    <xf borderId="5" fillId="5" fontId="76" numFmtId="0" xfId="0" applyAlignment="1" applyBorder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6" fillId="0" fontId="1" numFmtId="0" xfId="0" applyAlignment="1" applyBorder="1" applyFont="1">
      <alignment vertical="center"/>
    </xf>
    <xf borderId="1" fillId="5" fontId="1" numFmtId="0" xfId="0" applyAlignment="1" applyBorder="1" applyFont="1">
      <alignment horizontal="center" readingOrder="0" vertical="center"/>
    </xf>
    <xf borderId="10" fillId="5" fontId="1" numFmtId="0" xfId="0" applyAlignment="1" applyBorder="1" applyFont="1">
      <alignment horizontal="center" readingOrder="0" vertical="center"/>
    </xf>
    <xf borderId="0" fillId="5" fontId="75" numFmtId="0" xfId="0" applyAlignment="1" applyFont="1">
      <alignment horizontal="left" readingOrder="0" shrinkToFit="0" wrapText="0"/>
    </xf>
    <xf borderId="0" fillId="5" fontId="75" numFmtId="0" xfId="0" applyAlignment="1" applyFont="1">
      <alignment horizontal="left" readingOrder="0" shrinkToFit="0" wrapText="1"/>
    </xf>
    <xf borderId="5" fillId="5" fontId="77" numFmtId="0" xfId="0" applyAlignment="1" applyBorder="1" applyFont="1">
      <alignment horizontal="left" readingOrder="0" vertical="center"/>
    </xf>
    <xf borderId="1" fillId="5" fontId="77" numFmtId="0" xfId="0" applyAlignment="1" applyBorder="1" applyFont="1">
      <alignment horizontal="left" readingOrder="0" vertical="center"/>
    </xf>
    <xf borderId="1" fillId="5" fontId="75" numFmtId="0" xfId="0" applyAlignment="1" applyBorder="1" applyFont="1">
      <alignment horizontal="left" readingOrder="0" vertical="center"/>
    </xf>
    <xf borderId="1" fillId="5" fontId="78" numFmtId="0" xfId="0" applyAlignment="1" applyBorder="1" applyFont="1">
      <alignment horizontal="left" readingOrder="0" vertical="center"/>
    </xf>
    <xf borderId="1" fillId="5" fontId="79" numFmtId="0" xfId="0" applyAlignment="1" applyBorder="1" applyFont="1">
      <alignment horizontal="center" readingOrder="0" vertic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9" numFmtId="0" xfId="0" applyAlignment="1" applyBorder="1" applyFont="1">
      <alignment readingOrder="0"/>
    </xf>
    <xf borderId="1" fillId="2" fontId="19" numFmtId="0" xfId="0" applyAlignment="1" applyBorder="1" applyFont="1">
      <alignment horizontal="center" readingOrder="0"/>
    </xf>
    <xf borderId="1" fillId="7" fontId="1" numFmtId="0" xfId="0" applyAlignment="1" applyBorder="1" applyFont="1">
      <alignment readingOrder="0"/>
    </xf>
    <xf borderId="1" fillId="7" fontId="5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/>
    </xf>
    <xf borderId="1" fillId="7" fontId="5" numFmtId="0" xfId="0" applyAlignment="1" applyBorder="1" applyFont="1">
      <alignment vertical="bottom"/>
    </xf>
  </cellXfs>
  <cellStyles count="1">
    <cellStyle xfId="0" name="Normal" builtinId="0"/>
  </cellStyles>
  <dxfs count="4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000000"/>
      </font>
      <fill>
        <patternFill patternType="solid">
          <fgColor rgb="FF00FFFF"/>
          <bgColor rgb="FF00FFFF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619125</xdr:colOff>
      <xdr:row>0</xdr:row>
      <xdr:rowOff>9525</xdr:rowOff>
    </xdr:from>
    <xdr:ext cx="904875" cy="9048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276225</xdr:colOff>
      <xdr:row>0</xdr:row>
      <xdr:rowOff>0</xdr:rowOff>
    </xdr:from>
    <xdr:ext cx="1114425" cy="111442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X989" sheet="Base_General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</sharedItems>
    </cacheField>
    <cacheField name="MES" numFmtId="0">
      <sharedItems>
        <s v="diciembre"/>
        <s v="noviembre"/>
        <s v="enero"/>
        <s v="octubre"/>
        <s v="abril"/>
        <s v="marzo"/>
        <s v="mayo"/>
        <s v="junio"/>
        <s v="septiembre"/>
        <s v="julio"/>
        <s v="febrero"/>
      </sharedItems>
    </cacheField>
    <cacheField name="SEMANA">
      <sharedItems containsMixedTypes="1" containsNumber="1" containsInteger="1">
        <n v="51.0"/>
        <n v="52.0"/>
        <n v="46.0"/>
        <n v="53.0"/>
        <n v="1.0"/>
        <n v="2.0"/>
        <n v="49.0"/>
        <n v="3.0"/>
        <n v="50.0"/>
        <n v="4.0"/>
        <n v="5.0"/>
        <e v="#NUM!"/>
        <n v="44.0"/>
        <n v="18.0"/>
        <n v="13.0"/>
        <n v="22.0"/>
        <n v="26.0"/>
        <n v="15.0"/>
        <n v="36.0"/>
        <n v="20.0"/>
        <n v="29.0"/>
        <n v="6.0"/>
      </sharedItems>
    </cacheField>
    <cacheField name="DIA" numFmtId="166">
      <sharedItems>
        <s v="miércoles"/>
        <s v="sábado"/>
        <s v="domingo"/>
        <s v="viernes"/>
        <s v="lunes"/>
        <s v="martes"/>
        <s v="jueves"/>
      </sharedItems>
    </cacheField>
    <cacheField name="FECHA_dia" numFmtId="0">
      <sharedItems containsSemiMixedTypes="0" containsString="0" containsNumber="1" containsInteger="1">
        <n v="17.0"/>
        <n v="20.0"/>
        <n v="30.0"/>
        <n v="9.0"/>
        <n v="26.0"/>
        <n v="29.0"/>
        <n v="31.0"/>
        <n v="2.0"/>
        <n v="3.0"/>
        <n v="28.0"/>
        <n v="10.0"/>
        <n v="23.0"/>
        <n v="5.0"/>
        <n v="4.0"/>
        <n v="6.0"/>
        <n v="7.0"/>
        <n v="8.0"/>
        <n v="11.0"/>
        <n v="18.0"/>
        <n v="15.0"/>
        <n v="12.0"/>
        <n v="13.0"/>
        <n v="14.0"/>
        <n v="27.0"/>
        <n v="16.0"/>
        <n v="19.0"/>
        <n v="21.0"/>
        <n v="22.0"/>
        <n v="24.0"/>
        <n v="25.0"/>
        <n v="1.0"/>
      </sharedItems>
    </cacheField>
    <cacheField name="PRODUCTO" numFmtId="0">
      <sharedItems>
        <s v="AFI"/>
        <s v="ONLINE"/>
        <s v="BURGER"/>
        <s v="CYC"/>
        <s v="GN"/>
        <s v="CORPORATIVO"/>
        <s v="COMPL-GB "/>
      </sharedItems>
    </cacheField>
    <cacheField name="PROD FECHA">
      <sharedItems containsDate="1" containsMixedTypes="1">
        <d v="2025-01-04T00:00:00Z"/>
        <d v="2025-01-11T00:00:00Z"/>
        <d v="2025-01-17T00:00:00Z"/>
        <d v="2025-01-25T00:00:00Z"/>
        <d v="2025-01-31T00:00:00Z"/>
        <s v="CYC "/>
        <s v="online"/>
        <s v="                                       burger"/>
        <s v="BURGER"/>
        <s v="CyC F9"/>
        <s v="GN"/>
        <s v="CORPORATIVO"/>
        <s v="GASTRONOMIA EN BRASAS"/>
      </sharedItems>
    </cacheField>
    <cacheField name="FE_ REGISTRO">
      <sharedItems containsDate="1" containsString="0" containsBlank="1" containsMixedTypes="1">
        <n v="46008.0"/>
        <n v="46011.0"/>
        <m/>
        <n v="45970.0"/>
        <n v="46017.0"/>
        <n v="46020.0"/>
        <n v="46021.0"/>
        <n v="46022.0"/>
        <n v="46024.0"/>
        <n v="46025.0"/>
        <n v="46384.0"/>
        <n v="46032.0"/>
        <d v="2025-12-02T00:00:00Z"/>
        <d v="2025-12-17T00:00:00Z"/>
        <d v="2025-12-23T00:00:00Z"/>
        <d v="2025-12-20T00:00:00Z"/>
        <d v="2026-12-30T00:00:00Z"/>
        <d v="2025-12-30T00:00:00Z"/>
        <d v="2026-01-02T00:00:00Z"/>
        <d v="2025-12-31T00:00:00Z"/>
        <d v="2026-01-03T00:00:00Z"/>
        <d v="2026-01-05T00:00:00Z"/>
        <d v="2026-01-04T00:00:00Z"/>
        <d v="2026-01-06T00:00:00Z"/>
        <d v="2026-01-07T00:00:00Z"/>
        <d v="2026-01-08T00:00:00Z"/>
        <d v="2026-01-11T00:00:00Z"/>
        <d v="2025-12-18T00:00:00Z"/>
        <d v="2025-12-15T00:00:00Z"/>
        <d v="2026-01-09T00:00:00Z"/>
        <d v="2026-01-10T00:00:00Z"/>
        <d v="2026-01-12T00:00:00Z"/>
        <d v="2026-01-13T00:00:00Z"/>
        <d v="2026-01-14T00:00:00Z"/>
        <d v="2026-01-15T00:00:00Z"/>
        <d v="2025-12-09T00:00:00Z"/>
        <d v="2025-12-27T00:00:00Z"/>
        <d v="2026-01-17T00:00:00Z"/>
        <d v="2026-01-16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12-22T00:00:00Z"/>
        <d v="2026-01-30T00:00:00Z"/>
        <d v="2026-01-31T00:00:00Z"/>
        <d v="2025-01-30T00:00:00Z"/>
        <d v="2025-12-22T00:00:00Z"/>
        <d v="2025-12-24T00:00:00Z"/>
        <n v="6686137.0"/>
        <d v="2025-12-25T00:00:00Z"/>
        <d v="2026-12-16T00:00:00Z"/>
        <d v="2025-12-10T00:00:00Z"/>
        <d v="2025-12-11T00:00:00Z"/>
        <d v="2025-12-26T00:00:00Z"/>
        <d v="2025-12-29T00:00:00Z"/>
        <d v="2025-12-28T00:00:00Z"/>
        <n v="7716111.0"/>
        <d v="2026-01-01T00:00:00Z"/>
        <d v="2026-01-18T00:00:00Z"/>
        <d v="2025-11-30T00:00:00Z"/>
        <d v="2025-10-30T00:00:00Z"/>
        <d v="2025-12-03T00:00:00Z"/>
        <d v="2012-12-17T00:00:00Z"/>
        <d v="2021-12-10T00:00:00Z"/>
        <d v="2025-01-02T00:00:00Z"/>
        <n v="1214.0"/>
        <n v="90.0"/>
        <n v="10.0"/>
        <n v="120.0"/>
        <n v="20.0"/>
        <n v="150.0"/>
        <n v="180.0"/>
        <n v="100.0"/>
        <n v="250.0"/>
        <n v="139.76"/>
        <n v="200.0"/>
        <n v="380.0"/>
        <n v="37.9"/>
      </sharedItems>
    </cacheField>
    <cacheField name="DNI">
      <sharedItems containsBlank="1" containsMixedTypes="1" containsNumber="1" containsInteger="1">
        <n v="7.2041694E7"/>
        <n v="7.5931158E7"/>
        <n v="2.5631173E7"/>
        <m/>
        <n v="7.5728889E7"/>
        <n v="4.4000113E7"/>
        <n v="4.3619681E7"/>
        <n v="4.3943113E7"/>
        <n v="4.9035262E7"/>
        <n v="7.1486933E7"/>
        <n v="4.6910475E7"/>
        <n v="4.0677695E7"/>
        <s v="08553072"/>
        <n v="4.4041233E7"/>
        <s v="09312996"/>
        <n v="7.146087E7"/>
        <n v="4.2296972E7"/>
        <n v="4.7162607E7"/>
        <n v="4.1397674E7"/>
        <n v="7.24136E7"/>
        <n v="7.1523029E7"/>
        <n v="4.069785E7"/>
        <s v="07524459"/>
        <n v="4.2048172E7"/>
        <n v="3.2992113E7"/>
        <n v="1.6683079E7"/>
        <n v="1.0116845E7"/>
        <n v="4.7078798E7"/>
        <n v="4.4681923E7"/>
        <n v="7.2495808E7"/>
        <s v="09594474"/>
        <n v="4.4889118E7"/>
        <n v="4.3045566E7"/>
        <n v="7.261636E7"/>
        <n v="4.9032421E7"/>
        <n v="7.3185937E7"/>
        <n v="7.0945763E7"/>
        <n v="4.7628203E7"/>
        <s v="08870972"/>
        <n v="4.5479473E7"/>
        <s v="⁠45526454"/>
        <n v="4.5786136E7"/>
        <n v="4.5592753E7"/>
        <n v="4.4784709E7"/>
        <n v="4.157729E7"/>
        <s v="003012946"/>
        <n v="4.6641938E7"/>
        <n v="7.108981E7"/>
        <n v="4.0262423E7"/>
        <n v="1.0602143E7"/>
        <s v="01216344"/>
        <n v="7.4034992E7"/>
        <n v="4.337383E7"/>
        <n v="4.4049748E7"/>
        <n v="4.3855684E7"/>
        <n v="7.3345092E7"/>
        <n v="4.4846202E7"/>
        <n v="4.1411344E7"/>
        <n v="7.0435293E7"/>
        <n v="7.4095604E7"/>
        <n v="4.3676825E7"/>
        <n v="4.860565E7"/>
        <s v="*07200287"/>
        <n v="4.1864072E7"/>
        <s v="09954438"/>
        <n v="4.6649174E7"/>
        <n v="1.0303242E7"/>
        <n v="4.4273674E7"/>
        <n v="7.705917E7"/>
        <n v="4.2126105E7"/>
        <n v="4.1758472E7"/>
        <n v="1.0734077E7"/>
        <n v="4.1570562E7"/>
        <n v="4.812964E7"/>
        <n v="7.0605782E7"/>
        <n v="4.0298292E7"/>
        <n v="7.0437688E7"/>
        <n v="4.6123466E7"/>
        <n v="4.6063723E7"/>
        <n v="7.3563073E7"/>
        <n v="7.4743912E7"/>
        <n v="4.1552489E7"/>
        <n v="4.1878729E7"/>
        <n v="7.9820823E7"/>
        <n v="4.0371144E7"/>
        <n v="4.2161125E7"/>
        <n v="2.3600914E7"/>
        <n v="4.4204321E7"/>
        <s v="06967251"/>
        <n v="7.4565573E7"/>
        <s v="09033925"/>
        <n v="7.0342491E7"/>
        <n v="7.4711615E7"/>
        <n v="4.819484E7"/>
        <n v="4.757596E7"/>
        <n v="7.2774551E7"/>
        <n v="6.1066668E7"/>
        <n v="4.251608E7"/>
        <n v="4.105249E7"/>
        <n v="1.0302642E7"/>
        <s v="⁠48272392"/>
        <n v="7.3136673E7"/>
        <n v="7.3136674E7"/>
        <n v="2.113436E7"/>
        <n v="7.2616355E7"/>
        <n v="4.8131311E7"/>
        <n v="2.2314008E7"/>
        <n v="4.1590522E7"/>
        <n v="4.2689847E7"/>
        <n v="4.4412013E7"/>
        <n v="1.0562497E7"/>
        <n v="7.6197577E7"/>
        <n v="4.1735143E7"/>
        <n v="4.0893521E7"/>
        <n v="4.4384611E7"/>
        <n v="4.191408E7"/>
        <n v="4.0493159E7"/>
        <n v="4.5909459E7"/>
        <n v="1.5753576E7"/>
        <n v="1.0114558E7"/>
        <n v="7.5527342E7"/>
        <n v="4.2084574E7"/>
        <n v="6.1802066E7"/>
        <n v="6.1741943E7"/>
        <n v="7.0919834E7"/>
        <n v="2.5728595E7"/>
        <n v="7.3171842E7"/>
        <n v="7.6601657E7"/>
        <n v="4.0902213E7"/>
        <n v="7.7060706E7"/>
        <s v="*09493577"/>
        <n v="7.6799413E7"/>
        <n v="4.5963559E7"/>
        <n v="4.2243221E7"/>
        <n v="7576311.0"/>
        <n v="4.3567257E7"/>
        <s v="*005367250"/>
        <n v="1.0624546E7"/>
        <s v="06532689, "/>
        <n v="4.5083846E7"/>
        <n v="4.6059441E7"/>
        <n v="1.0874243E7"/>
        <n v="4.0891944E7"/>
        <n v="4.5967311E7"/>
        <n v="7.2751542E7"/>
        <s v="CE 009160780"/>
        <n v="4.1455446E7"/>
        <n v="4.4211612E7"/>
        <n v="7.3261104E7"/>
        <n v="6.180652E7"/>
        <n v="4.1202552E7"/>
        <s v="004684587"/>
        <n v="4.0391708E7"/>
        <n v="4.0532533E7"/>
        <n v="4.4767965E7"/>
        <n v="7.2190417E7"/>
        <n v="7975001.0"/>
        <n v="2.0063027E7"/>
        <n v="1.0117893E7"/>
        <n v="2.0538382598E10"/>
        <n v="4.1855242E7"/>
        <s v="40 767009"/>
        <s v="*08537300"/>
        <s v="⁠15434915"/>
        <n v="4.2949843E7"/>
        <n v="4.3889926E7"/>
        <n v="8.1007981E7"/>
        <n v="4.2506745E7"/>
        <n v="4.7428047E7"/>
        <n v="4.8263528E7"/>
        <s v="*08057676"/>
        <n v="7.45014E7"/>
        <s v=" ⁠43278388"/>
        <n v="4.1967125E7"/>
        <n v="7.3180684E7"/>
        <n v="4.7810241E7"/>
        <n v="7508517.0"/>
        <s v="4295 3767"/>
        <n v="9601263.0"/>
        <n v="7.2510875E7"/>
        <n v="4.3154748E7"/>
        <n v="2908730.0"/>
        <n v="4.231277E7"/>
        <s v="08163189"/>
        <s v="08139122"/>
        <n v="6.0758869E7"/>
        <n v="1.003869E7"/>
        <n v="9980577.0"/>
        <s v="2- 47608434"/>
        <n v="4.0585729E7"/>
        <n v="7.720482E7"/>
        <n v="7.2186264E7"/>
        <n v="7.596805E7"/>
        <n v="7.4609696E7"/>
        <n v="6855160.0"/>
        <n v="2.5430091E7"/>
        <n v="1.5983731E7"/>
        <n v="4.6343807E7"/>
        <n v="4.3705747E7"/>
        <n v="4.6178506E7"/>
        <s v="altcg73@gmail.com"/>
        <n v="4.8015781E7"/>
        <s v="09444421"/>
        <n v="1.0475612E7"/>
        <s v="O5375028"/>
        <n v="7.2323085E7"/>
        <n v="7.1825325E7"/>
        <n v="4.7901451E7"/>
        <n v="4.2371088E7"/>
        <n v="4.256771E7"/>
        <n v="4.4931185E7"/>
        <n v="7.067889E7"/>
        <n v="2.0725023E7"/>
        <n v="9377789.0"/>
        <n v="4.528712E7"/>
        <n v="1.0619586E7"/>
        <n v="7.6324543E7"/>
        <n v="4.7618556E7"/>
        <n v="4.1925594E7"/>
        <n v="4.2492557E7"/>
        <n v="3.0422127E7"/>
        <n v="4.024928E7"/>
        <n v="7.143427E7"/>
        <s v="´03663755"/>
        <s v="000326987"/>
        <n v="4.5484567E7"/>
        <n v="4.6988012E7"/>
        <n v="4.8550749E7"/>
        <n v="4.7915079E7"/>
        <s v="Rimac"/>
        <n v="4.1151304E7"/>
        <n v="4.3903012E7"/>
        <n v="4.233362E7"/>
        <s v="08202850"/>
        <n v="1.5607314737E10"/>
        <s v="007629170"/>
        <n v="7.2901811E7"/>
        <n v="2.8316449E7"/>
        <n v="1.0421776631E10"/>
        <n v="4.017154E7"/>
        <n v="2.0613656058E10"/>
        <n v="7.0954105E7"/>
        <n v="4475965.0"/>
        <n v="4.6210391E7"/>
        <n v="7.4471041E7"/>
        <n v="4.1062653E7"/>
        <n v="4.7699885E7"/>
        <n v="4.2601788E7"/>
        <n v="1.0096401286E10"/>
        <n v="9935937.0"/>
        <n v="4.4402809E7"/>
        <n v="4.332871E7"/>
        <n v="4.0030613E7"/>
        <n v="9257561.0"/>
        <s v="09683891"/>
        <n v="4.6819641E7"/>
        <e v="#REF!"/>
        <n v="7.6240906E7"/>
        <n v="7.1461985E7"/>
        <n v="1.018346E7"/>
        <n v="7524514.0"/>
        <n v="4.2945424E7"/>
        <s v="*005862518"/>
        <n v="2.5661264E7"/>
        <n v="2.0029573E7"/>
        <n v="1.0477399E7"/>
        <n v="4.1271985E7"/>
        <n v="4.6314782E7"/>
        <n v="7.51447752E8"/>
        <s v="07336007"/>
        <n v="4.0369991E7"/>
        <n v="7.4551908E7"/>
        <n v="4.1831539E7"/>
        <n v="7.2685604E7"/>
        <n v="4.6749055E7"/>
        <n v="1240711.0"/>
        <n v="7.14129E7"/>
        <n v="7.3851205E7"/>
        <n v="7454502.0"/>
        <n v="2.0609390264E10"/>
        <n v="6.039357E7"/>
        <n v="4.3712509E7"/>
        <n v="7.1176371E7"/>
        <n v="4.7729335E7"/>
        <n v="4.7162261E7"/>
        <n v="4.2588957E7"/>
        <n v="7.5014725E7"/>
        <s v="*09837904"/>
        <n v="4.1364774E7"/>
        <n v="7.3487354E7"/>
        <s v="*09902780"/>
        <s v="´005508766"/>
        <s v="´02438088"/>
        <n v="7.7087419E7"/>
        <n v="7.6785683E7"/>
        <n v="2.6728586E7"/>
        <n v="7.1131738E7"/>
        <n v="1.0741489142E10"/>
        <n v="1.0719169E7"/>
        <n v="7.147478E7"/>
        <n v="4.2944658E7"/>
        <n v="4.1229116E7"/>
        <n v="7.2505663E7"/>
        <s v="Catering"/>
        <n v="4.1318618E7"/>
        <n v="1.025777E7"/>
        <n v="4.4028083E7"/>
        <n v="7.5240792E7"/>
        <n v="7.2543662E7"/>
        <n v="4.6847985E7"/>
        <n v="4.404829E7"/>
        <n v="4.8371859E7"/>
        <n v="4.7415409E7"/>
        <n v="2.1000873E7"/>
        <n v="4.497522E7"/>
        <n v="6.1176942E7"/>
        <n v="4.4579272E7"/>
        <n v="1.8149957E7"/>
        <n v="6.1790541E7"/>
        <n v="4.8020635E7"/>
        <n v="4.6636853E7"/>
        <n v="4.3382092E7"/>
        <n v="7.3158664E7"/>
        <n v="4.7843276E7"/>
        <n v="1.0107901791E10"/>
        <n v="7.7438358E7"/>
        <s v="40641102,"/>
        <n v="4.0988719E7"/>
        <n v="4.0780085E7"/>
        <n v="2.5789881E7"/>
        <n v="7.4730077E7"/>
        <n v="190.0"/>
        <n v="200.0"/>
        <n v="380.0"/>
        <n v="180.0"/>
        <n v="100.0"/>
        <n v="160.0"/>
        <n v="250.0"/>
        <n v="330.0"/>
        <n v="280.0"/>
        <n v="500.0"/>
        <n v="360.0"/>
      </sharedItems>
    </cacheField>
    <cacheField name="NOMBRES Y APELLIDOS">
      <sharedItems containsBlank="1" containsMixedTypes="1" containsNumber="1">
        <s v="Sebastian Castillo"/>
        <s v="Daniel Rojas Salas"/>
        <s v="Miriam Salas Guevara"/>
        <m/>
        <s v="Juan Carlos Vidal Molina"/>
        <s v="CESAR KENNY YACARINI PEREYRA"/>
        <s v="Ronald elvis quispe gil"/>
        <s v="Flor de maria Guevara"/>
        <s v="Franco Nieto Ponce"/>
        <s v="Luis Enrique Nieto Arauco"/>
        <s v="Gladys Montes"/>
        <s v="Fernando Alfredo Auqui Cerron"/>
        <s v="Gianfranco Auqui Guerrero "/>
        <s v="Germán Auqui Cerrón "/>
        <s v="Rafael Antony Urbina Peña"/>
        <s v="Roberto Benites Aguilar"/>
        <s v="Ernesto De La Cruz"/>
        <s v="Hugo De La Cruz"/>
        <s v="Antonio Lora"/>
        <s v="Luis Lora Reyes"/>
        <s v="Rosa Juana Mogrovejo Sihue "/>
        <s v="Hernán Vidal Ulloa "/>
        <s v="Gustavo Enrique Benites Aguilar"/>
        <s v="Jose Gabriel Janampa Osores"/>
        <s v="Deessiree Menendez ortiz"/>
        <s v="Arnaldo Guardamino cavezas"/>
        <s v="Daniel Ricardo moran Chávez"/>
        <s v="Frank Alonso Bautista Cucho"/>
        <s v="Aaron Castillo"/>
        <s v="Sergio Armando Lopez Saldaña"/>
        <s v="José pineda sifuentes"/>
        <s v="Ana Paula Pineda"/>
        <s v="Luis Esteban Ramos Nicoll"/>
        <s v="Herbert Ricardo Arroyo Vilchez"/>
        <s v="Ruth Goyzueta Valencia "/>
        <s v="Isabel Cecilia granza toro "/>
        <s v="Ana Isabel Tello granza"/>
        <s v="FRANCIS GARCÍA ARISTA"/>
        <s v="ROLANDO"/>
        <s v="Anthony Molina Heredia"/>
        <s v="Rodrigo Bustamante Moquillaza"/>
        <s v="Philip Wenter Bustamante"/>
        <s v="Sebastian Matias Prada Fernandez"/>
        <s v="Jorge Fernandez Huaman"/>
        <s v="Miguel Ángel Requiz Alanís"/>
        <s v="Carlos Miguel Olivares Pérez"/>
        <s v="Aldo Augusto Di liberto Roldán "/>
        <s v="Yames Vicente di liberto Roldán"/>
        <s v="Enrique Raynor La Torre Alarcón"/>
        <s v="Pierre Neyra"/>
        <s v="Marieta Calderon"/>
        <s v="Sergio Jesús Casas Arroyo"/>
        <s v="kevin alarico cieza"/>
        <s v="Juan Carlos Bustamante Merino"/>
        <s v="José Martin Quineche Sánchez "/>
        <s v="Deivy wilson rios anco"/>
        <s v="David Guardia Menendez"/>
        <s v="Lourdes Franco Vidal"/>
        <s v="Jorge Araujo"/>
        <s v="José Ernesto Rodríguez Marcelo"/>
        <s v="María Quiroga"/>
        <s v="Carlos Gil"/>
        <s v="Diego Miletich "/>
        <s v="Mirko Miletich "/>
        <s v="Manuel Mori Mideyros"/>
        <s v="Ambioris Peña "/>
        <s v="Walter Castro vargas"/>
        <s v="Walter Castro Ugarte"/>
        <s v="Ivan Irwin Espinoza Revolo "/>
        <s v="Guadalupe Ivana Tarazona Velarde"/>
        <s v="Carlos Meza Gamero"/>
        <s v="RODOLFO Vladimir Cajahuanca Ydone"/>
        <s v="Zhituo Wang"/>
        <s v="Alvaro Macuri"/>
        <s v="Miguel Angel Romero quero"/>
        <s v="Miguel arellano chunga"/>
        <s v="Angel Gonzales Ramos"/>
        <s v="María Fernanda Ushiñahua Meza"/>
        <s v="Jonathan Donovan Choquehuanca Condori"/>
        <s v="Juan Edgar Tito Cornejo"/>
        <s v="Liliana Benito Zurita "/>
        <s v="Alexander Platero Mamani"/>
        <s v=" Mariana Barrera Cravero"/>
        <s v="Juan Carlos Achiri Ccapa"/>
        <s v="Daniel Gómez Muñante"/>
        <s v="Flor de maria vega zapata"/>
        <s v="JOSUE DEL VALLE"/>
        <s v="Alan Paul Otiniano Azahuanche"/>
        <s v="Walter Peralta"/>
        <s v="Jonathan Marrou"/>
        <s v="Ricardo Marrou"/>
        <s v="Ivan Salsavilca Faustino"/>
        <s v="Nicolas Gámez "/>
        <s v="Manuel Buendia"/>
        <s v="Liselle Prieto"/>
        <s v="Sandro León Anfossi"/>
        <s v="Willy rabanal calderon"/>
        <s v="Bryan Ochoa Salas"/>
        <s v="Néstor Walter Villegas Macedo"/>
        <s v="Carlos Cuadra Macedo"/>
        <s v="Franco Daniel Delzo Cuyubamba"/>
        <s v="Pilar coveñas Ramos"/>
        <s v="carlos ore yufre"/>
        <s v="Jesús Amir Huaccho Hidalgo&#10;"/>
        <s v="Marco Antonio Escobar Nolazco "/>
        <s v="David Sánchez Calle"/>
        <s v="Carmen Casana López"/>
        <s v="Mariano Sánchez Casana"/>
        <s v="Pavel N. Paredes Diaz"/>
        <s v="Luis Alberto cavero alvites"/>
        <s v="Edgar Lenin Hernandez Ore"/>
        <s v="Gustavo Córdova nieto"/>
        <s v=" Aldo Viacava Nájera"/>
        <s v="Aldo Renzo Viacaa Benavides"/>
        <s v="EDGAR PANDURO"/>
        <s v="Jandir Rivera Quispe"/>
        <s v="Edu Escobedo Yalico "/>
        <s v="Fernanda Yalico Canchari"/>
        <s v="Nico Suárez Loayza"/>
        <s v="Fritz puente"/>
        <s v="Abdul Kazan Espinoza Guerra"/>
        <s v="Camila Alexandra Vega Tocto"/>
        <s v="Juan Alfonso Vega Tocto"/>
        <s v="     Danny Simon Gonzales"/>
        <s v="   Ronald Guerrero Romero"/>
        <s v="Nestor Hugo Caceres Rosa&#10;"/>
        <s v="Samir Edu fiestas huamanchumo"/>
        <s v="Samuel pariona"/>
        <s v="Edwin pariona"/>
        <s v="Ricardo Pando Córdova"/>
        <s v="Mihel La Torre Alarcon"/>
        <s v="Rubí Jiménez picoy "/>
        <s v="Elias Campos Sanchez."/>
        <s v="Joao Solís Talaverano "/>
        <s v="Cisneros Montes de Oca "/>
        <s v="Nazaret judith abad zarco"/>
        <s v=" Rubén Abad Zarco "/>
        <s v="Anderson Achata"/>
        <s v="Danilo Fernando Yánac Talaverano"/>
        <s v="Rolando Farfán Gutiérrez"/>
        <s v="LUIGGI VIGO PESANTES"/>
        <s v="Yulisa Quispe Cuba  "/>
        <s v="Percy Alonso Alama Porras"/>
        <s v="CAMILA MAYHUA ALVARADO"/>
        <s v="Manuel Grados Morales"/>
        <s v="Jonathan Ramírez Flor"/>
        <s v="Jaime Raúl Santa Cruz Culquicondor "/>
        <s v="Ricardo Francisco Florian "/>
        <s v="Manuel Francisco Davalos"/>
        <s v="Cesar La Rosa-Sánchez Cordero"/>
        <s v=" Alexander Zambrano Vizcarra"/>
        <s v="Fabricio Urbina Zambrano "/>
        <s v="Carlos Eduardo Cumpa alayo "/>
        <s v="Juan Augusto Arrunátegui Paiva "/>
        <s v="César Augusto Arrunátegui Vásquez "/>
        <s v="Anthony Giancarlos rios agesto"/>
        <s v="DAVID DANIEL ECOS BENAVIDES"/>
        <s v="ALEXIS FABIAN SANTA CRUZ QUILLAY"/>
        <s v="MARCO DEL CASTILLO RUIZ CARO "/>
        <s v="Gerson Alejandro Nogueyra Saldarriaga"/>
        <s v="ROSARIO TRUJILLO HIGINIO"/>
        <s v="ALFREDO LOZADA FERNANDEZ"/>
        <s v="Carlos sucasaca Vargas "/>
        <s v="Jonathan Ivan Espinoza Ruiz"/>
        <s v="Marleny Quispe Vilca"/>
        <s v="Andres valencia muñoz"/>
        <s v="Carlos Zuñiga Cabrera "/>
        <s v="Mack Alexis Flores Chalco, "/>
        <s v="Jheff Alfredo Laura Martínez"/>
        <s v="Tessy Tairo Cerrón"/>
        <s v="Julio Silverio Moreno Ruiz"/>
        <s v="John Ronald Alvarez Achaquihui&#10;"/>
        <s v="Michael Jonathan Yaya Gutierrez"/>
        <s v="Esteban Camarena Seminario"/>
        <s v="Patricio Pablo Rojas Salgado"/>
        <s v="Eder Genaro Estrada Montañez"/>
        <s v="Victor Caballero"/>
        <s v="Carlos Matias Chico"/>
        <s v="Joaquin Matias Chico"/>
        <s v="José Andrés Ventura Panta "/>
        <s v="Anna Karina Colmenares Hernández"/>
        <s v="Lissete Hinojosa Quiroz"/>
        <s v="Christiam Vasquez"/>
        <s v="Diana Honores"/>
        <s v="Gustavo Alfredo Anchante Chacaltana"/>
        <s v="Lizet De Guadalupe Roque Coronado"/>
        <s v="Pedro Raúl Artemio Alfaro Torres"/>
        <s v="EDWARD GALLO TORRES"/>
        <s v="KATHERINE ZUNICO FLORES"/>
        <s v="Massiel Karolina Ayala Guerra"/>
        <s v="Omar Bruno Guillén Sánchez "/>
        <s v="wilbert palomino"/>
        <s v="RENZO CHAVEZ"/>
        <s v="ALEJANDRO CHAUCA"/>
        <s v="Irene Delma Calderón Marcos"/>
        <s v="Juan Valencia León "/>
        <s v="César Domínguez Añanca"/>
        <s v="Angela Geraldine quiñones granados"/>
        <s v="Fabio Martin Vilca Romero"/>
        <s v="Alicia Ysabel Huaman Álvarez"/>
        <s v="Jesús Ángel Ramos Salas"/>
        <s v="Nikola Vera Torres"/>
        <s v="Megan Vera Tapia"/>
        <s v="Santiago Alex Loayza Briceño"/>
        <s v="José Freundt Montoya"/>
        <s v="Mercy Apaza Cayó"/>
        <s v="Cornelio ortiz jaimes"/>
        <s v=" JUAN DIEGO ALBINO RAMOS"/>
        <s v="Michael Parraga"/>
        <s v="Luis Manuel villa solis"/>
        <s v="Leonel villa abril"/>
        <s v="Diana Vicuña"/>
        <s v="Franco Leon"/>
        <s v="Miguel Nicho Pacheco"/>
        <s v="Jose Elías López Acostupa"/>
        <s v="MARCO ANTONIO PRADO VALERA"/>
        <s v="Héctor paul peña ajalcriña "/>
        <s v="Jose Luis Ñahui Ñiquen"/>
        <s v="Gino Garamendi"/>
        <s v="Edson Palomino Santillan"/>
        <s v="Rossana Casella"/>
        <s v="Danilo Véliz"/>
        <s v="Deyvi la rosa abarca"/>
        <s v="Rosa arica chinguel"/>
        <s v="Ivan Ramirez"/>
        <s v="Marta Ventura"/>
        <s v="Luís Antonio Cruz Gargate"/>
        <s v="Jherson Zapata Quintana"/>
        <s v="Marco Burgos"/>
        <s v="Edwin Osorio"/>
        <s v="RICARDO RUIZ CHAVEZ"/>
        <s v="RAFAEL RUIZ VASQUEZ"/>
        <s v="LUIS BARRA"/>
        <s v="Elio Huayllani candenas"/>
        <s v="Alberto Jara"/>
        <s v="Brigitte Oviedo Pérez "/>
        <s v="Lucas Antonio prado Guerrero"/>
        <s v="Camila Marroqui"/>
        <s v="Américo Ruiz Gutierrez"/>
        <s v="Frank Goytisolo Ruiz"/>
        <s v="ALISON PALOMINO"/>
        <s v="ELIZABETH CAMONES SALVADOR"/>
        <s v="María Paucar Almeyda"/>
        <s v="Néstor Vega Santaria"/>
        <s v="Rita María Pau Salguero "/>
        <s v="Liliana yuchin lung timana"/>
        <s v=" Francisco Daniel Kawashita Okuyama "/>
        <s v="Jennifer Ríos gil "/>
        <s v="Carlos Ignacio Efraín Matamoros Cartolin "/>
        <s v="Yoel Chávez nilupu "/>
        <s v="Carola Ramorez Sanchez"/>
        <s v="Jorge Napoleon Mercado Vilca"/>
        <s v="Daniel Espejo"/>
        <s v="María Ysabel Ruiz López"/>
        <s v="Miguel Angel Minaya Gonzalez"/>
        <s v="Edinson grower lostaunau padilla"/>
        <s v="Mauro ore"/>
        <s v="Jherardina Ore Rengifo"/>
        <s v="Juvenal Zamalloa Aguirre"/>
        <s v="Joel flores jacinto"/>
        <s v="Ricardo franco davila nuñez"/>
        <s v="César Juan Cortijo Villalobos "/>
        <s v="Benjamin Lau Chiong"/>
        <s v="Fredy Condori Hancco"/>
        <s v="Marleny Juipa Quiñónez "/>
        <s v="Eddy Dumler Lazo"/>
        <s v="Antonio Javier García Marocho"/>
        <s v="Maggio Fabricio Yañez Carrion"/>
        <s v="Gonzalo Aponte"/>
        <s v="Jeanfranco Ruiz Suarez"/>
        <s v="Piero Velarde"/>
        <s v="Jessy Barrenachea"/>
        <s v="Elizabeth Álvarez"/>
        <s v="Carlos Adolfo Cano Aquino"/>
        <s v="Ynes Mendoza Justo"/>
        <s v="Cynthian Milagros Lazo Chauca"/>
        <s v="Diego Sebastián Aranda Lazo"/>
        <s v="LUPITA QUINTANA SILVA"/>
        <s v="Dalia Del. Socorro Carvajal.  "/>
        <s v="Alfredo reza Matos"/>
        <s v="Elizabeth condori de la Peña "/>
        <s v="Jesús Amir Huaccho Hidalgo "/>
        <s v=" Brandon Barros Vizano"/>
        <s v="Juan Carlos borja"/>
        <s v="Helen llanos "/>
        <s v="Nancy Tamani"/>
        <s v="Oscar Vega"/>
        <s v="Nataly Cristina Aparicio Perez"/>
        <s v="Edwin Quichiz Bernal "/>
        <s v="Fernando Quichiz Bernal "/>
        <s v="Oscar Quichiz Bernal "/>
        <s v="Teófila Sánchez mellado  "/>
        <s v="Jocsahel jose Valera morales"/>
        <s v="Jocsmar José Valera Osorio "/>
        <s v="flor María esperanza Urtecho rabines "/>
        <s v=" Almonacid Lujan shonin"/>
        <s v="Janet Quincho Ruiz"/>
        <s v="Gloria Stefany Garcia López"/>
        <s v="JEAN CARLOS CARDENAS CALMA"/>
        <s v="Karin Chacon Gonzales"/>
        <s v="Norita Isabel Uraco Acho"/>
        <s v=" Miguel Rios López"/>
        <s v="Diana Mora Terrones"/>
        <s v="Jesús Geldres Pérez"/>
        <s v="Henry Manuel Miranda Cuya"/>
        <s v="Sthefany Milagros Alata Romero"/>
        <s v="JESUS ENRIQUE MEDINA LAZO"/>
        <s v="Milagros Lazo Osorio"/>
        <s v="Luz Fabiola Rodriguez Guerrero"/>
        <s v="Andre Geusepee Cruz Barzola"/>
        <s v="Anderson Meneses Vilca"/>
        <s v="ROXANA PACCINI"/>
        <s v="LUIS PEREZ"/>
        <s v="Pedro Gonzales Correa "/>
        <s v="Fernando García Rojas"/>
        <s v="HILDA MERCEDES ZAVALA RAMOS "/>
        <s v="JULIO GODOFREDO ALIAGA SUÁREZ"/>
        <s v="Elio Rios Cardenas&#10;"/>
        <s v="Haydee Loayza"/>
        <s v="Karen Sánchez vilcamiche"/>
        <s v="Luis Alberto Neyra Coveñas"/>
        <s v="Julio la cerna Roncal"/>
        <s v="Andres Lucana"/>
        <s v="CINDY ARAUCANO"/>
        <s v="Kelly Jahuira Centeno"/>
        <s v="Annie Jahuira Centeno"/>
        <s v="Dina Centeno Cruz"/>
        <s v="Victor Alfonso Garcia Castro"/>
        <s v="Magaly Díaz"/>
        <s v="Luis Alberto Marquina Arias"/>
        <s v="María Luisa Díaz García"/>
        <s v="EDUARDO LARIOS SALAZAR"/>
        <s v="Andres Felipe Jurado Aguilar"/>
        <s v="Juana Alejandrina Pallaca Mallqui"/>
        <s v="Janeth mayhuasca lapa"/>
        <s v="Williams Fredy Sanabria Reyes"/>
        <s v="Rafael Antony Urbina Peña "/>
        <s v="Francisco José Mesía Liau"/>
        <s v="Lesly chumbiriza chacon"/>
        <s v="brenda lahura vento"/>
        <s v="Darlen Estupiñan Euscate"/>
        <s v="Luis Checa Alayza"/>
        <s v="Félix Uriarte Barranazuela"/>
        <s v="Linda Aponte Huaman "/>
        <s v="Deysi Quezada Trujillo"/>
        <s v="Roberto Gabriel Flores Butron"/>
        <s v="Eber huayhua vargas "/>
        <s v="Andrés Sebastian Ordenes Lobatón"/>
        <s v="Jordan Aaron Suarez Acuña"/>
        <s v="Miguel  Angel Peña Mata"/>
        <s v="Carlos Díaz Ocaña "/>
        <s v="Lucia Jessica Chávez Ramírez "/>
        <s v="Maycol Jonathan paz Retamozo "/>
        <s v="Brian portilla orquiz "/>
        <s v="César Miguel Oré Astorga"/>
        <s v="Jorge luis padilla zapata"/>
        <s v="Abraham Basilio Rojas"/>
        <s v="Ricardo Junior Boza Valdiviezo"/>
        <s v="Piero André Damas Salhuana"/>
        <s v="María Bertha Chavarría rios"/>
        <s v="Magda Rosa Aguilar Vigo"/>
        <s v="Yessire Meneses Bellido"/>
        <s v="Miguel Angel Gutti Huaman"/>
        <s v="Pablo Fernandez "/>
        <s v="Robert Montilla"/>
        <s v="Jessica Escarlen"/>
        <s v="Anderson Denis López López "/>
        <s v="Luis Ivan Novoa Espinoza "/>
        <s v="Aldair fuentes castro"/>
        <s v="James Enrique Ccaira Quispe"/>
        <s v="Jorge Luis cabrera Montenegro"/>
        <s v="Carlos Eduardo Cumpa alayo"/>
        <s v="Ricardo Boza"/>
        <s v="Martha lucia Gutiérrez Pacheco"/>
        <s v="Osmar Rosas Tomas"/>
        <s v="Edver luna goñi"/>
        <s v="Luna Alejandra Peláez Egoavil "/>
        <s v="Walter Seyfarth"/>
        <s v="Jorge"/>
        <s v="BRENDA FARAON"/>
        <s v="JULIO GELDRES"/>
        <s v="Wilder francisco hurtado torres"/>
        <s v="Geoffrey Mogollon"/>
        <s v="Ynalia Noemí Quispe Valdivia"/>
        <s v="Isolina Ruiz roman "/>
        <s v="Victor Mario Zapata Vilchez "/>
        <s v="Rodrigo Romero León"/>
        <s v="Nilber Eduardo portocarrero López"/>
        <s v="Ronald Rene cuya lozano "/>
        <s v="Miguel Angel Martinez Galvez "/>
        <s v="Julio cesar Nalbarte villar"/>
        <s v="Demetrio Ramos Mancilla"/>
        <s v="Oscar Vega Orue"/>
        <s v="Rodrigo Sebastian Salazar Palacios"/>
        <s v="Ruedi Mazuelos"/>
        <s v="Richard Carlo Rodriguez Balcazar"/>
        <s v="Gabriel Maximiliano Sánchez Castro"/>
        <s v="Jhon Eduardo Ruiz Sachun"/>
        <s v="Luis Alberto Pérez zevallos"/>
        <s v="Pedro Chavez"/>
        <s v="Fabrizzio Mijael Lima Obregón"/>
        <s v="Elvis Gustavo lluen Torres "/>
        <s v="Peter Günther Kost Soto "/>
        <s v="Mirko jesus neyra solis"/>
        <s v="Edward Crispín paredes"/>
        <s v="Milton Fuentes Guerrero "/>
        <s v="eva bendezú gallegos "/>
        <s v="Alberto Gallegos Arias"/>
        <s v="mateo quispe solis"/>
        <s v="Luis Alberto cavero alvites "/>
        <s v="Rafael Torres - GB15"/>
        <s v="Renato Jurado Vilchez- GB16"/>
        <s v="Antonio martin hidalgo alencar GB-20"/>
        <s v="Rolando, Cristobal Alarcon GB-20"/>
        <s v="Denis Walter roman cataño GB-19"/>
        <s v="Juan manuel gallardo Escalante GB-20"/>
        <n v="150.0"/>
        <n v="380.0"/>
        <n v="290.0"/>
        <n v="165.0"/>
        <n v="170.0"/>
        <n v="330.0"/>
        <n v="139.76"/>
        <n v="190.0"/>
        <n v="180.0"/>
        <n v="100.0"/>
        <n v="50.0"/>
        <n v="1439.0"/>
      </sharedItems>
    </cacheField>
    <cacheField name="EMAIL">
      <sharedItems containsBlank="1" containsMixedTypes="1" containsNumber="1">
        <s v="sebastiancm@outlook.com"/>
        <s v="juanchadrs@gmail.com"/>
        <s v="elysalas2004@hotmail.com"/>
        <m/>
        <s v="hellenleon7@gmail.com"/>
        <s v="ckyacariniman2@gmail.com "/>
        <s v="Reqg_672@hotmail.com"/>
        <s v="Gerencia@imelin.com.pe"/>
        <s v="rafaelurbi24@gmail.com"/>
        <s v="benites.07@hotmail.com"/>
        <s v="ernesto199124@hotmail.com"/>
        <s v="antoniolorac@gmail.com"/>
        <s v="msk.rosa@gmail.com"/>
        <s v="havu20@gmail.com "/>
        <s v="gustavo.gba07@hotmail.com"/>
        <s v="janampaosores@gmail.com"/>
        <s v="deessiree16@hotmail.com"/>
        <s v="Arn_g2005@hotmail"/>
        <s v="danielpupunovich5@hotmail.com"/>
        <s v="Sergio.lsaldana@gmail.com"/>
        <s v="jose.pineda@ae.edu.pe"/>
        <s v="luisramosnicoll@gmail.com"/>
        <s v="hricardoarroyov@gmail.com"/>
        <s v="rmgvalencia@hotmail.com"/>
        <s v="anthony.molinah@gmail.com"/>
        <s v="Roodj88@gmail.com"/>
        <s v="Matias_pf_21@hotmail.com"/>
        <s v="Miguel.requiz10@gmail.com"/>
        <s v="aldodilibertoroldan@gmail.com"/>
        <s v="enriquelta169@gmail.com"/>
        <s v="pierre.neyrape@gmail.com"/>
        <s v="marietacristina@hotmail.com"/>
        <s v="kevinalarico@gmail.com "/>
        <s v="Juanca.busta.mer09@gmail.com "/>
        <s v="martinj_98@hotmail.com"/>
        <s v="Wilsonuni@gmail.com "/>
        <s v="⁠guardiamd@gmail.com"/>
        <s v="Jorgearaujo13@hotmail.com"/>
        <s v="marijo51290@gmail.com"/>
        <s v="patriciaarz@yahoo.es"/>
        <s v="j.chefmori@gmail.com"/>
        <s v="ambiorisellince@gmail.com"/>
        <s v="waltercv2002@hotmail.com"/>
        <s v="bertha_gamboa@yahoo.com "/>
        <s v="zhituobanco@gmail.com"/>
        <s v="zeepaciente@gmail.com"/>
        <s v="marellanoch@gmail.com"/>
        <s v="mariafeushi.94@gmail.com"/>
        <s v="liliana.benitoz@gmail.com"/>
        <s v="Alexanderplatero200q@gmail.com"/>
        <s v="marianabarrera@yahoo.com"/>
        <s v="Juan.carlos.achiri@gmail.com"/>
        <s v="apoa315@hotmail.com"/>
        <s v="Carolina.velosa@icloud.com"/>
        <s v="Jonathan.marrou@gmail.com"/>
        <s v="Ricardo.jonico@gmail.com"/>
        <s v="ivansalsavilca@gmail.com"/>
        <s v="Nicogamez1008@gmail.com"/>
        <s v="Mbuendia4@gmail.com"/>
        <s v="Lisibuendia28@gmail.com"/>
        <s v="luciapari87@outlook.com"/>
        <s v="Rabanalwilly@gmail.com"/>
        <s v="bochoa@pucp.pe"/>
        <s v="nestor_vm1994@hotmail.com"/>
        <s v="carlonchocuadra@gmail.com"/>
        <s v="Delzofranco@gmail.com"/>
        <s v="naturaquimi@gmail.com"/>
        <s v="carlosyufre29@gmail.com"/>
        <s v="ruthm_hidalgo@hotmail.com"/>
        <s v="escobar010201@gmail.com"/>
        <s v="davsan82@hotmail.com"/>
        <s v="crcl83@hotmail.com"/>
        <s v="davsan82@gmail.com"/>
        <s v="Pavelpadiaz@gmail.com"/>
        <s v="gustavocordova2015@gmail.com"/>
        <s v="aldoviacava@msn.com"/>
        <s v="aldoviacava00@outlook.com"/>
        <s v="ELPY1967@GMAIL.COM"/>
        <s v="jandir.rivera10@gmail.com"/>
        <s v="fritz_jairo@hotmail .com"/>
        <s v="Ka.carmed@gmail.com"/>
        <s v="camilavegatocto2102@gmail.com"/>
        <s v="juanvt667@gmail.com"/>
        <s v="caceresnestor869@gmail.com"/>
        <s v="samir010512@gmail.com"/>
        <s v="Samuel.pariona@urp.edu.pe"/>
        <s v="Latorremihel@gmail.com"/>
        <s v="Spawn.st41@gmail.com "/>
        <s v="sergio14_14@hotmail.com"/>
        <s v="Nazaret_abad@hotmail.com"/>
        <s v="andersonachata@gmail.com"/>
        <s v="Dyanact@gmail.com"/>
        <s v="Rolandofarfang@gmail.com"/>
        <s v="luiggijvp@gmail.com"/>
        <s v="betty2535@hotmail.com"/>
        <s v="manuel.grados.gm@gmail.com"/>
        <s v="joramirezf@hotmail.com"/>
        <s v="Jaimesantacruz2306@gmail.com"/>
        <s v="francisco.rm@pucp.pe"/>
        <s v="cesarlarosa_20@yahoo.com.pe"/>
        <s v="arrunateguijuan@gmail.com"/>
        <s v="gian.agesto.tkm@gmail.com"/>
        <s v="david.ecos@icloud.com"/>
        <s v="santacruzalexis950@gmail.com"/>
        <s v="MMDCRC@HOTMAIL.COM"/>
        <s v="ng.producciones.art@gmail.com"/>
        <s v="Carlossucasaca@gmail.com"/>
        <s v="Kevinandresvalenciamunoz@gmail.com"/>
        <s v="carlosazunigacabrera@gmail.com"/>
        <s v="alexisflores1973@gmail.com "/>
        <s v="simplementejheff@gmail.com"/>
        <s v=" tessy.tairo6@gmail.com"/>
        <s v="magne978@gmail.com"/>
        <s v="aronalito@gmail.com"/>
        <s v="esteban.camarena.stevejobs@gmail.com"/>
        <s v="Pablorojas30@hotmail.com"/>
        <s v="eder16221@gmail.com"/>
        <s v="victorcaballeror@gmail.com"/>
        <s v="Rosa.chico@telrad.pe"/>
        <s v="Matiaschicojoaquin@gmail.com"/>
        <s v="Karina.chz@hotmail.com"/>
        <s v="edwardgallo.309@gmail.com"/>
        <s v="kattyzunicoflores@gmail.com"/>
        <s v="brunohuarcaya2@gmail.com"/>
        <s v="wpa.rocaalta@gmail.com "/>
        <s v="irene_delma11@hotmail.com"/>
        <s v=" jvl.juanvalencialeon@gmail.com"/>
        <s v="serfafain.sac@hotmail.com"/>
        <s v="Jimmijoel123@hotmail.com"/>
        <s v="vrmartin1966@gmail.com"/>
        <s v="4. ⁠omar_antonio_2015@hotmail.com"/>
        <s v="ramossalasjesus@gmail.com"/>
        <s v="Nikolavera26@gmail.com"/>
        <s v="saloayzab@gmail.com"/>
        <s v="Je.freundt@hotmail.com"/>
        <s v="mercyapazacayod@gmail.com"/>
        <s v="cimacorsac@hotmail.com"/>
        <s v="4. jdalbinoramos@gmail.com"/>
        <s v="michael.parraga@gmail.com"/>
        <s v="lvillasolis@gmail.com"/>
        <s v="Joseelíaslopezacostupa@gmail.com"/>
        <s v="Hectorpaul_18@hotmail.com"/>
        <s v="Jnahuiniquen@gmail.com"/>
        <s v="rossanacasellav@hotmail.com"/>
        <s v="dmvelizs@hotmail.com"/>
        <s v="ir253302@gmail.com"/>
        <s v="martaventura4242@gmail.com"/>
        <s v="gargate_74@hotmail.com"/>
        <s v="- jhersonzapata@gmail.com"/>
        <s v=" "/>
        <s v="JOSELYOVI@GMAIL.COM"/>
        <s v="marialpa05@gmail.com"/>
        <s v="Sinjul887@gmail.com"/>
        <s v="altcg73@gmail.com"/>
        <s v="Axelnilupu@gmail.com"/>
        <s v="ccaro280@hotmail.com"/>
        <s v="Jnmercado1008@gmail.com"/>
        <s v="maisarulo@gmail.com"/>
        <s v="mi.minaya.go@hotmail.com"/>
        <s v="Mikelacayetana23@gmail.com"/>
        <s v="Fernando_ore92@hotmail.com"/>
        <s v="jhera84.jor@gmail.com"/>
        <s v="juvicha.z@gmail.com"/>
        <s v="Joe1430156@gmail.com"/>
        <s v="ricardodavilanu07@gmail.com"/>
        <s v="benjalau@yahoo.com"/>
        <s v="Fredycondorihancco62@gmail.com"/>
        <s v=" ma46ju@gmail.com"/>
        <s v="renzo.dumler@gmail.com"/>
        <s v="aj.garciamarocho@gmail.com"/>
        <s v="Jeanfranco.Suarez507@gmail.com"/>
        <s v="Nijachi28681@gmail.com"/>
        <s v="sharmony047@gmail.com"/>
        <s v="Alfredorezamatos@gmail.com"/>
        <s v="Nathaly.2305.3@gmail.com"/>
        <s v="brandon_honor2@outlook.com"/>
        <s v="Jcarlos.borjah@gmail.com"/>
        <s v="edwinquichiz@gmail.com"/>
        <s v="Fernando4822@hotmail.com"/>
        <s v="aosquibe@gmail.com"/>
        <s v=" jocsahel912@gmail.com"/>
        <s v="kosorio270876@gmail.com"/>
        <s v="esperanzah1994.flor@gmail.com"/>
        <s v="Karinchacong@gmail.com"/>
        <s v="noritauraco024@gmail.com"/>
        <s v="cuatroburgueses@gmail.com"/>
        <s v="jesusgeldres7@gmail.com"/>
        <s v="Henrymc23@gmail.com"/>
        <s v="Sthefany2321@gmail.com"/>
        <s v=" jesus_8_n@hotmail.com "/>
        <s v="lazoosoriomilagros@gmail.com"/>
        <s v="luzfabiolaa1603@gmail.com"/>
        <s v="andrecruzbarzola@hotmail.com"/>
        <s v="luis.perez@rems.pe"/>
        <s v="pegc68@gmail.com"/>
        <s v="anthonygb89@gmail.com"/>
        <s v="Julio.aliagaz@pucp.edu.pe"/>
        <s v="emz2011@hotmail.com"/>
        <s v="Galvimetall@yahoo.es"/>
        <s v="Andres.lucanal@gmail.com"/>
        <s v="elibenaraucano@gmail.com"/>
        <s v="Kelly.jahuiracenteno123@gmail.com"/>
        <s v="Jahuiraannie123@gmail.com"/>
        <s v="Dinacenteno66@gmail.com"/>
        <s v="Moyobamba051116@gmail.com"/>
        <s v="Lariossalazar1926@gmail.com "/>
        <s v="Carloscumpa195@hotmail.com"/>
        <s v="afelipe.jurado@gmail.com"/>
        <s v="wsananria073@gmail.com"/>
        <s v="Rafaelurbi18@gmail.com"/>
        <s v="leslyrosachumbirizachacon@gmail.com"/>
        <s v="dar.val13@hotmail.com"/>
        <s v="comcheca@gmail.com"/>
        <s v="Leydi359aponte@gmail.com"/>
        <s v="Luimertaboada@gmail.com"/>
        <s v="floresrgb97@gmail.com"/>
        <s v="Huayhuavargase@gmail.com"/>
        <s v="andresordeneslo@gmail.com"/>
        <s v="sjordanaaron@gmail.com"/>
        <s v="penamata90@gmail.com"/>
        <s v="cd1030741@gmail.com"/>
        <s v="Elchicharrondechavez@gmail.com"/>
        <s v="Pazm20481@gmail.com"/>
        <s v="brianportilla.bp@gmail.com"/>
        <s v="orec.1602@gmail.com"/>
        <s v="j.l.padilla_93@hotmail.com"/>
        <s v="Abr.2012@gmail.com"/>
        <s v="piero27022000@gmail.com"/>
        <s v="mariachavarria079@gmail.com"/>
        <s v="Magdaaguilar4@gmail.com"/>
        <s v="yess.menesesbellido@gmail.com"/>
        <s v=" luisramosnicoll@gmail.com"/>
        <s v="miguelgutti74@gmail.com"/>
        <s v="Thepointcellima@gmail.com"/>
        <s v="robertmontilla02@gmail.com"/>
        <s v="Escarlen.mrkdigital@gmail.com"/>
        <s v="fcanlelnubf@gmail.com"/>
        <s v=" ivannovoa@gmail.com"/>
        <s v="aldair321703@gmail.com"/>
        <s v="jams.enri@hotmail.com"/>
        <s v="ventas@espacioalexandra.com"/>
        <s v="carlossmithh21@gmail.com"/>
        <s v="Richiebzv@gmail.com"/>
        <s v="marthaluciagutierrezpacheco@gmail.com  "/>
        <s v="rosastomasosmar@gmail.com"/>
        <s v="Lunaedver@gmail.com"/>
        <s v="lunapelaez.25.11@gmail.com"/>
        <s v="walterseyfarthbsn@gmail.com"/>
        <s v="Willyht072@gmail.com"/>
        <s v="ynalianoemi@gmail.com"/>
        <s v="isolinachef@gmail.com "/>
        <s v="qjazminmilagros@gmail.com"/>
        <s v=" christian_romleo@hotmail.com"/>
        <s v="e.portocarrero_10@hotmail.com"/>
        <s v="ronaldcuya61@gmail.com"/>
        <s v="mg.martinezgalvez@gmail.com"/>
        <s v="Pazm20481gmail.com"/>
        <s v="Dieguito.2203.jnv@gmail.com"/>
        <s v="joshua_rexar@hotmail.com"/>
        <s v="oscar85.vo@gmail.com"/>
        <s v="bs1@jeanmazuelos.com"/>
        <s v="rcrbalcazar@hotmail.com"/>
        <s v=" richievzb@gmail.com"/>
        <s v="gabrielsanchezcastro67@gmail.com"/>
        <s v="Perezze@hotmail.com"/>
        <s v="pedro.chavz@gmail.com"/>
        <s v="mijaellima140@gmail.com"/>
        <s v="elvislluentorres@gmail.com "/>
        <s v="peterpgks80@gmail.com"/>
        <s v="Mirkoneyrasolis@gmail.com"/>
        <s v="ecocrispinparedes@gmail.com"/>
        <s v="sican.eirl.2025@gmail.com"/>
        <s v="jesusabendezu18@gmail.com"/>
        <s v="agallegos197681@gmail.com"/>
        <s v=" math_leo.u@hotmail.com"/>
        <s v="luisalbertocaveroalvites@gmail.com"/>
        <s v="Dejo el curso"/>
        <n v="190.0"/>
        <n v="450.0"/>
        <n v="360.0"/>
        <n v="350.0"/>
        <n v="160.0"/>
        <n v="200.0"/>
        <n v="380.0"/>
        <n v="300.0"/>
        <n v="3490.0"/>
        <n v="693.8"/>
      </sharedItems>
    </cacheField>
    <cacheField name="DISTRITO">
      <sharedItems containsBlank="1" containsMixedTypes="1" containsNumber="1">
        <s v="BARRANCO"/>
        <s v="la victoria"/>
        <s v="villa el salvador"/>
        <m/>
        <s v="CHACLACAYO"/>
        <s v="SJL"/>
        <s v="LOS OLIVOS "/>
        <s v="Chosica"/>
        <s v="SURCO"/>
        <s v="San Juan de Lurigancho "/>
        <s v="La Molina "/>
        <s v="LINCE"/>
        <s v="CALLAO"/>
        <s v="Victoria"/>
        <s v="SAN ISIDRO"/>
        <s v="VES"/>
        <s v="EL AGUSTINO"/>
        <s v="VMT"/>
        <s v="SURQUILLO"/>
        <s v="CHICLAYO"/>
        <s v="CHORRILLOS"/>
        <s v="SAN BORJA"/>
        <s v="MIRAFLORES"/>
        <s v="Villa María del Triunfo"/>
        <s v="SMP"/>
        <s v="SAN LUIS"/>
        <s v="breña"/>
        <s v="san miguel"/>
        <s v="SAN MARTIN"/>
        <s v="Ica"/>
        <s v="ATE"/>
        <s v="LA MOLINA"/>
        <s v="CINEGUILLA"/>
        <s v="SANTA ANITA"/>
        <s v="COMAS"/>
        <s v="San Miguel "/>
        <s v="los olivos"/>
        <s v="Pisco"/>
        <s v="CAÑETE"/>
        <s v="San Bartolo"/>
        <s v="RIMAC"/>
        <s v="lima"/>
        <s v="AYACUCHO"/>
        <s v="CERCADO"/>
        <s v="PUEBLO LIBRE"/>
        <s v="JESUS MARIA"/>
        <s v="HUARAL"/>
        <s v=" San Juan de Miraflores "/>
        <s v="San Juan de lurigancho"/>
        <s v="Pueblo  Libre"/>
        <s v="Huacho "/>
        <s v="san Juan de Miraflores"/>
        <s v="Jesus Maria "/>
        <s v="Miraflores, "/>
        <s v="LA PERLA - CALLAO"/>
        <s v="SJM"/>
        <s v="Huacho"/>
        <s v="Trujillo "/>
        <s v="Puente Piedra"/>
        <s v="santiago de surco"/>
        <s v="Pueblo libre "/>
        <s v="CARABAYLLO"/>
        <s v="3- Cercado de Lima"/>
        <s v=" "/>
        <s v="Huanuco "/>
        <s v="CAMANÁ"/>
        <s v="Junin "/>
        <s v="LURIN"/>
        <s v="PACHACAMAC"/>
        <s v="huachipa"/>
        <s v="La Victoria "/>
        <s v="JUNIN"/>
        <s v="HUAURA"/>
        <s v="Yanahuara-Arequipa"/>
        <s v="San Borja "/>
        <s v="Comas "/>
        <s v="Cercado de Lima "/>
        <s v="Carabayllo "/>
        <s v="Ate Salamanca"/>
        <s v="Jesús María"/>
        <s v="Callao "/>
        <s v="AREQUIPA"/>
        <s v="Nasca Ica"/>
        <s v="Trujillo"/>
        <s v="Bellavista "/>
        <s v="Cieneguilla "/>
        <s v="Rimac "/>
        <s v="Independencia"/>
        <s v="El agustino "/>
        <s v="Villa El Salvador "/>
        <n v="349.8"/>
        <n v="344.0"/>
      </sharedItems>
    </cacheField>
    <cacheField name="WSP">
      <sharedItems containsBlank="1" containsMixedTypes="1" containsNumber="1">
        <s v="998 690 869"/>
        <m/>
        <s v="989 356 823"/>
        <s v="947 169 905"/>
        <s v="960 142 095"/>
        <s v="965 007 792"/>
        <s v="991 714 494"/>
        <s v="958 154 071"/>
        <s v="988 766 216"/>
        <s v="987 809 308"/>
        <s v="981 398 282"/>
        <s v="976 352 593"/>
        <s v="951 684 925"/>
        <s v="968 358 245"/>
        <s v="995 586 556"/>
        <s v="954 532 968"/>
        <s v="975 575 476"/>
        <n v="9.91385736E8"/>
        <s v="966 922 334"/>
        <s v="927 235 029"/>
        <s v=" 954 134 851"/>
        <s v="997 126 675"/>
        <s v="936 613 646"/>
        <s v="987 760 144"/>
        <s v="945 841 782"/>
        <s v="940 114 314"/>
        <s v="956 683 082"/>
        <s v="955 854 644"/>
        <s v="978 839 327"/>
        <s v="902 090 772"/>
        <n v="9.26648844E8"/>
        <s v="955 468 683"/>
        <s v=" 993 793 101"/>
        <s v="995 745 088"/>
        <s v="964 322 942"/>
        <n v="9.99989977E8"/>
        <s v=" 949 271 885"/>
        <s v="987 737 748"/>
        <s v="FB"/>
        <s v="924 714 156"/>
        <s v="961 082 768"/>
        <s v="957 799 157"/>
        <s v="991 049 152"/>
        <s v="917 880 991"/>
        <s v="965 713 303"/>
        <n v="9.48350215E8"/>
        <s v="996 757 353"/>
        <s v="926 468 622"/>
        <s v="973 110 496"/>
        <s v="969 732 961"/>
        <s v="912 909 308"/>
        <s v="999 207 109"/>
        <s v="943 368 377"/>
        <n v="9.87552563E8"/>
        <s v=" 966 505 141"/>
        <s v="970 345 673"/>
        <s v="979 898 493"/>
        <s v="952 880 580"/>
        <s v="932 340 383"/>
        <s v="932 006 620"/>
        <s v="976 096 059"/>
        <s v="913 872 010"/>
        <s v="949 727 949"/>
        <s v="999 143 296"/>
        <n v="9.61377923E8"/>
        <s v="995 747 995"/>
        <s v="954 580 454"/>
        <s v="998 341 966"/>
        <s v="986 601 138"/>
        <s v="923 335 713"/>
        <n v="9.17395017E8"/>
        <s v="923 677 984"/>
        <s v="(347) 592-6379"/>
        <s v="964 850 682 "/>
        <s v="954 088 624"/>
        <n v="9.80494024E8"/>
        <n v="9.77176244E8"/>
        <n v="9.82002653E8"/>
        <s v="936 950 655"/>
        <n v="5.1977709418E10"/>
        <n v="5.1944252125E10"/>
        <s v="970 180 581"/>
        <s v="960 258 096"/>
        <n v="9.24561456E8"/>
        <n v="5.1987402177E10"/>
        <s v="982 593 099"/>
        <s v="962 075 283"/>
        <n v="5.1998294866E10"/>
        <n v="9.34091909E8"/>
        <s v="998 177 293"/>
        <s v="970 363 381"/>
        <s v="987 351 312"/>
        <s v="938 375 442"/>
        <s v="942 839 138"/>
        <s v="944 368 518"/>
        <s v="982 022 591"/>
        <n v="5.1999292184E10"/>
        <s v="997 788 156"/>
        <n v="5.196374848E10"/>
        <s v=" 955 737 238"/>
        <s v="948 714 975"/>
        <s v="990 040 557"/>
        <s v="999 666 042"/>
        <s v="998 165 695"/>
        <s v="938 960 593"/>
        <s v="939 960 593"/>
        <s v="940 960 593"/>
        <s v="955 880 422"/>
        <s v="950 228 116"/>
        <n v="5.1986381281E10"/>
        <s v="949 900 144"/>
        <s v="913 305 733"/>
        <s v="987 117 592"/>
        <s v="965 661 435"/>
        <s v="983 486 695"/>
        <s v="966 463 572"/>
        <s v="922 835 447"/>
        <n v="9.62956122E8"/>
        <n v="9.44646368E8"/>
        <s v="938 121 803"/>
        <s v="933 070 617"/>
        <s v=" 999 084 715"/>
        <s v="968 148 037"/>
        <s v="976 057 552"/>
        <s v=" "/>
        <n v="9.83849673E8"/>
        <s v="972 814 258"/>
        <n v="9.23894374E8"/>
        <s v="907 531 070"/>
        <s v="959 264 231"/>
        <s v="969 047 205"/>
        <s v="962 202 597"/>
        <s v="960 621 786"/>
        <s v="973 905 000"/>
        <n v="9.4480755E8"/>
        <s v="989 823 869"/>
        <n v="9.59379754E8"/>
        <s v="985 546 938"/>
        <s v=" 991 708 648"/>
        <s v="995 755 666"/>
        <s v="982 569 272"/>
        <s v="942 808 819"/>
        <n v="4.4836199E7"/>
        <s v="950 523 640"/>
        <s v="991 031 685"/>
        <s v="949 706 975"/>
        <s v="944 542 158"/>
        <s v="917 313 781"/>
        <s v="998 366 203"/>
        <s v="933 357 463"/>
        <s v="950 536 721"/>
        <s v="902 779 238"/>
        <s v="999 508 901"/>
        <n v="9.72453322E8"/>
        <n v="9.46856472E8"/>
        <n v="9.95951313E8"/>
        <s v="957 435 806"/>
        <s v="901 686 803"/>
        <s v="954 423 850"/>
        <s v="932 401 077"/>
        <s v="916 155 109"/>
        <s v="997 630 428"/>
        <s v="963 037 833"/>
        <s v="927 991 306"/>
        <s v="962 916 978"/>
        <n v="9.83630248E8"/>
        <s v="918 819 213"/>
        <s v="990 040 484"/>
        <s v="977 198 257"/>
        <s v="997 936 197"/>
        <s v="945 928 161"/>
        <s v="955 805 382"/>
        <s v="942 580 187"/>
        <s v="986 191 035"/>
        <s v="991 957 123"/>
        <s v="982 702 847"/>
        <n v="9.90494288E8"/>
        <s v="956 899 742"/>
        <s v=" 963 037 833"/>
        <s v="922 607 372"/>
        <s v="921 548 092"/>
        <s v=" 936 928 510"/>
        <s v=" 962 372 707"/>
        <s v="980 199 023"/>
        <s v="920 385 441"/>
        <s v="982 215 485"/>
        <s v="987 868 627"/>
        <s v="991 548 337"/>
        <n v="9.91177495E8"/>
        <s v=" 957 347 807"/>
        <s v="966 205 316"/>
        <s v="922 518 814"/>
        <s v="954 270 991"/>
        <s v="938 515 034"/>
        <n v="9.34205812E8"/>
        <n v="9.21899103E8"/>
        <n v="9.97953249E8"/>
        <n v="9.26827849E8"/>
        <n v="9.31198369E8"/>
        <s v="965 480 780"/>
        <s v="989 884 998"/>
        <n v="9.15352766E8"/>
        <s v=" 988 407 264"/>
        <s v="979 389 674"/>
        <s v="927 163 904"/>
        <s v="958 989 904"/>
        <s v="999 507 967"/>
        <s v=" 951 952 324"/>
        <s v="981 020 021"/>
        <s v="989 665 617"/>
        <n v="349.8"/>
        <n v="180.0"/>
        <n v="100.0"/>
        <n v="300.0"/>
        <n v="200.0"/>
        <n v="125.0"/>
        <n v="380.0"/>
      </sharedItems>
    </cacheField>
    <cacheField name="F1">
      <sharedItems containsBlank="1" containsMixedTypes="1" containsNumber="1">
        <s v="X"/>
        <m/>
        <e v="#REF!"/>
        <n v="693.8"/>
      </sharedItems>
    </cacheField>
    <cacheField name="F2">
      <sharedItems containsBlank="1" containsMixedTypes="1" containsNumber="1">
        <m/>
        <s v="X"/>
        <s v=" "/>
        <n v="3490.0"/>
        <n v="349.8"/>
        <n v="344.0"/>
      </sharedItems>
    </cacheField>
    <cacheField name="MONTO">
      <sharedItems containsDate="1" containsBlank="1" containsMixedTypes="1">
        <n v="250.0"/>
        <n v="190.0"/>
        <m/>
        <n v="110.0"/>
        <n v="95.0"/>
        <n v="50.0"/>
        <n v="350.0"/>
        <n v="220.0"/>
        <n v="100.0"/>
        <n v="175.0"/>
        <n v="180.0"/>
        <n v="0.0"/>
        <n v="200.0"/>
        <n v="380.0"/>
        <n v="360.0"/>
        <n v="330.0"/>
        <n v="90.0"/>
        <d v="1900-04-19T00:00:00Z"/>
        <d v="1900-08-07T00:00:00Z"/>
        <d v="1900-07-08T00:00:00Z"/>
        <d v="1901-01-14T00:00:00Z"/>
        <d v="1900-06-23T00:00:00Z"/>
        <d v="1899-12-30T00:00:00Z"/>
        <d v="1900-06-28T00:00:00Z"/>
        <d v="1900-04-09T00:00:00Z"/>
        <d v="1900-12-15T00:00:00Z"/>
        <d v="1900-07-18T00:00:00Z"/>
        <d v="1900-12-25T00:00:00Z"/>
        <d v="1900-05-29T00:00:00Z"/>
        <d v="1900-07-03T00:00:00Z"/>
        <n v="150.0"/>
        <n v="210.0"/>
        <n v="25.0"/>
        <n v="85.0"/>
        <n v="160.0"/>
        <n v="125.0"/>
        <n v="75.0"/>
        <n v="70.0"/>
        <d v="1900-05-19T00:00:00Z"/>
        <d v="1900-05-04T00:00:00Z"/>
        <d v="1900-02-18T00:00:00Z"/>
        <d v="1900-03-20T00:00:00Z"/>
        <d v="1900-03-02T12:00:00Z"/>
        <d v="1900-03-10T00:00:00Z"/>
        <d v="1900-03-15T00:00:00Z"/>
        <n v="130.0"/>
        <n v="140.0"/>
        <n v="62.5"/>
        <n v="80.0"/>
        <n v="185.0"/>
        <n v="225.0"/>
        <n v="166.66"/>
        <s v="S/.180.00"/>
        <s v="S/.160.00"/>
        <n v="1700.0"/>
        <n v="1724.0"/>
        <n v="500.0"/>
        <n v="1400.0"/>
        <n v="1300.0"/>
        <n v="1500.0"/>
        <n v="300.0"/>
        <n v="800.0"/>
        <n v="400.0"/>
        <n v="600.0"/>
      </sharedItems>
    </cacheField>
    <cacheField name="xCOBRAR">
      <sharedItems containsDate="1" containsBlank="1" containsMixedTypes="1">
        <m/>
        <n v="110.0"/>
        <n v="95.0"/>
        <n v="125.0"/>
        <n v="175.0"/>
        <n v="155.0"/>
        <n v="190.0"/>
        <n v="250.0"/>
        <n v="100.0"/>
        <n v="20.0"/>
        <n v="90.0"/>
        <n v="150.0"/>
        <n v="180.0"/>
        <d v="1900-04-19T00:00:00Z"/>
        <d v="1900-06-08T00:00:00Z"/>
        <d v="1900-06-23T00:00:00Z"/>
        <d v="1900-07-08T00:00:00Z"/>
        <d v="1900-06-28T00:00:00Z"/>
        <d v="1900-04-09T00:00:00Z"/>
        <s v=" "/>
        <d v="1900-07-28T00:00:00Z"/>
        <d v="1900-10-26T00:00:00Z"/>
        <d v="1900-05-29T00:00:00Z"/>
        <n v="270.0"/>
        <n v="45.0"/>
        <n v="280.0"/>
        <n v="0.0"/>
        <n v="50.0"/>
        <n v="85.0"/>
        <n v="80.0"/>
        <n v="75.0"/>
        <d v="1900-03-15T00:00:00Z"/>
        <d v="1900-03-20T00:00:00Z"/>
        <d v="1900-03-30T00:00:00Z"/>
        <d v="1900-12-15T00:00:00Z"/>
        <d v="1900-03-02T12:00:00Z"/>
        <d v="1900-03-10T00:00:00Z"/>
        <n v="62.5"/>
        <n v="70.0"/>
        <n v="130.0"/>
        <n v="225.0"/>
        <n v="120.0"/>
        <n v="140.0"/>
        <n v="350.0"/>
        <n v="720.0"/>
        <n v="500.0"/>
        <n v="1000.0"/>
        <n v="349.8"/>
        <n v="300.0"/>
        <n v="200.0"/>
        <n v="380.0"/>
      </sharedItems>
    </cacheField>
    <cacheField name="ESTADO" numFmtId="166">
      <sharedItems containsBlank="1">
        <s v="PAGO"/>
        <m/>
        <s v="COBR"/>
      </sharedItems>
    </cacheField>
    <cacheField name="CUENTA">
      <sharedItems containsBlank="1" containsMixedTypes="1" containsNumber="1" containsInteger="1">
        <s v="YAPE JL"/>
        <m/>
        <s v="PLIN JL"/>
        <s v="MERC-PAG"/>
        <s v="BCP JL"/>
        <s v="BCP EPP"/>
        <s v="BBVA JL"/>
        <s v="LINK-CULQUI"/>
        <s v="EFECTIVO"/>
        <n v="0.0"/>
      </sharedItems>
    </cacheField>
    <cacheField name="INGRESO">
      <sharedItems containsDate="1" containsString="0" containsBlank="1" containsMixedTypes="1">
        <n v="250.0"/>
        <n v="190.0"/>
        <m/>
        <n v="110.0"/>
        <n v="95.0"/>
        <n v="50.0"/>
        <n v="350.0"/>
        <n v="220.0"/>
        <n v="100.0"/>
        <n v="167.2"/>
        <n v="175.0"/>
        <n v="180.0"/>
        <n v="0.0"/>
        <n v="200.0"/>
        <n v="360.0"/>
        <n v="380.0"/>
        <n v="181.58"/>
        <n v="363.16"/>
        <n v="330.0"/>
        <n v="90.0"/>
        <d v="1900-04-19T00:00:00Z"/>
        <d v="1900-08-07T00:00:00Z"/>
        <d v="1900-07-08T00:00:00Z"/>
        <d v="1901-01-14T00:00:00Z"/>
        <d v="1900-06-23T00:00:00Z"/>
        <d v="1899-12-30T00:00:00Z"/>
        <d v="1900-06-28T00:00:00Z"/>
        <d v="1900-04-09T00:00:00Z"/>
        <d v="1900-12-15T00:00:00Z"/>
        <d v="1900-07-18T00:00:00Z"/>
        <d v="1900-12-25T00:00:00Z"/>
        <d v="1900-05-29T00:00:00Z"/>
        <d v="1900-07-03T00:00:00Z"/>
        <n v="150.0"/>
        <n v="166.0"/>
        <n v="104.88"/>
        <n v="195.0"/>
        <n v="82.5"/>
        <n v="25.0"/>
        <n v="85.0"/>
        <n v="160.0"/>
        <n v="125.0"/>
        <n v="180.99"/>
        <n v="75.0"/>
        <n v="70.0"/>
        <d v="1900-05-19T00:00:00Z"/>
        <d v="1900-05-21T15:21:36Z"/>
        <d v="1900-05-04T00:00:00Z"/>
        <d v="1900-02-18T00:00:00Z"/>
        <d v="1900-03-20T00:00:00Z"/>
        <d v="1900-03-02T12:00:00Z"/>
        <d v="1900-03-10T00:00:00Z"/>
        <d v="1900-03-15T00:00:00Z"/>
        <n v="130.0"/>
        <n v="140.0"/>
        <n v="62.5"/>
        <n v="80.0"/>
        <n v="185.0"/>
        <n v="225.0"/>
        <n v="166.66"/>
        <n v="166.6"/>
        <n v="174.28"/>
        <n v="1700.0"/>
        <n v="1724.0"/>
        <n v="500.0"/>
        <n v="300.0"/>
        <n v="800.0"/>
        <n v="1400.0"/>
        <n v="1500.0"/>
        <n v="1300.0"/>
        <n v="1100.0"/>
        <n v="400.0"/>
        <n v="600.0"/>
      </sharedItems>
    </cacheField>
    <cacheField name="SALDO">
      <sharedItems containsDate="1" containsString="0" containsBlank="1" containsMixedTypes="1">
        <m/>
        <n v="110.0"/>
        <n v="95.0"/>
        <n v="125.0"/>
        <n v="167.2"/>
        <d v="1900-04-19T00:00:00Z"/>
        <d v="1900-06-08T00:00:00Z"/>
        <d v="1900-06-23T00:00:00Z"/>
        <d v="1900-07-08T00:00:00Z"/>
        <d v="1900-06-28T00:00:00Z"/>
        <d v="1900-04-09T00:00:00Z"/>
        <d v="1900-06-13T00:00:00Z"/>
        <d v="1900-07-28T00:00:00Z"/>
        <d v="1900-10-26T00:00:00Z"/>
        <d v="1900-05-29T00:00:00Z"/>
        <n v="0.0"/>
        <n v="100.0"/>
        <n v="180.0"/>
        <n v="90.0"/>
        <n v="270.0"/>
        <n v="190.0"/>
        <n v="175.0"/>
        <n v="280.0"/>
        <n v="150.0"/>
        <n v="50.0"/>
        <n v="155.0"/>
        <n v="85.0"/>
        <n v="75.0"/>
        <d v="1900-03-20T00:00:00Z"/>
        <d v="1900-03-30T00:00:00Z"/>
        <d v="1899-12-30T00:00:00Z"/>
        <d v="1900-03-02T12:00:00Z"/>
        <d v="1900-03-15T00:00:00Z"/>
        <d v="1900-03-10T00:00:00Z"/>
        <n v="62.5"/>
        <n v="70.0"/>
        <n v="130.0"/>
        <n v="225.0"/>
        <n v="120.0"/>
        <n v="140.0"/>
        <n v="350.0"/>
        <n v="720.0"/>
        <n v="1000.0"/>
        <n v="1200.0"/>
        <n v="1100.0"/>
        <n v="500.0"/>
        <n v="200.0"/>
      </sharedItems>
    </cacheField>
    <cacheField name="VENDEDOR" numFmtId="166">
      <sharedItems containsBlank="1">
        <s v="Yadhira"/>
        <s v="Greici"/>
        <m/>
        <s v="Katherine"/>
        <s v="Sofia"/>
        <s v="Tania"/>
        <s v="Gabriela"/>
        <s v="JL"/>
        <s v="FH"/>
      </sharedItems>
    </cacheField>
    <cacheField name="TOTAL">
      <sharedItems containsDate="1" containsString="0" containsBlank="1" containsMixedTypes="1">
        <n v="250.0"/>
        <n v="190.0"/>
        <n v="0.0"/>
        <n v="220.0"/>
        <n v="175.0"/>
        <n v="350.0"/>
        <n v="100.0"/>
        <n v="334.4"/>
        <n v="180.0"/>
        <n v="355.0"/>
        <n v="380.0"/>
        <n v="360.0"/>
        <n v="181.58"/>
        <n v="200.0"/>
        <n v="363.16"/>
        <d v="1900-08-07T00:00:00Z"/>
        <d v="1900-07-08T00:00:00Z"/>
        <d v="1901-01-14T00:00:00Z"/>
        <d v="1900-12-15T00:00:00Z"/>
        <d v="1899-12-30T00:00:00Z"/>
        <d v="1900-06-23T00:00:00Z"/>
        <d v="1900-12-25T00:00:00Z"/>
        <d v="1900-06-28T00:00:00Z"/>
        <d v="1900-04-09T00:00:00Z"/>
        <d v="1900-07-18T00:00:00Z"/>
        <d v="1900-12-10T00:00:00Z"/>
        <d v="1901-03-25T00:00:00Z"/>
        <d v="1900-11-30T00:00:00Z"/>
        <n v="110.0"/>
        <n v="150.0"/>
        <n v="166.0"/>
        <n v="214.88"/>
        <n v="195.0"/>
        <n v="82.5"/>
        <n v="170.0"/>
        <n v="160.0"/>
        <n v="180.99"/>
        <n v="50.0"/>
        <n v="70.0"/>
        <d v="1900-05-19T00:00:00Z"/>
        <d v="1900-05-29T00:00:00Z"/>
        <d v="1900-05-21T15:21:36Z"/>
        <d v="1900-05-04T00:00:00Z"/>
        <d v="1900-06-08T00:00:00Z"/>
        <m/>
        <d v="1900-03-15T00:00:00Z"/>
        <d v="1900-02-18T00:00:00Z"/>
        <n v="130.0"/>
        <n v="140.0"/>
        <n v="125.0"/>
        <n v="185.0"/>
        <n v="165.0"/>
        <n v="450.0"/>
        <n v="166.66"/>
        <n v="166.6"/>
        <n v="174.28"/>
        <n v="2420.0"/>
        <n v="1724.0"/>
        <n v="500.0"/>
        <n v="1400.0"/>
        <n v="1300.0"/>
        <n v="1500.0"/>
        <n v="300.0"/>
        <n v="800.0"/>
        <n v="400.0"/>
        <n v="6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D" cacheId="0" dataCaption="" compact="0" compactData="0">
  <location ref="B3:N14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MES" axis="axisCol" compact="0" outline="0" multipleItemSelectionAllowed="1" showAll="0" sortType="ascending">
      <items>
        <item x="4"/>
        <item x="0"/>
        <item x="2"/>
        <item x="10"/>
        <item x="9"/>
        <item x="7"/>
        <item x="5"/>
        <item x="6"/>
        <item x="1"/>
        <item x="3"/>
        <item x="8"/>
        <item t="default"/>
      </items>
    </pivotField>
    <pivotField name="SEMAN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IA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ECHA_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 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FE_ REGIST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NOMBRES Y APELLI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DIST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S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F1" compact="0" outline="0" multipleItemSelectionAllowed="1" showAll="0">
      <items>
        <item x="0"/>
        <item x="1"/>
        <item x="2"/>
        <item x="3"/>
        <item t="default"/>
      </items>
    </pivotField>
    <pivotField name="F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xCOBR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STADO" compact="0" numFmtId="166" outline="0" multipleItemSelectionAllowed="1" showAll="0">
      <items>
        <item x="0"/>
        <item x="1"/>
        <item x="2"/>
        <item t="default"/>
      </items>
    </pivotField>
    <pivotField name="CU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GRE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VENDEDOR" axis="axisRow" compact="0" numFmtId="166" outline="0" multipleItemSelectionAllowed="1" showAll="0" sortType="ascending">
      <items>
        <item x="2"/>
        <item x="8"/>
        <item x="6"/>
        <item x="1"/>
        <item x="7"/>
        <item x="3"/>
        <item x="4"/>
        <item x="5"/>
        <item x="0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>
    <field x="21"/>
  </rowFields>
  <colFields>
    <field x="1"/>
  </colFields>
  <dataFields>
    <dataField name="SUM of TOTAL" fld="22" baseField="0"/>
  </dataFields>
</pivotTableDefinition>
</file>

<file path=xl/pivotTables/pivotTable2.xml><?xml version="1.0" encoding="utf-8"?>
<pivotTableDefinition xmlns="http://schemas.openxmlformats.org/spreadsheetml/2006/main" name="TD 2" cacheId="0" dataCaption="" compact="0" compactData="0">
  <location ref="B20:N29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MES" axis="axisCol" compact="0" outline="0" multipleItemSelectionAllowed="1" showAll="0" sortType="ascending">
      <items>
        <item x="4"/>
        <item x="0"/>
        <item x="2"/>
        <item x="10"/>
        <item x="9"/>
        <item x="7"/>
        <item x="5"/>
        <item x="6"/>
        <item x="1"/>
        <item x="3"/>
        <item x="8"/>
        <item t="default"/>
      </items>
    </pivotField>
    <pivotField name="SEMAN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IA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ECHA_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DUCTO" axis="axisRow" compact="0" outline="0" multipleItemSelectionAllowed="1" showAll="0" sortType="ascending">
      <items>
        <item x="0"/>
        <item x="2"/>
        <item x="6"/>
        <item x="5"/>
        <item x="3"/>
        <item x="4"/>
        <item x="1"/>
        <item t="default"/>
      </items>
    </pivotField>
    <pivotField name="PROD 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FE_ REGIST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NOMBRES Y APELLI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DIST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S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F1" compact="0" outline="0" multipleItemSelectionAllowed="1" showAll="0">
      <items>
        <item x="0"/>
        <item x="1"/>
        <item x="2"/>
        <item x="3"/>
        <item t="default"/>
      </items>
    </pivotField>
    <pivotField name="F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xCOBR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STADO" compact="0" numFmtId="166" outline="0" multipleItemSelectionAllowed="1" showAll="0">
      <items>
        <item x="0"/>
        <item x="1"/>
        <item x="2"/>
        <item t="default"/>
      </items>
    </pivotField>
    <pivotField name="CU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GRE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VENDEDOR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>
    <field x="5"/>
  </rowFields>
  <colFields>
    <field x="1"/>
  </colFields>
  <dataFields>
    <dataField name="SUM of TOTAL" fld="22" baseField="0"/>
  </dataFields>
</pivotTableDefinition>
</file>

<file path=xl/pivotTables/pivotTable3.xml><?xml version="1.0" encoding="utf-8"?>
<pivotTableDefinition xmlns="http://schemas.openxmlformats.org/spreadsheetml/2006/main" name="TD 3" cacheId="0" dataCaption="" compact="0" compactData="0">
  <location ref="B36:C44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EMAN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IA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ECHA_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DUCTO" axis="axisRow" compact="0" outline="0" multipleItemSelectionAllowed="1" showAll="0" sortType="ascending">
      <items>
        <item x="0"/>
        <item x="2"/>
        <item x="6"/>
        <item x="5"/>
        <item x="3"/>
        <item x="4"/>
        <item x="1"/>
        <item t="default"/>
      </items>
    </pivotField>
    <pivotField name="PROD 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FE_ REGIST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NOMBRES Y APELLI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DIST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S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F1" compact="0" outline="0" multipleItemSelectionAllowed="1" showAll="0">
      <items>
        <item x="0"/>
        <item x="1"/>
        <item x="2"/>
        <item x="3"/>
        <item t="default"/>
      </items>
    </pivotField>
    <pivotField name="F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xCOBR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STADO" compact="0" numFmtId="166" outline="0" multipleItemSelectionAllowed="1" showAll="0">
      <items>
        <item x="0"/>
        <item x="1"/>
        <item x="2"/>
        <item t="default"/>
      </items>
    </pivotField>
    <pivotField name="CU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GRE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VENDEDOR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>
    <field x="5"/>
  </rowFields>
  <dataFields>
    <dataField name="SUM of TOTAL" fld="22" baseField="0"/>
  </dataFields>
</pivotTableDefinition>
</file>

<file path=xl/pivotTables/pivotTable4.xml><?xml version="1.0" encoding="utf-8"?>
<pivotTableDefinition xmlns="http://schemas.openxmlformats.org/spreadsheetml/2006/main" name="TD 4" cacheId="0" dataCaption="" compact="0" compactData="0">
  <location ref="F36:G46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EMAN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IA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ECHA_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 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FE_ REGIST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NOMBRES Y APELLI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DIST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S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F1" compact="0" outline="0" multipleItemSelectionAllowed="1" showAll="0">
      <items>
        <item x="0"/>
        <item x="1"/>
        <item x="2"/>
        <item x="3"/>
        <item t="default"/>
      </items>
    </pivotField>
    <pivotField name="F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xCOBR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STADO" compact="0" numFmtId="166" outline="0" multipleItemSelectionAllowed="1" showAll="0">
      <items>
        <item x="0"/>
        <item x="1"/>
        <item x="2"/>
        <item t="default"/>
      </items>
    </pivotField>
    <pivotField name="CU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GRE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VENDEDOR" axis="axisRow" compact="0" numFmtId="166" outline="0" multipleItemSelectionAllowed="1" showAll="0" sortType="ascending">
      <items>
        <item x="2"/>
        <item x="8"/>
        <item x="6"/>
        <item x="1"/>
        <item x="7"/>
        <item x="3"/>
        <item x="4"/>
        <item x="5"/>
        <item x="0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>
    <field x="21"/>
  </rowFields>
  <dataFields>
    <dataField name="SUM of TOTAL" fld="22" baseField="0"/>
  </dataFields>
</pivotTableDefinition>
</file>

<file path=xl/pivotTables/pivotTable5.xml><?xml version="1.0" encoding="utf-8"?>
<pivotTableDefinition xmlns="http://schemas.openxmlformats.org/spreadsheetml/2006/main" name="TD 5" cacheId="0" dataCaption="" compact="0" compactData="0">
  <location ref="B49:R59" firstHeaderRow="0" firstDataRow="1" firstDataCol="2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MES" axis="axisCol" compact="0" outline="0" multipleItemSelectionAllowed="1" showAll="0" sortType="ascending">
      <items>
        <item sd="0" x="4"/>
        <item sd="0" x="0"/>
        <item sd="0" x="2"/>
        <item sd="0" x="10"/>
        <item sd="0" x="9"/>
        <item sd="0" x="7"/>
        <item sd="0" x="5"/>
        <item sd="0" x="6"/>
        <item x="1"/>
        <item x="3"/>
        <item x="8"/>
        <item t="default"/>
      </items>
    </pivotField>
    <pivotField name="SEMANA" axis="axisCol" compact="0" outline="0" multipleItemSelectionAllowed="1" showAll="0" sortType="ascending">
      <items>
        <item x="4"/>
        <item x="5"/>
        <item x="7"/>
        <item x="9"/>
        <item x="10"/>
        <item x="21"/>
        <item x="14"/>
        <item x="17"/>
        <item x="13"/>
        <item x="19"/>
        <item x="15"/>
        <item x="16"/>
        <item x="20"/>
        <item x="18"/>
        <item x="12"/>
        <item x="2"/>
        <item x="6"/>
        <item x="8"/>
        <item x="0"/>
        <item x="1"/>
        <item x="3"/>
        <item x="11"/>
        <item t="default"/>
      </items>
    </pivotField>
    <pivotField name="DIA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ECHA_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DUCTO" axis="axisRow" compact="0" outline="0" multipleItemSelectionAllowed="1" showAll="0" sortType="ascending">
      <items>
        <item x="0"/>
        <item x="2"/>
        <item x="6"/>
        <item x="5"/>
        <item x="3"/>
        <item x="4"/>
        <item x="1"/>
        <item t="default"/>
      </items>
    </pivotField>
    <pivotField name="PROD 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FE_ REGIST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NOMBRES Y APELLI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DIST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S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F1" compact="0" outline="0" multipleItemSelectionAllowed="1" showAll="0">
      <items>
        <item x="0"/>
        <item x="1"/>
        <item x="2"/>
        <item x="3"/>
        <item t="default"/>
      </items>
    </pivotField>
    <pivotField name="F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xCOBR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STADO" compact="0" numFmtId="166" outline="0" multipleItemSelectionAllowed="1" showAll="0">
      <items>
        <item x="0"/>
        <item x="1"/>
        <item x="2"/>
        <item t="default"/>
      </items>
    </pivotField>
    <pivotField name="CU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GRE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VENDEDOR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>
    <field x="5"/>
  </rowFields>
  <colFields>
    <field x="1"/>
    <field x="2"/>
  </colFields>
  <dataFields>
    <dataField name="SUM of TOTAL" fld="22" baseField="0"/>
  </dataFields>
</pivotTableDefinition>
</file>

<file path=xl/pivotTables/pivotTable6.xml><?xml version="1.0" encoding="utf-8"?>
<pivotTableDefinition xmlns="http://schemas.openxmlformats.org/spreadsheetml/2006/main" name="TD 6" cacheId="0" dataCaption="" compact="0" compactData="0">
  <location ref="B64:R76" firstHeaderRow="0" firstDataRow="1" firstDataCol="2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MES" axis="axisCol" compact="0" outline="0" multipleItemSelectionAllowed="1" showAll="0" sortType="ascending">
      <items>
        <item sd="0" x="4"/>
        <item sd="0" x="0"/>
        <item sd="0" x="2"/>
        <item sd="0" x="10"/>
        <item sd="0" x="9"/>
        <item sd="0" x="7"/>
        <item sd="0" x="5"/>
        <item sd="0" x="6"/>
        <item x="1"/>
        <item x="3"/>
        <item x="8"/>
        <item t="default"/>
      </items>
    </pivotField>
    <pivotField name="SEMANA" axis="axisCol" compact="0" outline="0" multipleItemSelectionAllowed="1" showAll="0" sortType="ascending">
      <items>
        <item x="4"/>
        <item x="5"/>
        <item x="7"/>
        <item x="9"/>
        <item x="10"/>
        <item x="21"/>
        <item x="14"/>
        <item x="17"/>
        <item x="13"/>
        <item x="19"/>
        <item x="15"/>
        <item x="16"/>
        <item x="20"/>
        <item x="18"/>
        <item x="12"/>
        <item x="2"/>
        <item x="6"/>
        <item x="8"/>
        <item x="0"/>
        <item x="1"/>
        <item x="3"/>
        <item x="11"/>
        <item t="default"/>
      </items>
    </pivotField>
    <pivotField name="DIA" compact="0" numFmtId="166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ECHA_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 FECH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FE_ REGIST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N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NOMBRES Y APELLI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t="default"/>
      </items>
    </pivotField>
    <pivotField name="DIST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WS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F1" compact="0" outline="0" multipleItemSelectionAllowed="1" showAll="0">
      <items>
        <item x="0"/>
        <item x="1"/>
        <item x="2"/>
        <item x="3"/>
        <item t="default"/>
      </items>
    </pivotField>
    <pivotField name="F2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xCOBR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STADO" compact="0" numFmtId="166" outline="0" multipleItemSelectionAllowed="1" showAll="0">
      <items>
        <item x="0"/>
        <item x="1"/>
        <item x="2"/>
        <item t="default"/>
      </items>
    </pivotField>
    <pivotField name="CUEN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GRES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SAL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VENDEDOR" axis="axisRow" compact="0" numFmtId="166" outline="0" multipleItemSelectionAllowed="1" showAll="0" sortType="ascending">
      <items>
        <item x="2"/>
        <item x="8"/>
        <item x="6"/>
        <item x="1"/>
        <item x="7"/>
        <item x="3"/>
        <item x="4"/>
        <item x="5"/>
        <item x="0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>
    <field x="21"/>
  </rowFields>
  <colFields>
    <field x="1"/>
    <field x="2"/>
  </colFields>
  <dataFields>
    <dataField name="SUM of TOTAL" fld="2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rafaelurbi24@gmail.com?bcc=escueladeparrilleros@mail.kommo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rafaelurbi24@gmail.com?bcc=escueladeparrilleros@mail.kommo.com" TargetMode="External"/><Relationship Id="rId2" Type="http://schemas.openxmlformats.org/officeDocument/2006/relationships/hyperlink" Target="mailto:pierre.neyrape@gmail.com?bcc=escueladeparrilleros@mail.kommo.com" TargetMode="External"/><Relationship Id="rId3" Type="http://schemas.openxmlformats.org/officeDocument/2006/relationships/hyperlink" Target="mailto:marietacristina@hotmail.com?bcc=escueladeparrilleros@mail.kommo.com" TargetMode="External"/><Relationship Id="rId4" Type="http://schemas.openxmlformats.org/officeDocument/2006/relationships/hyperlink" Target="mailto:mariafeushi.94@gmail.com?bcc=escueladeparrilleros@mail.kommo.com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mailto:Juan.carlos.achiri@gmail.com?bcc=escueladeparrilleros@mail.kommo.com" TargetMode="External"/><Relationship Id="rId5" Type="http://schemas.openxmlformats.org/officeDocument/2006/relationships/hyperlink" Target="mailto:mariafeushi.94@gmail.com?bcc=escueladeparrilleros@mail.kommo.com" TargetMode="External"/><Relationship Id="rId6" Type="http://schemas.openxmlformats.org/officeDocument/2006/relationships/hyperlink" Target="mailto:liliana.benitoz@gmail.com?bcc=escueladeparrilleros@mail.kommo.com" TargetMode="External"/><Relationship Id="rId7" Type="http://schemas.openxmlformats.org/officeDocument/2006/relationships/hyperlink" Target="mailto:liliana.benitoz@gmail.com?bcc=escueladeparrilleros@mail.kommo.com" TargetMode="External"/><Relationship Id="rId8" Type="http://schemas.openxmlformats.org/officeDocument/2006/relationships/hyperlink" Target="mailto:marianabarrera@yahoo.com?bcc=escueladeparrilleros@mail.kommo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apoa315@hotmail.com?bcc=escueladeparrilleros@mail.kommo.com" TargetMode="External"/><Relationship Id="rId2" Type="http://schemas.openxmlformats.org/officeDocument/2006/relationships/hyperlink" Target="mailto:Carolina.velosa@icloud.com?bcc=escueladeparrilleros@mail.kommo.com" TargetMode="External"/><Relationship Id="rId3" Type="http://schemas.openxmlformats.org/officeDocument/2006/relationships/hyperlink" Target="mailto:Delzofranco@gmail.com?bcc=escueladeparrilleros@mail.kommo.com" TargetMode="External"/><Relationship Id="rId4" Type="http://schemas.openxmlformats.org/officeDocument/2006/relationships/hyperlink" Target="mailto:carlosyufre29@gmail.com?bcc=escueladeparrilleros@mail.kommo.com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mailto:ruthm_hidalgo@hotmail.com?bcc=escueladeparrilleros@mail.kommo.com" TargetMode="External"/><Relationship Id="rId6" Type="http://schemas.openxmlformats.org/officeDocument/2006/relationships/hyperlink" Target="mailto:Pavelpadiaz@gmail.com?bcc=escueladeparrilleros@mail.kommo.com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mailto:juanvt667@gmail.co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jorge.aguinaga@gmail.com?bcc=escueladeparrilleros@mail.kommo.com" TargetMode="External"/><Relationship Id="rId2" Type="http://schemas.openxmlformats.org/officeDocument/2006/relationships/hyperlink" Target="mailto:cesarlarosa_20@yahoo.com.pe?bcc=escueladeparrilleros@mail.kommo.com" TargetMode="External"/><Relationship Id="rId3" Type="http://schemas.openxmlformats.org/officeDocument/2006/relationships/hyperlink" Target="mailto:gian.agesto.tkm@gmail.com?bcc=escueladeparrilleros@mail.kommo.com" TargetMode="External"/><Relationship Id="rId4" Type="http://schemas.openxmlformats.org/officeDocument/2006/relationships/hyperlink" Target="mailto:david.ecos@icloud.com?bcc=escueladeparrilleros@mail.kommo.com" TargetMode="External"/><Relationship Id="rId5" Type="http://schemas.openxmlformats.org/officeDocument/2006/relationships/hyperlink" Target="mailto:aronalito@gmail.com?bcc=escueladeparrilleros@mail.kommo.com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carlosyufre29@gmail.com?bcc=escueladeparrilleros@mail.kommo.com" TargetMode="External"/><Relationship Id="rId2" Type="http://schemas.openxmlformats.org/officeDocument/2006/relationships/hyperlink" Target="mailto:lvillasolis@gmail.com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Alfredorezamatos@gmail.com?bcc=escueladeparrilleros@mail.kommo.com" TargetMode="External"/><Relationship Id="rId2" Type="http://schemas.openxmlformats.org/officeDocument/2006/relationships/hyperlink" Target="mailto:ruthm_hidalgo@hotmail.com?bcc=escueladeparrilleros@mail.kommo.com" TargetMode="External"/><Relationship Id="rId3" Type="http://schemas.openxmlformats.org/officeDocument/2006/relationships/hyperlink" Target="mailto:aosquibe@gmail.com" TargetMode="External"/><Relationship Id="rId4" Type="http://schemas.openxmlformats.org/officeDocument/2006/relationships/hyperlink" Target="mailto:gian.agesto.tkm@gmail.com?bcc=escueladeparrilleros@mail.kommo.com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afelipe.jurado@gmail.com?bcc=escueladeparrilleros@mail.kommo.com" TargetMode="External"/><Relationship Id="rId2" Type="http://schemas.openxmlformats.org/officeDocument/2006/relationships/hyperlink" Target="mailto:gian.agesto.tkm@gmail.com?bcc=escueladeparrilleros@mail.kommo.com" TargetMode="External"/><Relationship Id="rId3" Type="http://schemas.openxmlformats.org/officeDocument/2006/relationships/hyperlink" Target="mailto:dar.val13@hotmail.com?bcc=escueladeparrilleros@mail.kommo.com" TargetMode="External"/><Relationship Id="rId4" Type="http://schemas.openxmlformats.org/officeDocument/2006/relationships/hyperlink" Target="mailto:Luimertaboada@gmail.com?bcc=escueladeparrilleros@mail.kommo.com" TargetMode="External"/><Relationship Id="rId5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andresordeneslo@gmail.com?bcc=escueladeparrilleros@mail.kommo.com" TargetMode="External"/><Relationship Id="rId2" Type="http://schemas.openxmlformats.org/officeDocument/2006/relationships/hyperlink" Target="http://pazm20481gmail.com/" TargetMode="External"/><Relationship Id="rId3" Type="http://schemas.openxmlformats.org/officeDocument/2006/relationships/hyperlink" Target="mailto:Magdaaguilar4@gmail.com?bcc=escueladeparrilleros@mail.kommo.com" TargetMode="External"/><Relationship Id="rId4" Type="http://schemas.openxmlformats.org/officeDocument/2006/relationships/hyperlink" Target="mailto:Escarlen.mrkdigital@gmail.com?bcc=escueladeparrilleros@mail.kommo.com" TargetMode="External"/><Relationship Id="rId5" Type="http://schemas.openxmlformats.org/officeDocument/2006/relationships/hyperlink" Target="mailto:aldair321703@gmail.com?bcc=escueladeparrilleros@mail.kommo.com" TargetMode="External"/><Relationship Id="rId6" Type="http://schemas.openxmlformats.org/officeDocument/2006/relationships/hyperlink" Target="mailto:ventas@espacioalexandra.com?bcc=escueladeparrilleros@mail.kommo.com" TargetMode="External"/><Relationship Id="rId7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andresordeneslo@gmail.com?bcc=escueladeparrilleros@mail.kommo.com" TargetMode="External"/><Relationship Id="rId2" Type="http://schemas.openxmlformats.org/officeDocument/2006/relationships/hyperlink" Target="http://pazm20481gmail.com" TargetMode="External"/><Relationship Id="rId3" Type="http://schemas.openxmlformats.org/officeDocument/2006/relationships/hyperlink" Target="mailto:Magdaaguilar4@gmail.com?bcc=escueladeparrilleros@mail.kommo.com" TargetMode="External"/><Relationship Id="rId4" Type="http://schemas.openxmlformats.org/officeDocument/2006/relationships/hyperlink" Target="mailto:joshua_rexar@hotmail.com?bcc=escueladeparrilleros@mail.kommo.com" TargetMode="External"/><Relationship Id="rId5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mailto:Perezze@hotmail.com?bcc=escueladeparrilleros@mail.kommo.com" TargetMode="External"/><Relationship Id="rId2" Type="http://schemas.openxmlformats.org/officeDocument/2006/relationships/hyperlink" Target="mailto:mijaellima140@gmail.com?bcc=escueladeparrilleros@mail.kommo.com" TargetMode="External"/><Relationship Id="rId3" Type="http://schemas.openxmlformats.org/officeDocument/2006/relationships/hyperlink" Target="mailto:ventas@espacioalexandra.com?bcc=escueladeparrilleros@mail.kommo.com" TargetMode="External"/><Relationship Id="rId4" Type="http://schemas.openxmlformats.org/officeDocument/2006/relationships/hyperlink" Target="mailto:Escarlen.mrkdigital@gmail.com?bcc=escueladeparrilleros@mail.kommo.com" TargetMode="External"/><Relationship Id="rId5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25"/>
    <col customWidth="1" min="2" max="2" width="7.0"/>
    <col customWidth="1" min="3" max="3" width="9.5"/>
    <col customWidth="1" min="4" max="4" width="8.25"/>
    <col customWidth="1" min="5" max="5" width="9.88"/>
    <col customWidth="1" min="7" max="7" width="21.88"/>
    <col customWidth="1" min="8" max="8" width="16.75"/>
    <col customWidth="1" min="9" max="9" width="14.88"/>
    <col customWidth="1" min="11" max="11" width="29.0"/>
    <col customWidth="1" min="12" max="12" width="24.63"/>
  </cols>
  <sheetData>
    <row r="1">
      <c r="A1" s="1"/>
      <c r="B1" s="2"/>
      <c r="C1" s="2"/>
      <c r="D1" s="2"/>
      <c r="E1" s="2"/>
      <c r="F1" s="2"/>
      <c r="G1" s="2"/>
      <c r="H1" s="3"/>
      <c r="I1" s="2"/>
      <c r="J1" s="2"/>
      <c r="K1" s="4"/>
      <c r="L1" s="4"/>
      <c r="M1" s="2"/>
      <c r="N1" s="2"/>
      <c r="O1" s="2"/>
      <c r="P1" s="2"/>
      <c r="Q1" s="5"/>
      <c r="R1" s="5"/>
      <c r="S1" s="2"/>
      <c r="T1" s="2"/>
      <c r="U1" s="5"/>
      <c r="V1" s="5"/>
      <c r="W1" s="2"/>
      <c r="X1" s="5"/>
      <c r="Y1" s="1"/>
      <c r="Z1" s="1"/>
      <c r="AA1" s="1"/>
    </row>
    <row r="2">
      <c r="A2" s="1"/>
      <c r="B2" s="2"/>
      <c r="C2" s="2"/>
      <c r="D2" s="2"/>
      <c r="E2" s="2"/>
      <c r="F2" s="2"/>
      <c r="G2" s="2"/>
      <c r="H2" s="3"/>
      <c r="I2" s="2"/>
      <c r="J2" s="2"/>
      <c r="K2" s="4"/>
      <c r="L2" s="4"/>
      <c r="M2" s="2"/>
      <c r="N2" s="2"/>
      <c r="O2" s="2"/>
      <c r="P2" s="2"/>
      <c r="Q2" s="5"/>
      <c r="R2" s="5"/>
      <c r="S2" s="2"/>
      <c r="T2" s="2"/>
      <c r="U2" s="5"/>
      <c r="V2" s="5"/>
      <c r="W2" s="2"/>
      <c r="X2" s="5"/>
      <c r="Y2" s="1"/>
      <c r="Z2" s="1"/>
      <c r="AA2" s="1"/>
    </row>
    <row r="3">
      <c r="A3" s="1"/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7" t="s">
        <v>9</v>
      </c>
      <c r="L3" s="8" t="s">
        <v>10</v>
      </c>
      <c r="M3" s="9" t="s">
        <v>11</v>
      </c>
      <c r="N3" s="9" t="s">
        <v>12</v>
      </c>
      <c r="O3" s="10" t="s">
        <v>13</v>
      </c>
      <c r="P3" s="10" t="s">
        <v>14</v>
      </c>
      <c r="Q3" s="11" t="s">
        <v>15</v>
      </c>
      <c r="R3" s="11" t="s">
        <v>16</v>
      </c>
      <c r="S3" s="10" t="s">
        <v>17</v>
      </c>
      <c r="T3" s="10" t="s">
        <v>18</v>
      </c>
      <c r="U3" s="12" t="s">
        <v>19</v>
      </c>
      <c r="V3" s="12" t="s">
        <v>20</v>
      </c>
      <c r="W3" s="13" t="s">
        <v>21</v>
      </c>
      <c r="X3" s="12" t="s">
        <v>22</v>
      </c>
      <c r="Y3" s="1"/>
      <c r="Z3" s="1"/>
      <c r="AA3" s="1"/>
    </row>
    <row r="4">
      <c r="A4" s="1"/>
      <c r="B4" s="14">
        <v>1.0</v>
      </c>
      <c r="C4" s="15" t="str">
        <f t="shared" ref="C4:C989" si="1">TEXT(I4,"Mmmm")</f>
        <v>diciembre</v>
      </c>
      <c r="D4" s="15">
        <f t="shared" ref="D4:D989" si="2">WEEKNUM(I4)</f>
        <v>51</v>
      </c>
      <c r="E4" s="16" t="str">
        <f t="shared" ref="E4:E989" si="3">TEXT(I4,"DDDD")</f>
        <v>miércoles</v>
      </c>
      <c r="F4" s="15">
        <f t="shared" ref="F4:F989" si="4">DAY(I4)</f>
        <v>17</v>
      </c>
      <c r="G4" s="15" t="s">
        <v>23</v>
      </c>
      <c r="H4" s="3">
        <f>'AFI-F1'!$G$3</f>
        <v>45661</v>
      </c>
      <c r="I4" s="17">
        <f>'AFI-F1'!B5</f>
        <v>46008</v>
      </c>
      <c r="J4" s="18">
        <f>'AFI-F1'!C5</f>
        <v>72041694</v>
      </c>
      <c r="K4" s="19" t="str">
        <f>'AFI-F1'!D5</f>
        <v>Sebastian Castillo</v>
      </c>
      <c r="L4" s="19" t="str">
        <f>'AFI-F1'!E5</f>
        <v>sebastiancm@outlook.com</v>
      </c>
      <c r="M4" s="18" t="str">
        <f>'AFI-F1'!F5</f>
        <v>BARRANCO</v>
      </c>
      <c r="N4" s="18" t="str">
        <f>'AFI-F1'!G5</f>
        <v>998 690 869</v>
      </c>
      <c r="O4" s="18" t="str">
        <f>'AFI-F1'!H5</f>
        <v>X</v>
      </c>
      <c r="P4" s="18" t="str">
        <f>'AFI-F1'!I5</f>
        <v/>
      </c>
      <c r="Q4" s="20">
        <f>'AFI-F1'!J5</f>
        <v>250</v>
      </c>
      <c r="R4" s="20" t="str">
        <f>'AFI-F1'!K5</f>
        <v/>
      </c>
      <c r="S4" s="18" t="str">
        <f>'AFI-F1'!L5</f>
        <v>PAGO</v>
      </c>
      <c r="T4" s="18" t="str">
        <f>'AFI-F1'!M5</f>
        <v>YAPE JL</v>
      </c>
      <c r="U4" s="20">
        <f>'AFI-F1'!N5</f>
        <v>250</v>
      </c>
      <c r="V4" s="20" t="str">
        <f>'AFI-F1'!O5</f>
        <v/>
      </c>
      <c r="W4" s="18" t="str">
        <f>'AFI-F1'!P5</f>
        <v>Yadhira</v>
      </c>
      <c r="X4" s="20">
        <f>'AFI-F1'!Q5</f>
        <v>250</v>
      </c>
      <c r="Y4" s="1"/>
      <c r="Z4" s="1"/>
      <c r="AA4" s="1"/>
    </row>
    <row r="5">
      <c r="A5" s="1"/>
      <c r="B5" s="14">
        <f t="shared" ref="B5:B71" si="5">B4+1</f>
        <v>2</v>
      </c>
      <c r="C5" s="15" t="str">
        <f t="shared" si="1"/>
        <v>diciembre</v>
      </c>
      <c r="D5" s="15">
        <f t="shared" si="2"/>
        <v>51</v>
      </c>
      <c r="E5" s="16" t="str">
        <f t="shared" si="3"/>
        <v>sábado</v>
      </c>
      <c r="F5" s="15">
        <f t="shared" si="4"/>
        <v>20</v>
      </c>
      <c r="G5" s="15" t="s">
        <v>23</v>
      </c>
      <c r="H5" s="3">
        <f>'AFI-F1'!$G$3</f>
        <v>45661</v>
      </c>
      <c r="I5" s="17">
        <f>'AFI-F1'!B6</f>
        <v>46011</v>
      </c>
      <c r="J5" s="18">
        <f>'AFI-F1'!C6</f>
        <v>75931158</v>
      </c>
      <c r="K5" s="19" t="str">
        <f>'AFI-F1'!D6</f>
        <v>Daniel Rojas Salas</v>
      </c>
      <c r="L5" s="19" t="str">
        <f>'AFI-F1'!E6</f>
        <v>juanchadrs@gmail.com</v>
      </c>
      <c r="M5" s="18" t="str">
        <f>'AFI-F1'!F6</f>
        <v>la victoria</v>
      </c>
      <c r="N5" s="18" t="str">
        <f>'AFI-F1'!G6</f>
        <v/>
      </c>
      <c r="O5" s="18" t="str">
        <f>'AFI-F1'!H6</f>
        <v>X</v>
      </c>
      <c r="P5" s="18" t="str">
        <f>'AFI-F1'!I6</f>
        <v/>
      </c>
      <c r="Q5" s="20">
        <f>'AFI-F1'!J6</f>
        <v>190</v>
      </c>
      <c r="R5" s="20" t="str">
        <f>'AFI-F1'!K6</f>
        <v/>
      </c>
      <c r="S5" s="18" t="str">
        <f>'AFI-F1'!L6</f>
        <v>PAGO</v>
      </c>
      <c r="T5" s="18" t="str">
        <f>'AFI-F1'!M6</f>
        <v>YAPE JL</v>
      </c>
      <c r="U5" s="20">
        <f>'AFI-F1'!N6</f>
        <v>190</v>
      </c>
      <c r="V5" s="20" t="str">
        <f>'AFI-F1'!O6</f>
        <v/>
      </c>
      <c r="W5" s="18" t="str">
        <f>'AFI-F1'!P6</f>
        <v>Greici</v>
      </c>
      <c r="X5" s="20">
        <f>'AFI-F1'!Q6</f>
        <v>190</v>
      </c>
      <c r="Y5" s="1"/>
      <c r="Z5" s="1"/>
      <c r="AA5" s="1"/>
    </row>
    <row r="6">
      <c r="A6" s="1"/>
      <c r="B6" s="14">
        <f t="shared" si="5"/>
        <v>3</v>
      </c>
      <c r="C6" s="15" t="str">
        <f t="shared" si="1"/>
        <v>diciembre</v>
      </c>
      <c r="D6" s="15">
        <f t="shared" si="2"/>
        <v>51</v>
      </c>
      <c r="E6" s="16" t="str">
        <f t="shared" si="3"/>
        <v>sábado</v>
      </c>
      <c r="F6" s="15">
        <f t="shared" si="4"/>
        <v>20</v>
      </c>
      <c r="G6" s="15" t="s">
        <v>23</v>
      </c>
      <c r="H6" s="3">
        <f>'AFI-F1'!$G$3</f>
        <v>45661</v>
      </c>
      <c r="I6" s="17">
        <f>'AFI-F1'!B7</f>
        <v>46011</v>
      </c>
      <c r="J6" s="18">
        <f>'AFI-F1'!C7</f>
        <v>25631173</v>
      </c>
      <c r="K6" s="19" t="str">
        <f>'AFI-F1'!D7</f>
        <v>Miriam Salas Guevara</v>
      </c>
      <c r="L6" s="19" t="str">
        <f>'AFI-F1'!E7</f>
        <v>elysalas2004@hotmail.com</v>
      </c>
      <c r="M6" s="18" t="str">
        <f>'AFI-F1'!F7</f>
        <v>villa el salvador</v>
      </c>
      <c r="N6" s="18" t="str">
        <f>'AFI-F1'!G7</f>
        <v/>
      </c>
      <c r="O6" s="18" t="str">
        <f>'AFI-F1'!H7</f>
        <v>X</v>
      </c>
      <c r="P6" s="18" t="str">
        <f>'AFI-F1'!I7</f>
        <v/>
      </c>
      <c r="Q6" s="20">
        <f>'AFI-F1'!J7</f>
        <v>190</v>
      </c>
      <c r="R6" s="20" t="str">
        <f>'AFI-F1'!K7</f>
        <v/>
      </c>
      <c r="S6" s="18" t="str">
        <f>'AFI-F1'!L7</f>
        <v>PAGO</v>
      </c>
      <c r="T6" s="18" t="str">
        <f>'AFI-F1'!M7</f>
        <v>YAPE JL</v>
      </c>
      <c r="U6" s="20">
        <f>'AFI-F1'!N7</f>
        <v>190</v>
      </c>
      <c r="V6" s="20" t="str">
        <f>'AFI-F1'!O7</f>
        <v/>
      </c>
      <c r="W6" s="18" t="str">
        <f>'AFI-F1'!P7</f>
        <v>Greici</v>
      </c>
      <c r="X6" s="20">
        <f>'AFI-F1'!Q7</f>
        <v>190</v>
      </c>
      <c r="Y6" s="1"/>
      <c r="Z6" s="1"/>
      <c r="AA6" s="1"/>
    </row>
    <row r="7">
      <c r="A7" s="1"/>
      <c r="B7" s="14">
        <f t="shared" si="5"/>
        <v>4</v>
      </c>
      <c r="C7" s="15" t="str">
        <f t="shared" si="1"/>
        <v>diciembre</v>
      </c>
      <c r="D7" s="15">
        <f t="shared" si="2"/>
        <v>52</v>
      </c>
      <c r="E7" s="16" t="str">
        <f t="shared" si="3"/>
        <v>sábado</v>
      </c>
      <c r="F7" s="15">
        <f t="shared" si="4"/>
        <v>30</v>
      </c>
      <c r="G7" s="15" t="s">
        <v>23</v>
      </c>
      <c r="H7" s="3">
        <f>'AFI-F1'!$G$3</f>
        <v>45661</v>
      </c>
      <c r="I7" s="17" t="str">
        <f>'AFI-F1'!B8</f>
        <v/>
      </c>
      <c r="J7" s="18" t="str">
        <f>'AFI-F1'!C8</f>
        <v/>
      </c>
      <c r="K7" s="19" t="str">
        <f>'AFI-F1'!E8</f>
        <v/>
      </c>
      <c r="L7" s="19" t="str">
        <f>'AFI-F1'!E8</f>
        <v/>
      </c>
      <c r="M7" s="18" t="str">
        <f>'AFI-F1'!F8</f>
        <v/>
      </c>
      <c r="N7" s="18" t="str">
        <f>'AFI-F1'!G8</f>
        <v/>
      </c>
      <c r="O7" s="18" t="str">
        <f>'AFI-F1'!H8</f>
        <v/>
      </c>
      <c r="P7" s="18" t="str">
        <f>'AFI-F1'!I8</f>
        <v/>
      </c>
      <c r="Q7" s="20" t="str">
        <f>'AFI-F1'!J8</f>
        <v/>
      </c>
      <c r="R7" s="20" t="str">
        <f>'AFI-F1'!K8</f>
        <v/>
      </c>
      <c r="S7" s="18" t="str">
        <f>'AFI-F1'!L8</f>
        <v/>
      </c>
      <c r="T7" s="18" t="str">
        <f>'AFI-F1'!M8</f>
        <v/>
      </c>
      <c r="U7" s="20" t="str">
        <f>'AFI-F1'!N8</f>
        <v/>
      </c>
      <c r="V7" s="20" t="str">
        <f>'AFI-F1'!O8</f>
        <v/>
      </c>
      <c r="W7" s="18" t="str">
        <f>'AFI-F1'!P8</f>
        <v/>
      </c>
      <c r="X7" s="20">
        <f>'AFI-F1'!Q8</f>
        <v>0</v>
      </c>
      <c r="Y7" s="1"/>
      <c r="Z7" s="1"/>
      <c r="AA7" s="1"/>
    </row>
    <row r="8">
      <c r="A8" s="1"/>
      <c r="B8" s="14">
        <f t="shared" si="5"/>
        <v>5</v>
      </c>
      <c r="C8" s="15" t="str">
        <f t="shared" si="1"/>
        <v>noviembre</v>
      </c>
      <c r="D8" s="15">
        <f t="shared" si="2"/>
        <v>46</v>
      </c>
      <c r="E8" s="16" t="str">
        <f t="shared" si="3"/>
        <v>domingo</v>
      </c>
      <c r="F8" s="15">
        <f t="shared" si="4"/>
        <v>9</v>
      </c>
      <c r="G8" s="15" t="s">
        <v>23</v>
      </c>
      <c r="H8" s="3">
        <f>'AFI-F1'!$G$3</f>
        <v>45661</v>
      </c>
      <c r="I8" s="17">
        <f>'AFI-F1'!B9</f>
        <v>45970</v>
      </c>
      <c r="J8" s="18">
        <f>'AFI-F1'!C9</f>
        <v>75728889</v>
      </c>
      <c r="K8" s="19" t="str">
        <f>'AFI-F1'!D9</f>
        <v>Juan Carlos Vidal Molina</v>
      </c>
      <c r="L8" s="19" t="str">
        <f>'AFI-F1'!E9</f>
        <v>hellenleon7@gmail.com</v>
      </c>
      <c r="M8" s="18" t="str">
        <f>'AFI-F1'!F9</f>
        <v>CHACLACAYO</v>
      </c>
      <c r="N8" s="18" t="str">
        <f>'AFI-F1'!G9</f>
        <v>989 356 823</v>
      </c>
      <c r="O8" s="18" t="str">
        <f>'AFI-F1'!H9</f>
        <v>X</v>
      </c>
      <c r="P8" s="18" t="str">
        <f>'AFI-F1'!I9</f>
        <v/>
      </c>
      <c r="Q8" s="20">
        <f>'AFI-F1'!J9</f>
        <v>110</v>
      </c>
      <c r="R8" s="20">
        <f>'AFI-F1'!K9</f>
        <v>110</v>
      </c>
      <c r="S8" s="18" t="str">
        <f>'AFI-F1'!L9</f>
        <v>COBR</v>
      </c>
      <c r="T8" s="18" t="str">
        <f>'AFI-F1'!M9</f>
        <v>YAPE JL</v>
      </c>
      <c r="U8" s="20">
        <f>'AFI-F1'!N9</f>
        <v>110</v>
      </c>
      <c r="V8" s="20">
        <f>'AFI-F1'!O9</f>
        <v>110</v>
      </c>
      <c r="W8" s="18" t="str">
        <f>'AFI-F1'!P9</f>
        <v>Yadhira</v>
      </c>
      <c r="X8" s="20">
        <f>'AFI-F1'!Q9</f>
        <v>220</v>
      </c>
      <c r="Y8" s="1"/>
      <c r="Z8" s="1"/>
      <c r="AA8" s="1"/>
    </row>
    <row r="9">
      <c r="A9" s="1"/>
      <c r="B9" s="14">
        <f t="shared" si="5"/>
        <v>6</v>
      </c>
      <c r="C9" s="15" t="str">
        <f t="shared" si="1"/>
        <v>diciembre</v>
      </c>
      <c r="D9" s="15">
        <f t="shared" si="2"/>
        <v>52</v>
      </c>
      <c r="E9" s="16" t="str">
        <f t="shared" si="3"/>
        <v>viernes</v>
      </c>
      <c r="F9" s="15">
        <f t="shared" si="4"/>
        <v>26</v>
      </c>
      <c r="G9" s="15" t="s">
        <v>23</v>
      </c>
      <c r="H9" s="3">
        <f>'AFI-F1'!$G$3</f>
        <v>45661</v>
      </c>
      <c r="I9" s="17">
        <f>'AFI-F1'!B10</f>
        <v>46017</v>
      </c>
      <c r="J9" s="18">
        <f>'AFI-F1'!C10</f>
        <v>44000113</v>
      </c>
      <c r="K9" s="19" t="str">
        <f>'AFI-F1'!D10</f>
        <v>CESAR KENNY YACARINI PEREYRA</v>
      </c>
      <c r="L9" s="19" t="str">
        <f>'AFI-F1'!E10</f>
        <v>ckyacariniman2@gmail.com </v>
      </c>
      <c r="M9" s="18" t="str">
        <f>'AFI-F1'!F10</f>
        <v>SJL</v>
      </c>
      <c r="N9" s="18" t="str">
        <f>'AFI-F1'!G10</f>
        <v>947 169 905</v>
      </c>
      <c r="O9" s="18" t="str">
        <f>'AFI-F1'!H10</f>
        <v>X</v>
      </c>
      <c r="P9" s="18" t="str">
        <f>'AFI-F1'!I10</f>
        <v/>
      </c>
      <c r="Q9" s="20">
        <f>'AFI-F1'!J10</f>
        <v>95</v>
      </c>
      <c r="R9" s="20">
        <f>'AFI-F1'!K10</f>
        <v>95</v>
      </c>
      <c r="S9" s="18" t="str">
        <f>'AFI-F1'!L10</f>
        <v>COBR</v>
      </c>
      <c r="T9" s="18" t="str">
        <f>'AFI-F1'!M10</f>
        <v>PLIN JL</v>
      </c>
      <c r="U9" s="20">
        <f>'AFI-F1'!N10</f>
        <v>95</v>
      </c>
      <c r="V9" s="20">
        <f>'AFI-F1'!O10</f>
        <v>95</v>
      </c>
      <c r="W9" s="18" t="str">
        <f>'AFI-F1'!P10</f>
        <v>Greici</v>
      </c>
      <c r="X9" s="20">
        <f>'AFI-F1'!Q10</f>
        <v>190</v>
      </c>
      <c r="Y9" s="1"/>
      <c r="Z9" s="1"/>
      <c r="AA9" s="1"/>
    </row>
    <row r="10">
      <c r="A10" s="1"/>
      <c r="B10" s="14">
        <f t="shared" si="5"/>
        <v>7</v>
      </c>
      <c r="C10" s="15" t="str">
        <f t="shared" si="1"/>
        <v>diciembre</v>
      </c>
      <c r="D10" s="15">
        <f t="shared" si="2"/>
        <v>52</v>
      </c>
      <c r="E10" s="16" t="str">
        <f t="shared" si="3"/>
        <v>viernes</v>
      </c>
      <c r="F10" s="15">
        <f t="shared" si="4"/>
        <v>26</v>
      </c>
      <c r="G10" s="15" t="s">
        <v>23</v>
      </c>
      <c r="H10" s="3">
        <f>'AFI-F1'!$G$3</f>
        <v>45661</v>
      </c>
      <c r="I10" s="17">
        <f>'AFI-F1'!B11</f>
        <v>46017</v>
      </c>
      <c r="J10" s="18">
        <f>'AFI-F1'!C11</f>
        <v>43619681</v>
      </c>
      <c r="K10" s="19" t="str">
        <f>'AFI-F1'!D11</f>
        <v>Ronald elvis quispe gil</v>
      </c>
      <c r="L10" s="19" t="str">
        <f>'AFI-F1'!E11</f>
        <v>Reqg_672@hotmail.com</v>
      </c>
      <c r="M10" s="18" t="str">
        <f>'AFI-F1'!F11</f>
        <v>SJL</v>
      </c>
      <c r="N10" s="18" t="str">
        <f>'AFI-F1'!G11</f>
        <v/>
      </c>
      <c r="O10" s="18" t="str">
        <f>'AFI-F1'!H11</f>
        <v>X</v>
      </c>
      <c r="P10" s="18" t="str">
        <f>'AFI-F1'!I11</f>
        <v/>
      </c>
      <c r="Q10" s="20">
        <f>'AFI-F1'!J11</f>
        <v>95</v>
      </c>
      <c r="R10" s="20">
        <f>'AFI-F1'!K11</f>
        <v>95</v>
      </c>
      <c r="S10" s="18" t="str">
        <f>'AFI-F1'!L11</f>
        <v>COBR</v>
      </c>
      <c r="T10" s="18" t="str">
        <f>'AFI-F1'!M11</f>
        <v>PLIN JL</v>
      </c>
      <c r="U10" s="20">
        <f>'AFI-F1'!N11</f>
        <v>95</v>
      </c>
      <c r="V10" s="20">
        <f>'AFI-F1'!O11</f>
        <v>95</v>
      </c>
      <c r="W10" s="18" t="str">
        <f>'AFI-F1'!P11</f>
        <v>Greici</v>
      </c>
      <c r="X10" s="20">
        <f>'AFI-F1'!Q11</f>
        <v>190</v>
      </c>
      <c r="Y10" s="1"/>
      <c r="Z10" s="1"/>
      <c r="AA10" s="1"/>
    </row>
    <row r="11">
      <c r="A11" s="1"/>
      <c r="B11" s="14">
        <f t="shared" si="5"/>
        <v>8</v>
      </c>
      <c r="C11" s="15" t="str">
        <f t="shared" si="1"/>
        <v>diciembre</v>
      </c>
      <c r="D11" s="15">
        <f t="shared" si="2"/>
        <v>52</v>
      </c>
      <c r="E11" s="16" t="str">
        <f t="shared" si="3"/>
        <v>viernes</v>
      </c>
      <c r="F11" s="15">
        <f t="shared" si="4"/>
        <v>26</v>
      </c>
      <c r="G11" s="15" t="s">
        <v>23</v>
      </c>
      <c r="H11" s="3">
        <f>'AFI-F1'!$G$3</f>
        <v>45661</v>
      </c>
      <c r="I11" s="17">
        <f>'AFI-F1'!B12</f>
        <v>46017</v>
      </c>
      <c r="J11" s="18">
        <f>'AFI-F1'!C12</f>
        <v>43943113</v>
      </c>
      <c r="K11" s="19" t="str">
        <f>'AFI-F1'!D12</f>
        <v>Flor de maria Guevara</v>
      </c>
      <c r="L11" s="19" t="str">
        <f>'AFI-F1'!E12</f>
        <v>Gerencia@imelin.com.pe</v>
      </c>
      <c r="M11" s="18" t="str">
        <f>'AFI-F1'!F12</f>
        <v>SJL</v>
      </c>
      <c r="N11" s="18" t="str">
        <f>'AFI-F1'!G12</f>
        <v/>
      </c>
      <c r="O11" s="18" t="str">
        <f>'AFI-F1'!H12</f>
        <v>X</v>
      </c>
      <c r="P11" s="18" t="str">
        <f>'AFI-F1'!I12</f>
        <v/>
      </c>
      <c r="Q11" s="20">
        <f>'AFI-F1'!J12</f>
        <v>95</v>
      </c>
      <c r="R11" s="20">
        <f>'AFI-F1'!K12</f>
        <v>95</v>
      </c>
      <c r="S11" s="18" t="str">
        <f>'AFI-F1'!L12</f>
        <v>COBR</v>
      </c>
      <c r="T11" s="18" t="str">
        <f>'AFI-F1'!M12</f>
        <v>PLIN JL</v>
      </c>
      <c r="U11" s="20">
        <f>'AFI-F1'!N12</f>
        <v>95</v>
      </c>
      <c r="V11" s="20">
        <f>'AFI-F1'!O12</f>
        <v>95</v>
      </c>
      <c r="W11" s="18" t="str">
        <f>'AFI-F1'!P12</f>
        <v>Greici</v>
      </c>
      <c r="X11" s="20">
        <f>'AFI-F1'!Q12</f>
        <v>190</v>
      </c>
      <c r="Y11" s="1"/>
      <c r="Z11" s="1"/>
      <c r="AA11" s="1"/>
    </row>
    <row r="12">
      <c r="A12" s="1"/>
      <c r="B12" s="14">
        <f t="shared" si="5"/>
        <v>9</v>
      </c>
      <c r="C12" s="15" t="str">
        <f t="shared" si="1"/>
        <v>diciembre</v>
      </c>
      <c r="D12" s="15">
        <f t="shared" si="2"/>
        <v>53</v>
      </c>
      <c r="E12" s="16" t="str">
        <f t="shared" si="3"/>
        <v>lunes</v>
      </c>
      <c r="F12" s="15">
        <f t="shared" si="4"/>
        <v>29</v>
      </c>
      <c r="G12" s="15" t="s">
        <v>23</v>
      </c>
      <c r="H12" s="3">
        <f>'AFI-F1'!$G$3</f>
        <v>45661</v>
      </c>
      <c r="I12" s="17">
        <f>'AFI-F1'!B13</f>
        <v>46020</v>
      </c>
      <c r="J12" s="18" t="str">
        <f>'AFI-F1'!C13</f>
        <v/>
      </c>
      <c r="K12" s="19" t="str">
        <f>'AFI-F1'!D13</f>
        <v>Franco Nieto Ponce</v>
      </c>
      <c r="L12" s="19" t="str">
        <f>'AFI-F1'!E13</f>
        <v/>
      </c>
      <c r="M12" s="18" t="str">
        <f>'AFI-F1'!F13</f>
        <v/>
      </c>
      <c r="N12" s="18" t="str">
        <f>'AFI-F1'!G13</f>
        <v/>
      </c>
      <c r="O12" s="18" t="str">
        <f>'AFI-F1'!H13</f>
        <v>x</v>
      </c>
      <c r="P12" s="18" t="str">
        <f>'AFI-F1'!I13</f>
        <v/>
      </c>
      <c r="Q12" s="20">
        <f>'AFI-F1'!J13</f>
        <v>190</v>
      </c>
      <c r="R12" s="20" t="str">
        <f>'AFI-F1'!K13</f>
        <v/>
      </c>
      <c r="S12" s="18" t="str">
        <f>'AFI-F1'!L13</f>
        <v>PAGO</v>
      </c>
      <c r="T12" s="18" t="str">
        <f>'AFI-F1'!M13</f>
        <v>PLIN JL</v>
      </c>
      <c r="U12" s="20">
        <f>'AFI-F1'!N13</f>
        <v>190</v>
      </c>
      <c r="V12" s="20" t="str">
        <f>'AFI-F1'!O13</f>
        <v/>
      </c>
      <c r="W12" s="18" t="str">
        <f>'AFI-F1'!P13</f>
        <v>Katherine</v>
      </c>
      <c r="X12" s="20">
        <f>'AFI-F1'!Q13</f>
        <v>190</v>
      </c>
      <c r="Y12" s="1"/>
      <c r="Z12" s="1"/>
      <c r="AA12" s="1"/>
    </row>
    <row r="13">
      <c r="A13" s="1"/>
      <c r="B13" s="14">
        <f t="shared" si="5"/>
        <v>10</v>
      </c>
      <c r="C13" s="15" t="str">
        <f t="shared" si="1"/>
        <v>diciembre</v>
      </c>
      <c r="D13" s="15">
        <f t="shared" si="2"/>
        <v>53</v>
      </c>
      <c r="E13" s="16" t="str">
        <f t="shared" si="3"/>
        <v>lunes</v>
      </c>
      <c r="F13" s="15">
        <f t="shared" si="4"/>
        <v>29</v>
      </c>
      <c r="G13" s="15" t="s">
        <v>23</v>
      </c>
      <c r="H13" s="3">
        <f>'AFI-F1'!$G$3</f>
        <v>45661</v>
      </c>
      <c r="I13" s="17">
        <f>'AFI-F1'!B14</f>
        <v>46020</v>
      </c>
      <c r="J13" s="18" t="str">
        <f>'AFI-F1'!C14</f>
        <v/>
      </c>
      <c r="K13" s="19" t="str">
        <f>'AFI-F1'!D14</f>
        <v>Luis Enrique Nieto Arauco</v>
      </c>
      <c r="L13" s="19" t="str">
        <f>'AFI-F1'!E14</f>
        <v/>
      </c>
      <c r="M13" s="18" t="str">
        <f>'AFI-F1'!F14</f>
        <v/>
      </c>
      <c r="N13" s="18" t="str">
        <f>'AFI-F1'!G14</f>
        <v/>
      </c>
      <c r="O13" s="18" t="str">
        <f>'AFI-F1'!H14</f>
        <v>x</v>
      </c>
      <c r="P13" s="18" t="str">
        <f>'AFI-F1'!I14</f>
        <v/>
      </c>
      <c r="Q13" s="20">
        <f>'AFI-F1'!J14</f>
        <v>190</v>
      </c>
      <c r="R13" s="20" t="str">
        <f>'AFI-F1'!K14</f>
        <v/>
      </c>
      <c r="S13" s="18" t="str">
        <f>'AFI-F1'!L14</f>
        <v>PAGO</v>
      </c>
      <c r="T13" s="18" t="str">
        <f>'AFI-F1'!M14</f>
        <v>PLIN JL</v>
      </c>
      <c r="U13" s="20">
        <f>'AFI-F1'!N14</f>
        <v>190</v>
      </c>
      <c r="V13" s="20" t="str">
        <f>'AFI-F1'!O14</f>
        <v/>
      </c>
      <c r="W13" s="18" t="str">
        <f>'AFI-F1'!P14</f>
        <v>Katherine</v>
      </c>
      <c r="X13" s="20">
        <f>'AFI-F1'!Q14</f>
        <v>190</v>
      </c>
      <c r="Y13" s="1"/>
      <c r="Z13" s="1"/>
      <c r="AA13" s="1"/>
    </row>
    <row r="14">
      <c r="A14" s="1"/>
      <c r="B14" s="14">
        <f t="shared" si="5"/>
        <v>11</v>
      </c>
      <c r="C14" s="15" t="str">
        <f t="shared" si="1"/>
        <v>diciembre</v>
      </c>
      <c r="D14" s="15">
        <f t="shared" si="2"/>
        <v>53</v>
      </c>
      <c r="E14" s="16" t="str">
        <f t="shared" si="3"/>
        <v>lunes</v>
      </c>
      <c r="F14" s="15">
        <f t="shared" si="4"/>
        <v>29</v>
      </c>
      <c r="G14" s="15" t="s">
        <v>23</v>
      </c>
      <c r="H14" s="3">
        <f>'AFI-F1'!$G$3</f>
        <v>45661</v>
      </c>
      <c r="I14" s="17">
        <f>'AFI-F1'!B15</f>
        <v>46020</v>
      </c>
      <c r="J14" s="18" t="str">
        <f>'AFI-F1'!C15</f>
        <v/>
      </c>
      <c r="K14" s="19" t="str">
        <f>'AFI-F1'!D15</f>
        <v>Gladys Montes</v>
      </c>
      <c r="L14" s="19" t="str">
        <f>'AFI-F1'!E15</f>
        <v/>
      </c>
      <c r="M14" s="18" t="str">
        <f>'AFI-F1'!F15</f>
        <v>SJL</v>
      </c>
      <c r="N14" s="18" t="str">
        <f>'AFI-F1'!G15</f>
        <v/>
      </c>
      <c r="O14" s="18" t="str">
        <f>'AFI-F1'!H15</f>
        <v>x</v>
      </c>
      <c r="P14" s="18" t="str">
        <f>'AFI-F1'!I15</f>
        <v/>
      </c>
      <c r="Q14" s="20">
        <f>'AFI-F1'!J15</f>
        <v>50</v>
      </c>
      <c r="R14" s="20">
        <f>'AFI-F1'!K15</f>
        <v>125</v>
      </c>
      <c r="S14" s="18" t="str">
        <f>'AFI-F1'!L15</f>
        <v>COBR</v>
      </c>
      <c r="T14" s="18" t="str">
        <f>'AFI-F1'!M15</f>
        <v>PLIN JL</v>
      </c>
      <c r="U14" s="20">
        <f>'AFI-F1'!N15</f>
        <v>50</v>
      </c>
      <c r="V14" s="20">
        <f>'AFI-F1'!O15</f>
        <v>125</v>
      </c>
      <c r="W14" s="18" t="str">
        <f>'AFI-F1'!P15</f>
        <v>Katherine</v>
      </c>
      <c r="X14" s="20">
        <f>'AFI-F1'!Q15</f>
        <v>175</v>
      </c>
      <c r="Y14" s="1"/>
      <c r="Z14" s="1"/>
      <c r="AA14" s="1"/>
    </row>
    <row r="15">
      <c r="A15" s="1"/>
      <c r="B15" s="14">
        <f t="shared" si="5"/>
        <v>12</v>
      </c>
      <c r="C15" s="15" t="str">
        <f t="shared" si="1"/>
        <v>diciembre</v>
      </c>
      <c r="D15" s="15">
        <f t="shared" si="2"/>
        <v>53</v>
      </c>
      <c r="E15" s="16" t="str">
        <f t="shared" si="3"/>
        <v>lunes</v>
      </c>
      <c r="F15" s="15">
        <f t="shared" si="4"/>
        <v>29</v>
      </c>
      <c r="G15" s="15" t="s">
        <v>23</v>
      </c>
      <c r="H15" s="3">
        <f>'AFI-F1'!$G$3</f>
        <v>45661</v>
      </c>
      <c r="I15" s="17">
        <f>'AFI-F1'!B16</f>
        <v>46020</v>
      </c>
      <c r="J15" s="18" t="str">
        <f>'AFI-F1'!C16</f>
        <v/>
      </c>
      <c r="K15" s="19" t="str">
        <f>'AFI-F1'!D16</f>
        <v>Fernando Alfredo Auqui Cerron</v>
      </c>
      <c r="L15" s="19" t="str">
        <f>'AFI-F1'!E16</f>
        <v/>
      </c>
      <c r="M15" s="18" t="str">
        <f>'AFI-F1'!F16</f>
        <v>SJL</v>
      </c>
      <c r="N15" s="18" t="str">
        <f>'AFI-F1'!G16</f>
        <v/>
      </c>
      <c r="O15" s="18" t="str">
        <f>'AFI-F1'!H16</f>
        <v>x</v>
      </c>
      <c r="P15" s="18" t="str">
        <f>'AFI-F1'!I16</f>
        <v/>
      </c>
      <c r="Q15" s="20">
        <f>'AFI-F1'!J16</f>
        <v>50</v>
      </c>
      <c r="R15" s="20">
        <f>'AFI-F1'!K16</f>
        <v>125</v>
      </c>
      <c r="S15" s="18" t="str">
        <f>'AFI-F1'!L16</f>
        <v>COBR</v>
      </c>
      <c r="T15" s="18" t="str">
        <f>'AFI-F1'!M16</f>
        <v>PLIN JL</v>
      </c>
      <c r="U15" s="20">
        <f>'AFI-F1'!N16</f>
        <v>50</v>
      </c>
      <c r="V15" s="20">
        <f>'AFI-F1'!O16</f>
        <v>125</v>
      </c>
      <c r="W15" s="18" t="str">
        <f>'AFI-F1'!P16</f>
        <v>Katherine</v>
      </c>
      <c r="X15" s="20">
        <f>'AFI-F1'!Q16</f>
        <v>175</v>
      </c>
      <c r="Y15" s="1"/>
      <c r="Z15" s="1"/>
      <c r="AA15" s="1"/>
    </row>
    <row r="16">
      <c r="A16" s="1"/>
      <c r="B16" s="14">
        <f t="shared" si="5"/>
        <v>13</v>
      </c>
      <c r="C16" s="15" t="str">
        <f t="shared" si="1"/>
        <v>diciembre</v>
      </c>
      <c r="D16" s="15">
        <f t="shared" si="2"/>
        <v>53</v>
      </c>
      <c r="E16" s="16" t="str">
        <f t="shared" si="3"/>
        <v>lunes</v>
      </c>
      <c r="F16" s="15">
        <f t="shared" si="4"/>
        <v>29</v>
      </c>
      <c r="G16" s="15" t="s">
        <v>23</v>
      </c>
      <c r="H16" s="3">
        <f>'AFI-F1'!$G$3</f>
        <v>45661</v>
      </c>
      <c r="I16" s="17">
        <f>'AFI-F1'!B17</f>
        <v>46020</v>
      </c>
      <c r="J16" s="18" t="str">
        <f>'AFI-F1'!C17</f>
        <v/>
      </c>
      <c r="K16" s="19" t="str">
        <f>'AFI-F1'!D17</f>
        <v>Gianfranco Auqui Guerrero </v>
      </c>
      <c r="L16" s="19" t="str">
        <f>'AFI-F1'!E17</f>
        <v/>
      </c>
      <c r="M16" s="18" t="str">
        <f>'AFI-F1'!F17</f>
        <v>SJL</v>
      </c>
      <c r="N16" s="18" t="str">
        <f>'AFI-F1'!G17</f>
        <v/>
      </c>
      <c r="O16" s="18" t="str">
        <f>'AFI-F1'!H17</f>
        <v>x</v>
      </c>
      <c r="P16" s="18" t="str">
        <f>'AFI-F1'!I17</f>
        <v/>
      </c>
      <c r="Q16" s="20">
        <f>'AFI-F1'!J17</f>
        <v>50</v>
      </c>
      <c r="R16" s="20">
        <f>'AFI-F1'!K17</f>
        <v>125</v>
      </c>
      <c r="S16" s="18" t="str">
        <f>'AFI-F1'!L17</f>
        <v>COBR</v>
      </c>
      <c r="T16" s="18" t="str">
        <f>'AFI-F1'!M17</f>
        <v>PLIN JL</v>
      </c>
      <c r="U16" s="20">
        <f>'AFI-F1'!N17</f>
        <v>50</v>
      </c>
      <c r="V16" s="20">
        <f>'AFI-F1'!O17</f>
        <v>125</v>
      </c>
      <c r="W16" s="18" t="str">
        <f>'AFI-F1'!P17</f>
        <v>Katherine</v>
      </c>
      <c r="X16" s="20">
        <f>'AFI-F1'!Q17</f>
        <v>175</v>
      </c>
      <c r="Y16" s="1"/>
      <c r="Z16" s="1"/>
      <c r="AA16" s="1"/>
    </row>
    <row r="17">
      <c r="A17" s="1"/>
      <c r="B17" s="14">
        <f t="shared" si="5"/>
        <v>14</v>
      </c>
      <c r="C17" s="15" t="str">
        <f t="shared" si="1"/>
        <v>diciembre</v>
      </c>
      <c r="D17" s="15">
        <f t="shared" si="2"/>
        <v>53</v>
      </c>
      <c r="E17" s="16" t="str">
        <f t="shared" si="3"/>
        <v>lunes</v>
      </c>
      <c r="F17" s="15">
        <f t="shared" si="4"/>
        <v>29</v>
      </c>
      <c r="G17" s="15" t="s">
        <v>23</v>
      </c>
      <c r="H17" s="3">
        <f>'AFI-F1'!$G$3</f>
        <v>45661</v>
      </c>
      <c r="I17" s="17">
        <f>'AFI-F1'!B18</f>
        <v>46020</v>
      </c>
      <c r="J17" s="18" t="str">
        <f>'AFI-F1'!C18</f>
        <v/>
      </c>
      <c r="K17" s="19" t="str">
        <f>'AFI-F1'!D18</f>
        <v>Germán Auqui Cerrón </v>
      </c>
      <c r="L17" s="19" t="str">
        <f>'AFI-F1'!E18</f>
        <v/>
      </c>
      <c r="M17" s="18" t="str">
        <f>'AFI-F1'!F18</f>
        <v>SJL</v>
      </c>
      <c r="N17" s="18" t="str">
        <f>'AFI-F1'!G18</f>
        <v/>
      </c>
      <c r="O17" s="18" t="str">
        <f>'AFI-F1'!H18</f>
        <v>x</v>
      </c>
      <c r="P17" s="18" t="str">
        <f>'AFI-F1'!I18</f>
        <v/>
      </c>
      <c r="Q17" s="20">
        <f>'AFI-F1'!J18</f>
        <v>50</v>
      </c>
      <c r="R17" s="20">
        <f>'AFI-F1'!K18</f>
        <v>125</v>
      </c>
      <c r="S17" s="18" t="str">
        <f>'AFI-F1'!L18</f>
        <v>COBR</v>
      </c>
      <c r="T17" s="18" t="str">
        <f>'AFI-F1'!M18</f>
        <v>PLIN JL</v>
      </c>
      <c r="U17" s="20">
        <f>'AFI-F1'!N18</f>
        <v>50</v>
      </c>
      <c r="V17" s="20">
        <f>'AFI-F1'!O18</f>
        <v>125</v>
      </c>
      <c r="W17" s="18" t="str">
        <f>'AFI-F1'!P18</f>
        <v>Katherine</v>
      </c>
      <c r="X17" s="20">
        <f>'AFI-F1'!Q18</f>
        <v>175</v>
      </c>
      <c r="Y17" s="1"/>
      <c r="Z17" s="1"/>
      <c r="AA17" s="1"/>
    </row>
    <row r="18">
      <c r="A18" s="1"/>
      <c r="B18" s="14">
        <f t="shared" si="5"/>
        <v>15</v>
      </c>
      <c r="C18" s="15" t="str">
        <f t="shared" si="1"/>
        <v>diciembre</v>
      </c>
      <c r="D18" s="15">
        <f t="shared" si="2"/>
        <v>53</v>
      </c>
      <c r="E18" s="16" t="str">
        <f t="shared" si="3"/>
        <v>martes</v>
      </c>
      <c r="F18" s="15">
        <f t="shared" si="4"/>
        <v>30</v>
      </c>
      <c r="G18" s="15" t="s">
        <v>23</v>
      </c>
      <c r="H18" s="3">
        <f>'AFI-F1'!$G$3</f>
        <v>45661</v>
      </c>
      <c r="I18" s="17">
        <f>'AFI-F1'!B19</f>
        <v>46021</v>
      </c>
      <c r="J18" s="18">
        <f>'AFI-F1'!C19</f>
        <v>49035262</v>
      </c>
      <c r="K18" s="19" t="str">
        <f>'AFI-F1'!D19</f>
        <v>Rafael Antony Urbina Peña</v>
      </c>
      <c r="L18" s="21" t="str">
        <f>'AFI-F1'!E19</f>
        <v>rafaelurbi24@gmail.com</v>
      </c>
      <c r="M18" s="18" t="str">
        <f>'AFI-F1'!F19</f>
        <v>LOS OLIVOS </v>
      </c>
      <c r="N18" s="18" t="str">
        <f>'AFI-F1'!G19</f>
        <v/>
      </c>
      <c r="O18" s="18" t="str">
        <f>'AFI-F1'!H19</f>
        <v>X</v>
      </c>
      <c r="P18" s="18" t="str">
        <f>'AFI-F1'!I19</f>
        <v/>
      </c>
      <c r="Q18" s="20">
        <f>'AFI-F1'!J19</f>
        <v>350</v>
      </c>
      <c r="R18" s="20" t="str">
        <f>'AFI-F1'!K19</f>
        <v/>
      </c>
      <c r="S18" s="18" t="str">
        <f>'AFI-F1'!L19</f>
        <v>PAGO</v>
      </c>
      <c r="T18" s="18" t="str">
        <f>'AFI-F1'!M19</f>
        <v>YAPE JL</v>
      </c>
      <c r="U18" s="20">
        <f>'AFI-F1'!N19</f>
        <v>350</v>
      </c>
      <c r="V18" s="20" t="str">
        <f>'AFI-F1'!O19</f>
        <v/>
      </c>
      <c r="W18" s="18" t="str">
        <f>'AFI-F1'!P19</f>
        <v>Yadhira</v>
      </c>
      <c r="X18" s="20">
        <f>'AFI-F1'!Q19</f>
        <v>350</v>
      </c>
      <c r="Y18" s="1"/>
      <c r="Z18" s="1"/>
      <c r="AA18" s="1"/>
    </row>
    <row r="19">
      <c r="A19" s="1"/>
      <c r="B19" s="14">
        <f t="shared" si="5"/>
        <v>16</v>
      </c>
      <c r="C19" s="15" t="str">
        <f t="shared" si="1"/>
        <v>diciembre</v>
      </c>
      <c r="D19" s="15">
        <f t="shared" si="2"/>
        <v>53</v>
      </c>
      <c r="E19" s="16" t="str">
        <f t="shared" si="3"/>
        <v>miércoles</v>
      </c>
      <c r="F19" s="15">
        <f t="shared" si="4"/>
        <v>31</v>
      </c>
      <c r="G19" s="15" t="s">
        <v>23</v>
      </c>
      <c r="H19" s="3">
        <f>'AFI-F1'!$G$3</f>
        <v>45661</v>
      </c>
      <c r="I19" s="17">
        <f>'AFI-F1'!B20</f>
        <v>46022</v>
      </c>
      <c r="J19" s="18">
        <f>'AFI-F1'!C20</f>
        <v>71486933</v>
      </c>
      <c r="K19" s="19" t="str">
        <f>'AFI-F1'!D20</f>
        <v>Roberto Benites Aguilar</v>
      </c>
      <c r="L19" s="19" t="str">
        <f>'AFI-F1'!E20</f>
        <v>benites.07@hotmail.com</v>
      </c>
      <c r="M19" s="18" t="str">
        <f>'AFI-F1'!F20</f>
        <v/>
      </c>
      <c r="N19" s="18" t="str">
        <f>'AFI-F1'!G20</f>
        <v/>
      </c>
      <c r="O19" s="18" t="str">
        <f>'AFI-F1'!H20</f>
        <v>x</v>
      </c>
      <c r="P19" s="18" t="str">
        <f>'AFI-F1'!I20</f>
        <v/>
      </c>
      <c r="Q19" s="20">
        <f>'AFI-F1'!J20</f>
        <v>220</v>
      </c>
      <c r="R19" s="20" t="str">
        <f>'AFI-F1'!K20</f>
        <v/>
      </c>
      <c r="S19" s="18" t="str">
        <f>'AFI-F1'!L20</f>
        <v>PAGO</v>
      </c>
      <c r="T19" s="18" t="str">
        <f>'AFI-F1'!M20</f>
        <v>YAPE JL</v>
      </c>
      <c r="U19" s="20">
        <f>'AFI-F1'!N20</f>
        <v>220</v>
      </c>
      <c r="V19" s="20" t="str">
        <f>'AFI-F1'!O20</f>
        <v/>
      </c>
      <c r="W19" s="18" t="str">
        <f>'AFI-F1'!P20</f>
        <v>Katherine</v>
      </c>
      <c r="X19" s="20">
        <f>'AFI-F1'!Q20</f>
        <v>220</v>
      </c>
      <c r="Y19" s="1"/>
      <c r="Z19" s="1"/>
      <c r="AA19" s="1"/>
    </row>
    <row r="20">
      <c r="A20" s="1"/>
      <c r="B20" s="14">
        <f t="shared" si="5"/>
        <v>17</v>
      </c>
      <c r="C20" s="15" t="str">
        <f t="shared" si="1"/>
        <v>diciembre</v>
      </c>
      <c r="D20" s="15">
        <f t="shared" si="2"/>
        <v>53</v>
      </c>
      <c r="E20" s="16" t="str">
        <f t="shared" si="3"/>
        <v>miércoles</v>
      </c>
      <c r="F20" s="15">
        <f t="shared" si="4"/>
        <v>31</v>
      </c>
      <c r="G20" s="15" t="s">
        <v>23</v>
      </c>
      <c r="H20" s="3">
        <f>'AFI-F1'!$G$3</f>
        <v>45661</v>
      </c>
      <c r="I20" s="17">
        <f>'AFI-F1'!B21</f>
        <v>46022</v>
      </c>
      <c r="J20" s="18">
        <f>'AFI-F1'!C21</f>
        <v>46910475</v>
      </c>
      <c r="K20" s="19" t="str">
        <f>'AFI-F1'!D21</f>
        <v>Ernesto De La Cruz</v>
      </c>
      <c r="L20" s="19" t="str">
        <f>'AFI-F1'!E21</f>
        <v>ernesto199124@hotmail.com</v>
      </c>
      <c r="M20" s="18" t="str">
        <f>'AFI-F1'!F21</f>
        <v>Chosica</v>
      </c>
      <c r="N20" s="18" t="str">
        <f>'AFI-F1'!G21</f>
        <v/>
      </c>
      <c r="O20" s="18" t="str">
        <f>'AFI-F1'!H21</f>
        <v>x</v>
      </c>
      <c r="P20" s="18" t="str">
        <f>'AFI-F1'!I21</f>
        <v/>
      </c>
      <c r="Q20" s="20">
        <f>'AFI-F1'!J21</f>
        <v>190</v>
      </c>
      <c r="R20" s="20" t="str">
        <f>'AFI-F1'!K21</f>
        <v/>
      </c>
      <c r="S20" s="18" t="str">
        <f>'AFI-F1'!L21</f>
        <v>PAGO</v>
      </c>
      <c r="T20" s="18" t="str">
        <f>'AFI-F1'!M21</f>
        <v>YAPE JL</v>
      </c>
      <c r="U20" s="20">
        <f>'AFI-F1'!N21</f>
        <v>190</v>
      </c>
      <c r="V20" s="20" t="str">
        <f>'AFI-F1'!O21</f>
        <v/>
      </c>
      <c r="W20" s="18" t="str">
        <f>'AFI-F1'!P21</f>
        <v>Katherine</v>
      </c>
      <c r="X20" s="20">
        <f>'AFI-F1'!Q21</f>
        <v>190</v>
      </c>
      <c r="Y20" s="1"/>
      <c r="Z20" s="1"/>
      <c r="AA20" s="1"/>
    </row>
    <row r="21">
      <c r="A21" s="1"/>
      <c r="B21" s="14">
        <f t="shared" si="5"/>
        <v>18</v>
      </c>
      <c r="C21" s="15" t="str">
        <f t="shared" si="1"/>
        <v>diciembre</v>
      </c>
      <c r="D21" s="15">
        <f t="shared" si="2"/>
        <v>53</v>
      </c>
      <c r="E21" s="16" t="str">
        <f t="shared" si="3"/>
        <v>miércoles</v>
      </c>
      <c r="F21" s="15">
        <f t="shared" si="4"/>
        <v>31</v>
      </c>
      <c r="G21" s="15" t="s">
        <v>23</v>
      </c>
      <c r="H21" s="3">
        <f>'AFI-F1'!$G$3</f>
        <v>45661</v>
      </c>
      <c r="I21" s="17">
        <f>'AFI-F1'!B22</f>
        <v>46022</v>
      </c>
      <c r="J21" s="18" t="str">
        <f>'AFI-F1'!C22</f>
        <v/>
      </c>
      <c r="K21" s="19" t="str">
        <f>'AFI-F1'!D22</f>
        <v>Hugo De La Cruz</v>
      </c>
      <c r="L21" s="19" t="str">
        <f>'AFI-F1'!E22</f>
        <v/>
      </c>
      <c r="M21" s="18" t="str">
        <f>'AFI-F1'!F22</f>
        <v>Chosica</v>
      </c>
      <c r="N21" s="18" t="str">
        <f>'AFI-F1'!G22</f>
        <v/>
      </c>
      <c r="O21" s="18" t="str">
        <f>'AFI-F1'!H22</f>
        <v>x</v>
      </c>
      <c r="P21" s="18" t="str">
        <f>'AFI-F1'!I22</f>
        <v/>
      </c>
      <c r="Q21" s="20">
        <f>'AFI-F1'!J22</f>
        <v>100</v>
      </c>
      <c r="R21" s="20" t="str">
        <f>'AFI-F1'!K22</f>
        <v/>
      </c>
      <c r="S21" s="18" t="str">
        <f>'AFI-F1'!L22</f>
        <v>PAGO</v>
      </c>
      <c r="T21" s="18" t="str">
        <f>'AFI-F1'!M22</f>
        <v>YAPE JL</v>
      </c>
      <c r="U21" s="20">
        <f>'AFI-F1'!N22</f>
        <v>100</v>
      </c>
      <c r="V21" s="20" t="str">
        <f>'AFI-F1'!O22</f>
        <v/>
      </c>
      <c r="W21" s="18" t="str">
        <f>'AFI-F1'!P22</f>
        <v>Katherine</v>
      </c>
      <c r="X21" s="20">
        <f>'AFI-F1'!Q22</f>
        <v>100</v>
      </c>
      <c r="Y21" s="1"/>
      <c r="Z21" s="1"/>
      <c r="AA21" s="1"/>
    </row>
    <row r="22">
      <c r="A22" s="1"/>
      <c r="B22" s="14">
        <f t="shared" si="5"/>
        <v>19</v>
      </c>
      <c r="C22" s="15" t="str">
        <f t="shared" si="1"/>
        <v>enero</v>
      </c>
      <c r="D22" s="15">
        <f t="shared" si="2"/>
        <v>1</v>
      </c>
      <c r="E22" s="16" t="str">
        <f t="shared" si="3"/>
        <v>viernes</v>
      </c>
      <c r="F22" s="15">
        <f t="shared" si="4"/>
        <v>2</v>
      </c>
      <c r="G22" s="15" t="s">
        <v>23</v>
      </c>
      <c r="H22" s="3">
        <f>'AFI-F1'!$G$3</f>
        <v>45661</v>
      </c>
      <c r="I22" s="17">
        <f>'AFI-F1'!B23</f>
        <v>46024</v>
      </c>
      <c r="J22" s="18">
        <f>'AFI-F1'!C23</f>
        <v>40677695</v>
      </c>
      <c r="K22" s="19" t="str">
        <f>'AFI-F1'!D23</f>
        <v>Antonio Lora</v>
      </c>
      <c r="L22" s="19" t="str">
        <f>'AFI-F1'!E23</f>
        <v>antoniolorac@gmail.com</v>
      </c>
      <c r="M22" s="18" t="str">
        <f>'AFI-F1'!F23</f>
        <v>SURCO</v>
      </c>
      <c r="N22" s="18" t="str">
        <f>'AFI-F1'!G23</f>
        <v/>
      </c>
      <c r="O22" s="18" t="str">
        <f>'AFI-F1'!H23</f>
        <v>X</v>
      </c>
      <c r="P22" s="18" t="str">
        <f>'AFI-F1'!I23</f>
        <v/>
      </c>
      <c r="Q22" s="20">
        <f>'AFI-F1'!J23</f>
        <v>190</v>
      </c>
      <c r="R22" s="20" t="str">
        <f>'AFI-F1'!K23</f>
        <v/>
      </c>
      <c r="S22" s="18" t="str">
        <f>'AFI-F1'!L23</f>
        <v>PAGO</v>
      </c>
      <c r="T22" s="18" t="str">
        <f>'AFI-F1'!M23</f>
        <v>PLIN JL</v>
      </c>
      <c r="U22" s="20">
        <f>'AFI-F1'!N23</f>
        <v>190</v>
      </c>
      <c r="V22" s="20" t="str">
        <f>'AFI-F1'!O23</f>
        <v/>
      </c>
      <c r="W22" s="18" t="str">
        <f>'AFI-F1'!P23</f>
        <v>Yadhira</v>
      </c>
      <c r="X22" s="20">
        <f>'AFI-F1'!Q23</f>
        <v>190</v>
      </c>
      <c r="Y22" s="1"/>
      <c r="Z22" s="1"/>
      <c r="AA22" s="1"/>
    </row>
    <row r="23">
      <c r="A23" s="1"/>
      <c r="B23" s="14">
        <f t="shared" si="5"/>
        <v>20</v>
      </c>
      <c r="C23" s="15" t="str">
        <f t="shared" si="1"/>
        <v>enero</v>
      </c>
      <c r="D23" s="15">
        <f t="shared" si="2"/>
        <v>1</v>
      </c>
      <c r="E23" s="16" t="str">
        <f t="shared" si="3"/>
        <v>viernes</v>
      </c>
      <c r="F23" s="15">
        <f t="shared" si="4"/>
        <v>2</v>
      </c>
      <c r="G23" s="15" t="s">
        <v>23</v>
      </c>
      <c r="H23" s="3">
        <f>'AFI-F1'!$G$3</f>
        <v>45661</v>
      </c>
      <c r="I23" s="17">
        <f>'AFI-F1'!B24</f>
        <v>46024</v>
      </c>
      <c r="J23" s="18" t="str">
        <f>'AFI-F1'!C24</f>
        <v>08553072</v>
      </c>
      <c r="K23" s="19" t="str">
        <f>'AFI-F1'!D24</f>
        <v>Luis Lora Reyes</v>
      </c>
      <c r="L23" s="19" t="str">
        <f>'AFI-F1'!E24</f>
        <v>antoniolorac@gmail.com</v>
      </c>
      <c r="M23" s="18" t="str">
        <f>'AFI-F1'!F24</f>
        <v>SURCO</v>
      </c>
      <c r="N23" s="18" t="str">
        <f>'AFI-F1'!G24</f>
        <v/>
      </c>
      <c r="O23" s="18" t="str">
        <f>'AFI-F1'!H24</f>
        <v>X</v>
      </c>
      <c r="P23" s="18" t="str">
        <f>'AFI-F1'!I24</f>
        <v/>
      </c>
      <c r="Q23" s="20">
        <f>'AFI-F1'!J24</f>
        <v>190</v>
      </c>
      <c r="R23" s="20" t="str">
        <f>'AFI-F1'!K24</f>
        <v/>
      </c>
      <c r="S23" s="18" t="str">
        <f>'AFI-F1'!L24</f>
        <v>PAGO</v>
      </c>
      <c r="T23" s="18" t="str">
        <f>'AFI-F1'!M24</f>
        <v>PLIN JL</v>
      </c>
      <c r="U23" s="20">
        <f>'AFI-F1'!N24</f>
        <v>190</v>
      </c>
      <c r="V23" s="20" t="str">
        <f>'AFI-F1'!O24</f>
        <v/>
      </c>
      <c r="W23" s="18" t="str">
        <f>'AFI-F1'!P24</f>
        <v>Yadhira</v>
      </c>
      <c r="X23" s="20">
        <f>'AFI-F1'!Q24</f>
        <v>190</v>
      </c>
      <c r="Y23" s="1"/>
      <c r="Z23" s="1"/>
      <c r="AA23" s="1"/>
    </row>
    <row r="24">
      <c r="A24" s="1"/>
      <c r="B24" s="14">
        <f t="shared" si="5"/>
        <v>21</v>
      </c>
      <c r="C24" s="15" t="str">
        <f t="shared" si="1"/>
        <v>enero</v>
      </c>
      <c r="D24" s="15">
        <f t="shared" si="2"/>
        <v>1</v>
      </c>
      <c r="E24" s="16" t="str">
        <f t="shared" si="3"/>
        <v>viernes</v>
      </c>
      <c r="F24" s="15">
        <f t="shared" si="4"/>
        <v>2</v>
      </c>
      <c r="G24" s="15" t="s">
        <v>23</v>
      </c>
      <c r="H24" s="3">
        <f>'AFI-F1'!$G$3</f>
        <v>45661</v>
      </c>
      <c r="I24" s="17">
        <f>'AFI-F1'!B25</f>
        <v>46024</v>
      </c>
      <c r="J24" s="18">
        <f>'AFI-F1'!C25</f>
        <v>44041233</v>
      </c>
      <c r="K24" s="19" t="str">
        <f>'AFI-F1'!D25</f>
        <v>Rosa Juana Mogrovejo Sihue </v>
      </c>
      <c r="L24" s="19" t="str">
        <f>'AFI-F1'!E25</f>
        <v>msk.rosa@gmail.com</v>
      </c>
      <c r="M24" s="18" t="str">
        <f>'AFI-F1'!F25</f>
        <v>San Juan de Lurigancho </v>
      </c>
      <c r="N24" s="18" t="str">
        <f>'AFI-F1'!G25</f>
        <v>960 142 095</v>
      </c>
      <c r="O24" s="18" t="str">
        <f>'AFI-F1'!H25</f>
        <v>x</v>
      </c>
      <c r="P24" s="18" t="str">
        <f>'AFI-F1'!I25</f>
        <v/>
      </c>
      <c r="Q24" s="20">
        <f>'AFI-F1'!J25</f>
        <v>95</v>
      </c>
      <c r="R24" s="20">
        <f>'AFI-F1'!K25</f>
        <v>95</v>
      </c>
      <c r="S24" s="18" t="str">
        <f>'AFI-F1'!L25</f>
        <v>COBR</v>
      </c>
      <c r="T24" s="18" t="str">
        <f>'AFI-F1'!M25</f>
        <v>PLIN JL</v>
      </c>
      <c r="U24" s="20">
        <f>'AFI-F1'!N25</f>
        <v>95</v>
      </c>
      <c r="V24" s="20">
        <f>'AFI-F1'!O25</f>
        <v>95</v>
      </c>
      <c r="W24" s="18" t="str">
        <f>'AFI-F1'!P25</f>
        <v>Sofia</v>
      </c>
      <c r="X24" s="20">
        <f>'AFI-F1'!Q25</f>
        <v>190</v>
      </c>
      <c r="Y24" s="1"/>
      <c r="Z24" s="1"/>
      <c r="AA24" s="1"/>
    </row>
    <row r="25">
      <c r="A25" s="1"/>
      <c r="B25" s="14">
        <f t="shared" si="5"/>
        <v>22</v>
      </c>
      <c r="C25" s="15" t="str">
        <f t="shared" si="1"/>
        <v>enero</v>
      </c>
      <c r="D25" s="15">
        <f t="shared" si="2"/>
        <v>1</v>
      </c>
      <c r="E25" s="16" t="str">
        <f t="shared" si="3"/>
        <v>sábado</v>
      </c>
      <c r="F25" s="15">
        <f t="shared" si="4"/>
        <v>3</v>
      </c>
      <c r="G25" s="15" t="s">
        <v>23</v>
      </c>
      <c r="H25" s="3">
        <f>'AFI-F1'!$G$3</f>
        <v>45661</v>
      </c>
      <c r="I25" s="17">
        <f>'AFI-F1'!B26</f>
        <v>46025</v>
      </c>
      <c r="J25" s="18" t="str">
        <f>'AFI-F1'!C26</f>
        <v>09312996</v>
      </c>
      <c r="K25" s="19" t="str">
        <f>'AFI-F1'!D26</f>
        <v>Hernán Vidal Ulloa </v>
      </c>
      <c r="L25" s="19" t="str">
        <f>'AFI-F1'!E26</f>
        <v>havu20@gmail.com </v>
      </c>
      <c r="M25" s="18" t="str">
        <f>'AFI-F1'!F26</f>
        <v>La Molina </v>
      </c>
      <c r="N25" s="18" t="str">
        <f>'AFI-F1'!G26</f>
        <v>965 007 792</v>
      </c>
      <c r="O25" s="18" t="str">
        <f>'AFI-F1'!H26</f>
        <v>x</v>
      </c>
      <c r="P25" s="18" t="str">
        <f>'AFI-F1'!I26</f>
        <v/>
      </c>
      <c r="Q25" s="20">
        <f>'AFI-F1'!J26</f>
        <v>190</v>
      </c>
      <c r="R25" s="20" t="str">
        <f>'AFI-F1'!K26</f>
        <v/>
      </c>
      <c r="S25" s="18" t="str">
        <f>'AFI-F1'!L26</f>
        <v>PAGO</v>
      </c>
      <c r="T25" s="18" t="str">
        <f>'AFI-F1'!M26</f>
        <v>YAPE JL</v>
      </c>
      <c r="U25" s="20">
        <f>'AFI-F1'!N26</f>
        <v>190</v>
      </c>
      <c r="V25" s="20" t="str">
        <f>'AFI-F1'!O26</f>
        <v/>
      </c>
      <c r="W25" s="18" t="str">
        <f>'AFI-F1'!P26</f>
        <v>Sofia</v>
      </c>
      <c r="X25" s="20">
        <f>'AFI-F1'!Q26</f>
        <v>190</v>
      </c>
      <c r="Y25" s="1"/>
      <c r="Z25" s="1"/>
      <c r="AA25" s="1"/>
    </row>
    <row r="26">
      <c r="A26" s="1"/>
      <c r="B26" s="14">
        <f t="shared" si="5"/>
        <v>23</v>
      </c>
      <c r="C26" s="15" t="str">
        <f t="shared" si="1"/>
        <v>enero</v>
      </c>
      <c r="D26" s="15">
        <f t="shared" si="2"/>
        <v>1</v>
      </c>
      <c r="E26" s="16" t="str">
        <f t="shared" si="3"/>
        <v>viernes</v>
      </c>
      <c r="F26" s="15">
        <f t="shared" si="4"/>
        <v>2</v>
      </c>
      <c r="G26" s="15" t="s">
        <v>23</v>
      </c>
      <c r="H26" s="3">
        <f>'AFI-F1'!$G$3</f>
        <v>45661</v>
      </c>
      <c r="I26" s="17">
        <f>'AFI-F1'!B27</f>
        <v>46024</v>
      </c>
      <c r="J26" s="18">
        <f>'AFI-F1'!C27</f>
        <v>71460870</v>
      </c>
      <c r="K26" s="19" t="str">
        <f>'AFI-F1'!D27</f>
        <v>Gustavo Enrique Benites Aguilar</v>
      </c>
      <c r="L26" s="19" t="str">
        <f>'AFI-F1'!E27</f>
        <v>gustavo.gba07@hotmail.com</v>
      </c>
      <c r="M26" s="18" t="str">
        <f>'AFI-F1'!F27</f>
        <v>LINCE</v>
      </c>
      <c r="N26" s="18" t="str">
        <f>'AFI-F1'!G27</f>
        <v>991 714 494</v>
      </c>
      <c r="O26" s="18" t="str">
        <f>'AFI-F1'!H27</f>
        <v>X</v>
      </c>
      <c r="P26" s="18" t="str">
        <f>'AFI-F1'!I27</f>
        <v/>
      </c>
      <c r="Q26" s="20">
        <f>'AFI-F1'!J27</f>
        <v>220</v>
      </c>
      <c r="R26" s="20" t="str">
        <f>'AFI-F1'!K27</f>
        <v/>
      </c>
      <c r="S26" s="18" t="str">
        <f>'AFI-F1'!L27</f>
        <v>PAGO</v>
      </c>
      <c r="T26" s="18" t="str">
        <f>'AFI-F1'!M27</f>
        <v>PLIN JL</v>
      </c>
      <c r="U26" s="20">
        <f>'AFI-F1'!N27</f>
        <v>220</v>
      </c>
      <c r="V26" s="20" t="str">
        <f>'AFI-F1'!O27</f>
        <v/>
      </c>
      <c r="W26" s="18" t="str">
        <f>'AFI-F1'!P27</f>
        <v>Yadhira</v>
      </c>
      <c r="X26" s="20">
        <f>'AFI-F1'!Q27</f>
        <v>220</v>
      </c>
      <c r="Y26" s="1"/>
      <c r="Z26" s="1"/>
      <c r="AA26" s="1"/>
    </row>
    <row r="27">
      <c r="A27" s="1"/>
      <c r="B27" s="14">
        <f t="shared" si="5"/>
        <v>24</v>
      </c>
      <c r="C27" s="15" t="str">
        <f t="shared" si="1"/>
        <v>enero</v>
      </c>
      <c r="D27" s="15">
        <f t="shared" si="2"/>
        <v>1</v>
      </c>
      <c r="E27" s="16" t="str">
        <f t="shared" si="3"/>
        <v>viernes</v>
      </c>
      <c r="F27" s="15">
        <f t="shared" si="4"/>
        <v>2</v>
      </c>
      <c r="G27" s="15" t="s">
        <v>23</v>
      </c>
      <c r="H27" s="3">
        <f>'AFI-F1'!$G$3</f>
        <v>45661</v>
      </c>
      <c r="I27" s="17">
        <f>'AFI-F1'!B28</f>
        <v>46024</v>
      </c>
      <c r="J27" s="18">
        <f>'AFI-F1'!C28</f>
        <v>42296972</v>
      </c>
      <c r="K27" s="19" t="str">
        <f>'AFI-F1'!D28</f>
        <v>Jose Gabriel Janampa Osores</v>
      </c>
      <c r="L27" s="19" t="str">
        <f>'AFI-F1'!E28</f>
        <v>janampaosores@gmail.com</v>
      </c>
      <c r="M27" s="18" t="str">
        <f>'AFI-F1'!F28</f>
        <v/>
      </c>
      <c r="N27" s="18" t="str">
        <f>'AFI-F1'!G28</f>
        <v/>
      </c>
      <c r="O27" s="18" t="str">
        <f>'AFI-F1'!H28</f>
        <v>x</v>
      </c>
      <c r="P27" s="18" t="str">
        <f>'AFI-F1'!I28</f>
        <v/>
      </c>
      <c r="Q27" s="20">
        <f>'AFI-F1'!J28</f>
        <v>190</v>
      </c>
      <c r="R27" s="20" t="str">
        <f>'AFI-F1'!K28</f>
        <v/>
      </c>
      <c r="S27" s="18" t="str">
        <f>'AFI-F1'!L28</f>
        <v>PAGO</v>
      </c>
      <c r="T27" s="18" t="str">
        <f>'AFI-F1'!M28</f>
        <v>PLIN JL</v>
      </c>
      <c r="U27" s="20">
        <f>'AFI-F1'!N28</f>
        <v>190</v>
      </c>
      <c r="V27" s="20" t="str">
        <f>'AFI-F1'!O28</f>
        <v/>
      </c>
      <c r="W27" s="18" t="str">
        <f>'AFI-F1'!P28</f>
        <v>Katherine</v>
      </c>
      <c r="X27" s="20">
        <f>'AFI-F1'!Q28</f>
        <v>190</v>
      </c>
      <c r="Y27" s="1"/>
      <c r="Z27" s="1"/>
      <c r="AA27" s="1"/>
    </row>
    <row r="28">
      <c r="A28" s="1"/>
      <c r="B28" s="14">
        <f t="shared" si="5"/>
        <v>25</v>
      </c>
      <c r="C28" s="15" t="str">
        <f t="shared" si="1"/>
        <v>enero</v>
      </c>
      <c r="D28" s="15">
        <f t="shared" si="2"/>
        <v>1</v>
      </c>
      <c r="E28" s="16" t="str">
        <f t="shared" si="3"/>
        <v>viernes</v>
      </c>
      <c r="F28" s="15">
        <f t="shared" si="4"/>
        <v>2</v>
      </c>
      <c r="G28" s="15" t="s">
        <v>23</v>
      </c>
      <c r="H28" s="3">
        <f>'AFI-F1'!$G$3</f>
        <v>45661</v>
      </c>
      <c r="I28" s="17">
        <f>'AFI-F1'!B29</f>
        <v>46024</v>
      </c>
      <c r="J28" s="18">
        <f>'AFI-F1'!C29</f>
        <v>47162607</v>
      </c>
      <c r="K28" s="19" t="str">
        <f>'AFI-F1'!D29</f>
        <v>Deessiree Menendez ortiz</v>
      </c>
      <c r="L28" s="19" t="str">
        <f>'AFI-F1'!E29</f>
        <v>deessiree16@hotmail.com</v>
      </c>
      <c r="M28" s="18" t="str">
        <f>'AFI-F1'!F29</f>
        <v>CALLAO</v>
      </c>
      <c r="N28" s="18" t="str">
        <f>'AFI-F1'!G29</f>
        <v>958 154 071</v>
      </c>
      <c r="O28" s="18" t="str">
        <f>'AFI-F1'!H29</f>
        <v>X</v>
      </c>
      <c r="P28" s="18" t="str">
        <f>'AFI-F1'!I29</f>
        <v/>
      </c>
      <c r="Q28" s="20">
        <f>'AFI-F1'!J29</f>
        <v>175</v>
      </c>
      <c r="R28" s="20">
        <f>'AFI-F1'!K29</f>
        <v>175</v>
      </c>
      <c r="S28" s="18" t="str">
        <f>'AFI-F1'!L29</f>
        <v>COBR</v>
      </c>
      <c r="T28" s="18" t="str">
        <f>'AFI-F1'!M29</f>
        <v>MERC-PAG</v>
      </c>
      <c r="U28" s="20">
        <f>'AFI-F1'!N29</f>
        <v>167.2</v>
      </c>
      <c r="V28" s="20">
        <f>'AFI-F1'!O29</f>
        <v>167.2</v>
      </c>
      <c r="W28" s="18" t="str">
        <f>'AFI-F1'!P29</f>
        <v>Yadhira</v>
      </c>
      <c r="X28" s="20">
        <f>'AFI-F1'!Q29</f>
        <v>334.4</v>
      </c>
      <c r="Y28" s="1"/>
      <c r="Z28" s="1"/>
      <c r="AA28" s="1"/>
    </row>
    <row r="29">
      <c r="A29" s="1"/>
      <c r="B29" s="14">
        <f t="shared" si="5"/>
        <v>26</v>
      </c>
      <c r="C29" s="15" t="str">
        <f t="shared" si="1"/>
        <v>enero</v>
      </c>
      <c r="D29" s="15">
        <f t="shared" si="2"/>
        <v>1</v>
      </c>
      <c r="E29" s="16" t="str">
        <f t="shared" si="3"/>
        <v>viernes</v>
      </c>
      <c r="F29" s="15">
        <f t="shared" si="4"/>
        <v>2</v>
      </c>
      <c r="G29" s="15" t="s">
        <v>23</v>
      </c>
      <c r="H29" s="3">
        <f>'AFI-F1'!$G$3</f>
        <v>45661</v>
      </c>
      <c r="I29" s="17">
        <f>'AFI-F1'!B30</f>
        <v>46024</v>
      </c>
      <c r="J29" s="18">
        <f>'AFI-F1'!C30</f>
        <v>41397674</v>
      </c>
      <c r="K29" s="19" t="str">
        <f>'AFI-F1'!D30</f>
        <v>Arnaldo Guardamino cavezas</v>
      </c>
      <c r="L29" s="19" t="str">
        <f>'AFI-F1'!E30</f>
        <v>Arn_g2005@hotmail</v>
      </c>
      <c r="M29" s="18" t="str">
        <f>'AFI-F1'!F30</f>
        <v>CALLAO</v>
      </c>
      <c r="N29" s="18" t="str">
        <f>'AFI-F1'!G30</f>
        <v>958 154 071</v>
      </c>
      <c r="O29" s="18" t="str">
        <f>'AFI-F1'!H30</f>
        <v>X</v>
      </c>
      <c r="P29" s="18" t="str">
        <f>'AFI-F1'!I30</f>
        <v/>
      </c>
      <c r="Q29" s="20">
        <f>'AFI-F1'!J30</f>
        <v>175</v>
      </c>
      <c r="R29" s="20">
        <f>'AFI-F1'!K30</f>
        <v>175</v>
      </c>
      <c r="S29" s="18" t="str">
        <f>'AFI-F1'!L30</f>
        <v>COBR</v>
      </c>
      <c r="T29" s="18" t="str">
        <f>'AFI-F1'!M30</f>
        <v>MERC-PAG</v>
      </c>
      <c r="U29" s="20">
        <f>'AFI-F1'!N30</f>
        <v>167.2</v>
      </c>
      <c r="V29" s="20">
        <f>'AFI-F1'!O30</f>
        <v>167.2</v>
      </c>
      <c r="W29" s="18" t="str">
        <f>'AFI-F1'!P30</f>
        <v>Yadhira</v>
      </c>
      <c r="X29" s="20">
        <f>'AFI-F1'!Q30</f>
        <v>334.4</v>
      </c>
      <c r="Y29" s="1"/>
      <c r="Z29" s="1"/>
      <c r="AA29" s="1"/>
    </row>
    <row r="30">
      <c r="A30" s="1"/>
      <c r="B30" s="14">
        <f t="shared" si="5"/>
        <v>27</v>
      </c>
      <c r="C30" s="15" t="str">
        <f t="shared" si="1"/>
        <v>enero</v>
      </c>
      <c r="D30" s="15">
        <f t="shared" si="2"/>
        <v>1</v>
      </c>
      <c r="E30" s="16" t="str">
        <f t="shared" si="3"/>
        <v>viernes</v>
      </c>
      <c r="F30" s="15">
        <f t="shared" si="4"/>
        <v>2</v>
      </c>
      <c r="G30" s="15" t="s">
        <v>23</v>
      </c>
      <c r="H30" s="3">
        <f>'AFI-F1'!$G$3</f>
        <v>45661</v>
      </c>
      <c r="I30" s="17">
        <f>'AFI-F1'!B31</f>
        <v>46024</v>
      </c>
      <c r="J30" s="18">
        <f>'AFI-F1'!C31</f>
        <v>72413600</v>
      </c>
      <c r="K30" s="19" t="str">
        <f>'AFI-F1'!D31</f>
        <v>Daniel Ricardo moran Chávez</v>
      </c>
      <c r="L30" s="19" t="str">
        <f>'AFI-F1'!E31</f>
        <v>danielpupunovich5@hotmail.com</v>
      </c>
      <c r="M30" s="18" t="str">
        <f>'AFI-F1'!F31</f>
        <v/>
      </c>
      <c r="N30" s="18" t="str">
        <f>'AFI-F1'!G31</f>
        <v>988 766 216</v>
      </c>
      <c r="O30" s="18" t="str">
        <f>'AFI-F1'!H31</f>
        <v>X</v>
      </c>
      <c r="P30" s="18" t="str">
        <f>'AFI-F1'!I31</f>
        <v/>
      </c>
      <c r="Q30" s="20">
        <f>'AFI-F1'!J31</f>
        <v>190</v>
      </c>
      <c r="R30" s="20" t="str">
        <f>'AFI-F1'!K31</f>
        <v/>
      </c>
      <c r="S30" s="18" t="str">
        <f>'AFI-F1'!L31</f>
        <v>PAGO</v>
      </c>
      <c r="T30" s="18" t="str">
        <f>'AFI-F1'!M31</f>
        <v>PLIN JL</v>
      </c>
      <c r="U30" s="20">
        <f>'AFI-F1'!N31</f>
        <v>190</v>
      </c>
      <c r="V30" s="20" t="str">
        <f>'AFI-F1'!O31</f>
        <v/>
      </c>
      <c r="W30" s="18" t="str">
        <f>'AFI-F1'!P31</f>
        <v>Yadhira</v>
      </c>
      <c r="X30" s="20">
        <f>'AFI-F1'!Q31</f>
        <v>190</v>
      </c>
      <c r="Y30" s="1"/>
      <c r="Z30" s="1"/>
      <c r="AA30" s="1"/>
    </row>
    <row r="31">
      <c r="A31" s="1"/>
      <c r="B31" s="14">
        <f t="shared" si="5"/>
        <v>28</v>
      </c>
      <c r="C31" s="15" t="str">
        <f t="shared" si="1"/>
        <v>enero</v>
      </c>
      <c r="D31" s="15">
        <f t="shared" si="2"/>
        <v>1</v>
      </c>
      <c r="E31" s="16" t="str">
        <f t="shared" si="3"/>
        <v>viernes</v>
      </c>
      <c r="F31" s="15">
        <f t="shared" si="4"/>
        <v>2</v>
      </c>
      <c r="G31" s="15" t="s">
        <v>23</v>
      </c>
      <c r="H31" s="3">
        <f>'AFI-F1'!$G$3</f>
        <v>45661</v>
      </c>
      <c r="I31" s="17">
        <f>'AFI-F1'!B32</f>
        <v>46024</v>
      </c>
      <c r="J31" s="18" t="str">
        <f>'AFI-F1'!C32</f>
        <v/>
      </c>
      <c r="K31" s="19" t="str">
        <f>'AFI-F1'!D32</f>
        <v>Frank Alonso Bautista Cucho</v>
      </c>
      <c r="L31" s="19" t="str">
        <f>'AFI-F1'!E32</f>
        <v/>
      </c>
      <c r="M31" s="18" t="str">
        <f>'AFI-F1'!F32</f>
        <v/>
      </c>
      <c r="N31" s="18" t="str">
        <f>'AFI-F1'!G32</f>
        <v/>
      </c>
      <c r="O31" s="18" t="str">
        <f>'AFI-F1'!H32</f>
        <v>x</v>
      </c>
      <c r="P31" s="18" t="str">
        <f>'AFI-F1'!I32</f>
        <v/>
      </c>
      <c r="Q31" s="20">
        <f>'AFI-F1'!J32</f>
        <v>190</v>
      </c>
      <c r="R31" s="20" t="str">
        <f>'AFI-F1'!K32</f>
        <v/>
      </c>
      <c r="S31" s="18" t="str">
        <f>'AFI-F1'!L32</f>
        <v>PAGO</v>
      </c>
      <c r="T31" s="18" t="str">
        <f>'AFI-F1'!M32</f>
        <v>PLIN JL</v>
      </c>
      <c r="U31" s="20">
        <f>'AFI-F1'!N32</f>
        <v>190</v>
      </c>
      <c r="V31" s="20" t="str">
        <f>'AFI-F1'!O32</f>
        <v/>
      </c>
      <c r="W31" s="18" t="str">
        <f>'AFI-F1'!P32</f>
        <v>Katherine</v>
      </c>
      <c r="X31" s="20">
        <f>'AFI-F1'!Q32</f>
        <v>190</v>
      </c>
      <c r="Y31" s="1"/>
      <c r="Z31" s="1"/>
      <c r="AA31" s="1"/>
    </row>
    <row r="32">
      <c r="A32" s="1"/>
      <c r="B32" s="14">
        <f t="shared" si="5"/>
        <v>29</v>
      </c>
      <c r="C32" s="15" t="str">
        <f t="shared" si="1"/>
        <v>enero</v>
      </c>
      <c r="D32" s="15">
        <f t="shared" si="2"/>
        <v>1</v>
      </c>
      <c r="E32" s="16" t="str">
        <f t="shared" si="3"/>
        <v>viernes</v>
      </c>
      <c r="F32" s="15">
        <f t="shared" si="4"/>
        <v>2</v>
      </c>
      <c r="G32" s="15" t="s">
        <v>23</v>
      </c>
      <c r="H32" s="3">
        <f>'AFI-F1'!$G$3</f>
        <v>45661</v>
      </c>
      <c r="I32" s="17">
        <f>'AFI-F1'!B33</f>
        <v>46024</v>
      </c>
      <c r="J32" s="18">
        <f>'AFI-F1'!C33</f>
        <v>71523029</v>
      </c>
      <c r="K32" s="19" t="str">
        <f>'AFI-F1'!D33</f>
        <v>Aaron Castillo</v>
      </c>
      <c r="L32" s="19" t="str">
        <f>'AFI-F1'!E33</f>
        <v/>
      </c>
      <c r="M32" s="18" t="str">
        <f>'AFI-F1'!F33</f>
        <v/>
      </c>
      <c r="N32" s="18" t="str">
        <f>'AFI-F1'!G33</f>
        <v/>
      </c>
      <c r="O32" s="18" t="str">
        <f>'AFI-F1'!H33</f>
        <v>x</v>
      </c>
      <c r="P32" s="18" t="str">
        <f>'AFI-F1'!I33</f>
        <v/>
      </c>
      <c r="Q32" s="20">
        <f>'AFI-F1'!J33</f>
        <v>190</v>
      </c>
      <c r="R32" s="20" t="str">
        <f>'AFI-F1'!K33</f>
        <v/>
      </c>
      <c r="S32" s="18" t="str">
        <f>'AFI-F1'!L33</f>
        <v>PAGO</v>
      </c>
      <c r="T32" s="18" t="str">
        <f>'AFI-F1'!M33</f>
        <v>YAPE JL</v>
      </c>
      <c r="U32" s="20">
        <f>'AFI-F1'!N33</f>
        <v>190</v>
      </c>
      <c r="V32" s="20" t="str">
        <f>'AFI-F1'!O33</f>
        <v/>
      </c>
      <c r="W32" s="18" t="str">
        <f>'AFI-F1'!P33</f>
        <v>Katherine</v>
      </c>
      <c r="X32" s="20">
        <f>'AFI-F1'!Q33</f>
        <v>190</v>
      </c>
      <c r="Y32" s="1"/>
      <c r="Z32" s="1"/>
      <c r="AA32" s="1"/>
    </row>
    <row r="33">
      <c r="A33" s="1"/>
      <c r="B33" s="14">
        <f t="shared" si="5"/>
        <v>30</v>
      </c>
      <c r="C33" s="15" t="str">
        <f t="shared" si="1"/>
        <v>enero</v>
      </c>
      <c r="D33" s="15">
        <f t="shared" si="2"/>
        <v>1</v>
      </c>
      <c r="E33" s="16" t="str">
        <f t="shared" si="3"/>
        <v>viernes</v>
      </c>
      <c r="F33" s="15">
        <f t="shared" si="4"/>
        <v>2</v>
      </c>
      <c r="G33" s="15" t="s">
        <v>23</v>
      </c>
      <c r="H33" s="3">
        <f>'AFI-F1'!$G$3</f>
        <v>45661</v>
      </c>
      <c r="I33" s="17">
        <f>'AFI-F1'!B34</f>
        <v>46024</v>
      </c>
      <c r="J33" s="18">
        <f>'AFI-F1'!C34</f>
        <v>40697850</v>
      </c>
      <c r="K33" s="19" t="str">
        <f>'AFI-F1'!D34</f>
        <v>Sergio Armando Lopez Saldaña</v>
      </c>
      <c r="L33" s="19" t="str">
        <f>'AFI-F1'!E34</f>
        <v>Sergio.lsaldana@gmail.com</v>
      </c>
      <c r="M33" s="18" t="str">
        <f>'AFI-F1'!F34</f>
        <v>Victoria</v>
      </c>
      <c r="N33" s="18" t="str">
        <f>'AFI-F1'!G34</f>
        <v>987 809 308</v>
      </c>
      <c r="O33" s="18" t="str">
        <f>'AFI-F1'!H34</f>
        <v>x</v>
      </c>
      <c r="P33" s="18" t="str">
        <f>'AFI-F1'!I34</f>
        <v/>
      </c>
      <c r="Q33" s="20">
        <f>'AFI-F1'!J34</f>
        <v>190</v>
      </c>
      <c r="R33" s="20" t="str">
        <f>'AFI-F1'!K34</f>
        <v/>
      </c>
      <c r="S33" s="18" t="str">
        <f>'AFI-F1'!L34</f>
        <v>PAGO</v>
      </c>
      <c r="T33" s="18" t="str">
        <f>'AFI-F1'!M34</f>
        <v>YAPE JL</v>
      </c>
      <c r="U33" s="20">
        <f>'AFI-F1'!N34</f>
        <v>190</v>
      </c>
      <c r="V33" s="20" t="str">
        <f>'AFI-F1'!O34</f>
        <v/>
      </c>
      <c r="W33" s="18" t="str">
        <f>'AFI-F1'!P34</f>
        <v>Sofia</v>
      </c>
      <c r="X33" s="20">
        <f>'AFI-F1'!Q34</f>
        <v>190</v>
      </c>
      <c r="Y33" s="1"/>
      <c r="Z33" s="1"/>
      <c r="AA33" s="1"/>
    </row>
    <row r="34">
      <c r="A34" s="1"/>
      <c r="B34" s="14">
        <f t="shared" si="5"/>
        <v>31</v>
      </c>
      <c r="C34" s="15" t="str">
        <f t="shared" si="1"/>
        <v>enero</v>
      </c>
      <c r="D34" s="15">
        <f t="shared" si="2"/>
        <v>1</v>
      </c>
      <c r="E34" s="16" t="str">
        <f t="shared" si="3"/>
        <v>viernes</v>
      </c>
      <c r="F34" s="15">
        <f t="shared" si="4"/>
        <v>2</v>
      </c>
      <c r="G34" s="15" t="s">
        <v>23</v>
      </c>
      <c r="H34" s="3">
        <f>'AFI-F1'!$G$3</f>
        <v>45661</v>
      </c>
      <c r="I34" s="17">
        <f>'AFI-F1'!B35</f>
        <v>46024</v>
      </c>
      <c r="J34" s="18" t="str">
        <f>'AFI-F1'!C35</f>
        <v>07524459</v>
      </c>
      <c r="K34" s="19" t="str">
        <f>'AFI-F1'!D35</f>
        <v>José pineda sifuentes</v>
      </c>
      <c r="L34" s="19" t="str">
        <f>'AFI-F1'!E35</f>
        <v>jose.pineda@ae.edu.pe</v>
      </c>
      <c r="M34" s="18" t="str">
        <f>'AFI-F1'!F35</f>
        <v>SAN ISIDRO</v>
      </c>
      <c r="N34" s="18" t="str">
        <f>'AFI-F1'!G35</f>
        <v>981 398 282</v>
      </c>
      <c r="O34" s="18" t="str">
        <f>'AFI-F1'!H35</f>
        <v>X</v>
      </c>
      <c r="P34" s="18" t="str">
        <f>'AFI-F1'!I35</f>
        <v/>
      </c>
      <c r="Q34" s="20">
        <f>'AFI-F1'!J35</f>
        <v>175</v>
      </c>
      <c r="R34" s="20" t="str">
        <f>'AFI-F1'!K35</f>
        <v/>
      </c>
      <c r="S34" s="18" t="str">
        <f>'AFI-F1'!L35</f>
        <v>PAGO</v>
      </c>
      <c r="T34" s="18" t="str">
        <f>'AFI-F1'!M35</f>
        <v>PLIN JL</v>
      </c>
      <c r="U34" s="20">
        <f>'AFI-F1'!N35</f>
        <v>175</v>
      </c>
      <c r="V34" s="20" t="str">
        <f>'AFI-F1'!O35</f>
        <v/>
      </c>
      <c r="W34" s="18" t="str">
        <f>'AFI-F1'!P35</f>
        <v>Yadhira</v>
      </c>
      <c r="X34" s="20">
        <f>'AFI-F1'!Q35</f>
        <v>175</v>
      </c>
      <c r="Y34" s="1"/>
      <c r="Z34" s="1"/>
      <c r="AA34" s="1"/>
    </row>
    <row r="35">
      <c r="A35" s="1"/>
      <c r="B35" s="14">
        <f t="shared" si="5"/>
        <v>32</v>
      </c>
      <c r="C35" s="15" t="str">
        <f t="shared" si="1"/>
        <v>enero</v>
      </c>
      <c r="D35" s="15">
        <f t="shared" si="2"/>
        <v>1</v>
      </c>
      <c r="E35" s="16" t="str">
        <f t="shared" si="3"/>
        <v>viernes</v>
      </c>
      <c r="F35" s="15">
        <f t="shared" si="4"/>
        <v>2</v>
      </c>
      <c r="G35" s="15" t="s">
        <v>23</v>
      </c>
      <c r="H35" s="3">
        <f>'AFI-F1'!$G$3</f>
        <v>45661</v>
      </c>
      <c r="I35" s="17">
        <f>'AFI-F1'!B36</f>
        <v>46024</v>
      </c>
      <c r="J35" s="18" t="str">
        <f>'AFI-F1'!C36</f>
        <v/>
      </c>
      <c r="K35" s="19" t="str">
        <f>'AFI-F1'!D36</f>
        <v>Ana Paula Pineda</v>
      </c>
      <c r="L35" s="19" t="str">
        <f>'AFI-F1'!E36</f>
        <v/>
      </c>
      <c r="M35" s="18" t="str">
        <f>'AFI-F1'!F36</f>
        <v>SAN ISIDRO</v>
      </c>
      <c r="N35" s="18" t="str">
        <f>'AFI-F1'!G36</f>
        <v/>
      </c>
      <c r="O35" s="18" t="str">
        <f>'AFI-F1'!H36</f>
        <v>X</v>
      </c>
      <c r="P35" s="18" t="str">
        <f>'AFI-F1'!I36</f>
        <v/>
      </c>
      <c r="Q35" s="20">
        <f>'AFI-F1'!J36</f>
        <v>100</v>
      </c>
      <c r="R35" s="20" t="str">
        <f>'AFI-F1'!K36</f>
        <v/>
      </c>
      <c r="S35" s="18" t="str">
        <f>'AFI-F1'!L36</f>
        <v>PAGO</v>
      </c>
      <c r="T35" s="18" t="str">
        <f>'AFI-F1'!M36</f>
        <v>PLIN JL</v>
      </c>
      <c r="U35" s="20">
        <f>'AFI-F1'!N36</f>
        <v>100</v>
      </c>
      <c r="V35" s="20" t="str">
        <f>'AFI-F1'!O36</f>
        <v/>
      </c>
      <c r="W35" s="18" t="str">
        <f>'AFI-F1'!P36</f>
        <v>Yadhira</v>
      </c>
      <c r="X35" s="20">
        <f>'AFI-F1'!Q36</f>
        <v>100</v>
      </c>
      <c r="Y35" s="1"/>
      <c r="Z35" s="1"/>
      <c r="AA35" s="1"/>
    </row>
    <row r="36">
      <c r="A36" s="1"/>
      <c r="B36" s="14">
        <f t="shared" si="5"/>
        <v>33</v>
      </c>
      <c r="C36" s="15" t="str">
        <f t="shared" si="1"/>
        <v>enero</v>
      </c>
      <c r="D36" s="15">
        <f t="shared" si="2"/>
        <v>1</v>
      </c>
      <c r="E36" s="16" t="str">
        <f t="shared" si="3"/>
        <v>viernes</v>
      </c>
      <c r="F36" s="15">
        <f t="shared" si="4"/>
        <v>2</v>
      </c>
      <c r="G36" s="15" t="s">
        <v>23</v>
      </c>
      <c r="H36" s="3">
        <f>'AFI-F1'!$G$3</f>
        <v>45661</v>
      </c>
      <c r="I36" s="17">
        <f>'AFI-F1'!B37</f>
        <v>46024</v>
      </c>
      <c r="J36" s="18">
        <f>'AFI-F1'!C37</f>
        <v>42048172</v>
      </c>
      <c r="K36" s="19" t="str">
        <f>'AFI-F1'!D37</f>
        <v>Luis Esteban Ramos Nicoll</v>
      </c>
      <c r="L36" s="19" t="str">
        <f>'AFI-F1'!E37</f>
        <v>luisramosnicoll@gmail.com</v>
      </c>
      <c r="M36" s="18" t="str">
        <f>'AFI-F1'!F37</f>
        <v/>
      </c>
      <c r="N36" s="18" t="str">
        <f>'AFI-F1'!G37</f>
        <v/>
      </c>
      <c r="O36" s="18" t="str">
        <f>'AFI-F1'!H37</f>
        <v>x</v>
      </c>
      <c r="P36" s="18" t="str">
        <f>'AFI-F1'!I37</f>
        <v/>
      </c>
      <c r="Q36" s="20">
        <f>'AFI-F1'!J37</f>
        <v>180</v>
      </c>
      <c r="R36" s="20" t="str">
        <f>'AFI-F1'!K37</f>
        <v/>
      </c>
      <c r="S36" s="18" t="str">
        <f>'AFI-F1'!L37</f>
        <v>PAGO</v>
      </c>
      <c r="T36" s="18" t="str">
        <f>'AFI-F1'!M37</f>
        <v>BCP JL</v>
      </c>
      <c r="U36" s="20">
        <f>'AFI-F1'!N37</f>
        <v>180</v>
      </c>
      <c r="V36" s="20" t="str">
        <f>'AFI-F1'!O37</f>
        <v/>
      </c>
      <c r="W36" s="18" t="str">
        <f>'AFI-F1'!P37</f>
        <v>Katherine</v>
      </c>
      <c r="X36" s="20">
        <f>'AFI-F1'!Q37</f>
        <v>180</v>
      </c>
      <c r="Y36" s="1"/>
      <c r="Z36" s="1"/>
      <c r="AA36" s="1"/>
    </row>
    <row r="37">
      <c r="A37" s="1"/>
      <c r="B37" s="14">
        <f t="shared" si="5"/>
        <v>34</v>
      </c>
      <c r="C37" s="15" t="str">
        <f t="shared" si="1"/>
        <v>enero</v>
      </c>
      <c r="D37" s="15">
        <f t="shared" si="2"/>
        <v>1</v>
      </c>
      <c r="E37" s="16" t="str">
        <f t="shared" si="3"/>
        <v>sábado</v>
      </c>
      <c r="F37" s="15">
        <f t="shared" si="4"/>
        <v>3</v>
      </c>
      <c r="G37" s="15" t="s">
        <v>23</v>
      </c>
      <c r="H37" s="3">
        <f>'AFI-F1'!$G$3</f>
        <v>45661</v>
      </c>
      <c r="I37" s="17">
        <f>'AFI-F1'!B38</f>
        <v>46025</v>
      </c>
      <c r="J37" s="18">
        <f>'AFI-F1'!C38</f>
        <v>32992113</v>
      </c>
      <c r="K37" s="19" t="str">
        <f>'AFI-F1'!D38</f>
        <v>Herbert Ricardo Arroyo Vilchez</v>
      </c>
      <c r="L37" s="19" t="str">
        <f>'AFI-F1'!E38</f>
        <v>hricardoarroyov@gmail.com</v>
      </c>
      <c r="M37" s="18" t="str">
        <f>'AFI-F1'!F38</f>
        <v>VES</v>
      </c>
      <c r="N37" s="18" t="str">
        <f>'AFI-F1'!G38</f>
        <v>976 352 593</v>
      </c>
      <c r="O37" s="18" t="str">
        <f>'AFI-F1'!H38</f>
        <v>X</v>
      </c>
      <c r="P37" s="18" t="str">
        <f>'AFI-F1'!I38</f>
        <v/>
      </c>
      <c r="Q37" s="20">
        <f>'AFI-F1'!J38</f>
        <v>95</v>
      </c>
      <c r="R37" s="20">
        <f>'AFI-F1'!K38</f>
        <v>95</v>
      </c>
      <c r="S37" s="18" t="str">
        <f>'AFI-F1'!L38</f>
        <v>COBR</v>
      </c>
      <c r="T37" s="18" t="str">
        <f>'AFI-F1'!M38</f>
        <v>PLIN JL</v>
      </c>
      <c r="U37" s="20">
        <f>'AFI-F1'!N38</f>
        <v>95</v>
      </c>
      <c r="V37" s="20">
        <f>'AFI-F1'!O38</f>
        <v>95</v>
      </c>
      <c r="W37" s="18" t="str">
        <f>'AFI-F1'!P38</f>
        <v>Yadhira</v>
      </c>
      <c r="X37" s="20">
        <f>'AFI-F1'!Q38</f>
        <v>190</v>
      </c>
      <c r="Y37" s="1"/>
      <c r="Z37" s="1"/>
      <c r="AA37" s="1"/>
    </row>
    <row r="38">
      <c r="A38" s="1"/>
      <c r="B38" s="14">
        <f t="shared" si="5"/>
        <v>35</v>
      </c>
      <c r="C38" s="15" t="str">
        <f t="shared" si="1"/>
        <v>enero</v>
      </c>
      <c r="D38" s="15">
        <f t="shared" si="2"/>
        <v>1</v>
      </c>
      <c r="E38" s="16" t="str">
        <f t="shared" si="3"/>
        <v>sábado</v>
      </c>
      <c r="F38" s="15">
        <f t="shared" si="4"/>
        <v>3</v>
      </c>
      <c r="G38" s="15" t="s">
        <v>23</v>
      </c>
      <c r="H38" s="3">
        <f>'AFI-F1'!$G$3</f>
        <v>45661</v>
      </c>
      <c r="I38" s="17">
        <f>'AFI-F1'!B39</f>
        <v>46025</v>
      </c>
      <c r="J38" s="18">
        <f>'AFI-F1'!C39</f>
        <v>16683079</v>
      </c>
      <c r="K38" s="19" t="str">
        <f>'AFI-F1'!D39</f>
        <v>Ruth Goyzueta Valencia </v>
      </c>
      <c r="L38" s="19" t="str">
        <f>'AFI-F1'!E39</f>
        <v>rmgvalencia@hotmail.com</v>
      </c>
      <c r="M38" s="18" t="str">
        <f>'AFI-F1'!F39</f>
        <v>La Molina </v>
      </c>
      <c r="N38" s="18" t="str">
        <f>'AFI-F1'!G39</f>
        <v>965 007 792</v>
      </c>
      <c r="O38" s="18" t="str">
        <f>'AFI-F1'!H39</f>
        <v>x</v>
      </c>
      <c r="P38" s="18" t="str">
        <f>'AFI-F1'!I39</f>
        <v/>
      </c>
      <c r="Q38" s="20">
        <f>'AFI-F1'!J39</f>
        <v>190</v>
      </c>
      <c r="R38" s="20" t="str">
        <f>'AFI-F1'!K39</f>
        <v/>
      </c>
      <c r="S38" s="18" t="str">
        <f>'AFI-F1'!L39</f>
        <v>PAGO</v>
      </c>
      <c r="T38" s="18" t="str">
        <f>'AFI-F1'!M39</f>
        <v>YAPE JL</v>
      </c>
      <c r="U38" s="20">
        <f>'AFI-F1'!N39</f>
        <v>190</v>
      </c>
      <c r="V38" s="20" t="str">
        <f>'AFI-F1'!O39</f>
        <v/>
      </c>
      <c r="W38" s="18" t="str">
        <f>'AFI-F1'!P39</f>
        <v>Sofia</v>
      </c>
      <c r="X38" s="20">
        <f>'AFI-F1'!Q39</f>
        <v>190</v>
      </c>
      <c r="Y38" s="1"/>
      <c r="Z38" s="1"/>
      <c r="AA38" s="1"/>
    </row>
    <row r="39">
      <c r="A39" s="1"/>
      <c r="B39" s="14">
        <f t="shared" si="5"/>
        <v>36</v>
      </c>
      <c r="C39" s="15" t="str">
        <f t="shared" si="1"/>
        <v>enero</v>
      </c>
      <c r="D39" s="15">
        <f t="shared" si="2"/>
        <v>1</v>
      </c>
      <c r="E39" s="16" t="str">
        <f t="shared" si="3"/>
        <v>sábado</v>
      </c>
      <c r="F39" s="15">
        <f t="shared" si="4"/>
        <v>3</v>
      </c>
      <c r="G39" s="15" t="s">
        <v>23</v>
      </c>
      <c r="H39" s="3">
        <f>'AFI-F1'!$G$3</f>
        <v>45661</v>
      </c>
      <c r="I39" s="17">
        <f>'AFI-F1'!B40</f>
        <v>46025</v>
      </c>
      <c r="J39" s="18">
        <f>'AFI-F1'!C40</f>
        <v>10116845</v>
      </c>
      <c r="K39" s="19" t="str">
        <f>'AFI-F1'!D40</f>
        <v>Isabel Cecilia granza toro </v>
      </c>
      <c r="L39" s="19" t="str">
        <f>'AFI-F1'!E40</f>
        <v/>
      </c>
      <c r="M39" s="18" t="str">
        <f>'AFI-F1'!F40</f>
        <v>EL AGUSTINO</v>
      </c>
      <c r="N39" s="18" t="str">
        <f>'AFI-F1'!G40</f>
        <v>951 684 925</v>
      </c>
      <c r="O39" s="18" t="str">
        <f>'AFI-F1'!H40</f>
        <v>X</v>
      </c>
      <c r="P39" s="18" t="str">
        <f>'AFI-F1'!I40</f>
        <v/>
      </c>
      <c r="Q39" s="20">
        <f>'AFI-F1'!J40</f>
        <v>220</v>
      </c>
      <c r="R39" s="20" t="str">
        <f>'AFI-F1'!K40</f>
        <v/>
      </c>
      <c r="S39" s="18" t="str">
        <f>'AFI-F1'!L40</f>
        <v>PAGO</v>
      </c>
      <c r="T39" s="18" t="str">
        <f>'AFI-F1'!M40</f>
        <v>BCP EPP</v>
      </c>
      <c r="U39" s="20">
        <f>'AFI-F1'!N40</f>
        <v>220</v>
      </c>
      <c r="V39" s="20" t="str">
        <f>'AFI-F1'!O40</f>
        <v/>
      </c>
      <c r="W39" s="18" t="str">
        <f>'AFI-F1'!P40</f>
        <v>Yadhira</v>
      </c>
      <c r="X39" s="20">
        <f>'AFI-F1'!Q40</f>
        <v>220</v>
      </c>
      <c r="Y39" s="1"/>
      <c r="Z39" s="1"/>
      <c r="AA39" s="1"/>
    </row>
    <row r="40">
      <c r="A40" s="1"/>
      <c r="B40" s="14">
        <f t="shared" si="5"/>
        <v>37</v>
      </c>
      <c r="C40" s="15" t="str">
        <f t="shared" si="1"/>
        <v>enero</v>
      </c>
      <c r="D40" s="15">
        <f t="shared" si="2"/>
        <v>1</v>
      </c>
      <c r="E40" s="16" t="str">
        <f t="shared" si="3"/>
        <v>sábado</v>
      </c>
      <c r="F40" s="15">
        <f t="shared" si="4"/>
        <v>3</v>
      </c>
      <c r="G40" s="15" t="s">
        <v>23</v>
      </c>
      <c r="H40" s="3">
        <f>'AFI-F1'!$G$3</f>
        <v>45661</v>
      </c>
      <c r="I40" s="17">
        <f>'AFI-F1'!B41</f>
        <v>46025</v>
      </c>
      <c r="J40" s="18" t="str">
        <f>'AFI-F1'!C41</f>
        <v/>
      </c>
      <c r="K40" s="19" t="str">
        <f>'AFI-F1'!D41</f>
        <v>Ana Isabel Tello granza</v>
      </c>
      <c r="L40" s="19" t="str">
        <f>'AFI-F1'!E41</f>
        <v/>
      </c>
      <c r="M40" s="18" t="str">
        <f>'AFI-F1'!F41</f>
        <v>EL AGUSTINO</v>
      </c>
      <c r="N40" s="18" t="str">
        <f>'AFI-F1'!G41</f>
        <v>951 684 925</v>
      </c>
      <c r="O40" s="18" t="str">
        <f>'AFI-F1'!H41</f>
        <v>X</v>
      </c>
      <c r="P40" s="18" t="str">
        <f>'AFI-F1'!I41</f>
        <v/>
      </c>
      <c r="Q40" s="20">
        <f>'AFI-F1'!J41</f>
        <v>220</v>
      </c>
      <c r="R40" s="20" t="str">
        <f>'AFI-F1'!K41</f>
        <v/>
      </c>
      <c r="S40" s="18" t="str">
        <f>'AFI-F1'!L41</f>
        <v>PAGO</v>
      </c>
      <c r="T40" s="18" t="str">
        <f>'AFI-F1'!M41</f>
        <v>BCP EPP</v>
      </c>
      <c r="U40" s="20">
        <f>'AFI-F1'!N41</f>
        <v>220</v>
      </c>
      <c r="V40" s="20" t="str">
        <f>'AFI-F1'!O41</f>
        <v/>
      </c>
      <c r="W40" s="18" t="str">
        <f>'AFI-F1'!P41</f>
        <v>Yadhira</v>
      </c>
      <c r="X40" s="20">
        <f>'AFI-F1'!Q41</f>
        <v>220</v>
      </c>
      <c r="Y40" s="1"/>
      <c r="Z40" s="1"/>
      <c r="AA40" s="1"/>
    </row>
    <row r="41">
      <c r="A41" s="1"/>
      <c r="B41" s="14">
        <f t="shared" si="5"/>
        <v>38</v>
      </c>
      <c r="C41" s="15" t="str">
        <f t="shared" si="1"/>
        <v>diciembre</v>
      </c>
      <c r="D41" s="15">
        <f t="shared" si="2"/>
        <v>53</v>
      </c>
      <c r="E41" s="16" t="str">
        <f t="shared" si="3"/>
        <v>lunes</v>
      </c>
      <c r="F41" s="15">
        <f t="shared" si="4"/>
        <v>28</v>
      </c>
      <c r="G41" s="15" t="s">
        <v>23</v>
      </c>
      <c r="H41" s="3">
        <f>'AFI-F1'!$G$3</f>
        <v>45661</v>
      </c>
      <c r="I41" s="17">
        <f>'AFI-F1'!B42</f>
        <v>46384</v>
      </c>
      <c r="J41" s="18" t="str">
        <f>'AFI-F1'!C42</f>
        <v/>
      </c>
      <c r="K41" s="19" t="str">
        <f>'AFI-F1'!D42</f>
        <v>FRANCIS GARCÍA ARISTA</v>
      </c>
      <c r="L41" s="19" t="str">
        <f>'AFI-F1'!E42</f>
        <v/>
      </c>
      <c r="M41" s="18" t="str">
        <f>'AFI-F1'!F42</f>
        <v/>
      </c>
      <c r="N41" s="18" t="str">
        <f>'AFI-F1'!G42</f>
        <v/>
      </c>
      <c r="O41" s="18" t="str">
        <f>'AFI-F1'!H42</f>
        <v>X</v>
      </c>
      <c r="P41" s="18" t="str">
        <f>'AFI-F1'!I42</f>
        <v/>
      </c>
      <c r="Q41" s="20">
        <f>'AFI-F1'!J42</f>
        <v>190</v>
      </c>
      <c r="R41" s="20" t="str">
        <f>'AFI-F1'!K42</f>
        <v/>
      </c>
      <c r="S41" s="18" t="str">
        <f>'AFI-F1'!L42</f>
        <v>PAGO</v>
      </c>
      <c r="T41" s="18" t="str">
        <f>'AFI-F1'!M42</f>
        <v>PLIN JL</v>
      </c>
      <c r="U41" s="20">
        <f>'AFI-F1'!N42</f>
        <v>190</v>
      </c>
      <c r="V41" s="20" t="str">
        <f>'AFI-F1'!O42</f>
        <v/>
      </c>
      <c r="W41" s="18" t="str">
        <f>'AFI-F1'!P42</f>
        <v>Katherine</v>
      </c>
      <c r="X41" s="20">
        <f>'AFI-F1'!Q42</f>
        <v>190</v>
      </c>
      <c r="Y41" s="1"/>
      <c r="Z41" s="1"/>
      <c r="AA41" s="1"/>
    </row>
    <row r="42">
      <c r="A42" s="1"/>
      <c r="B42" s="14">
        <f t="shared" si="5"/>
        <v>39</v>
      </c>
      <c r="C42" s="15" t="str">
        <f t="shared" si="1"/>
        <v>enero</v>
      </c>
      <c r="D42" s="15">
        <f t="shared" si="2"/>
        <v>2</v>
      </c>
      <c r="E42" s="16" t="str">
        <f t="shared" si="3"/>
        <v>sábado</v>
      </c>
      <c r="F42" s="15">
        <f t="shared" si="4"/>
        <v>10</v>
      </c>
      <c r="G42" s="15" t="s">
        <v>23</v>
      </c>
      <c r="H42" s="3">
        <f>'AFI-F1'!$G$3</f>
        <v>45661</v>
      </c>
      <c r="I42" s="17">
        <f>'AFI-F1'!B43</f>
        <v>46032</v>
      </c>
      <c r="J42" s="18" t="str">
        <f>'AFI-F1'!C43</f>
        <v/>
      </c>
      <c r="K42" s="19" t="str">
        <f>'AFI-F1'!D43</f>
        <v>ROLANDO</v>
      </c>
      <c r="L42" s="19" t="str">
        <f>'AFI-F1'!E43</f>
        <v/>
      </c>
      <c r="M42" s="18" t="str">
        <f>'AFI-F1'!F43</f>
        <v/>
      </c>
      <c r="N42" s="18" t="str">
        <f>'AFI-F1'!G43</f>
        <v/>
      </c>
      <c r="O42" s="18" t="str">
        <f>'AFI-F1'!H43</f>
        <v>X</v>
      </c>
      <c r="P42" s="18" t="str">
        <f>'AFI-F1'!I43</f>
        <v/>
      </c>
      <c r="Q42" s="20">
        <f>'AFI-F1'!J43</f>
        <v>0</v>
      </c>
      <c r="R42" s="20" t="str">
        <f>'AFI-F1'!K43</f>
        <v/>
      </c>
      <c r="S42" s="18" t="str">
        <f>'AFI-F1'!L43</f>
        <v>PAGO</v>
      </c>
      <c r="T42" s="18" t="str">
        <f>'AFI-F1'!M43</f>
        <v/>
      </c>
      <c r="U42" s="20">
        <f>'AFI-F1'!N43</f>
        <v>0</v>
      </c>
      <c r="V42" s="20" t="str">
        <f>'AFI-F1'!O43</f>
        <v/>
      </c>
      <c r="W42" s="18" t="str">
        <f>'AFI-F1'!P43</f>
        <v>Greici</v>
      </c>
      <c r="X42" s="20">
        <f>'AFI-F1'!Q43</f>
        <v>0</v>
      </c>
      <c r="Y42" s="1"/>
      <c r="Z42" s="1"/>
      <c r="AA42" s="1"/>
    </row>
    <row r="43">
      <c r="A43" s="1"/>
      <c r="B43" s="14">
        <f t="shared" si="5"/>
        <v>40</v>
      </c>
      <c r="C43" s="15" t="str">
        <f t="shared" si="1"/>
        <v>diciembre</v>
      </c>
      <c r="D43" s="15">
        <f t="shared" si="2"/>
        <v>52</v>
      </c>
      <c r="E43" s="16" t="str">
        <f t="shared" si="3"/>
        <v>sábado</v>
      </c>
      <c r="F43" s="15">
        <f t="shared" si="4"/>
        <v>30</v>
      </c>
      <c r="G43" s="15" t="s">
        <v>23</v>
      </c>
      <c r="H43" s="3">
        <f>'AFI-F1'!$G$3</f>
        <v>45661</v>
      </c>
      <c r="I43" s="17" t="str">
        <f>'AFI-F1'!B44</f>
        <v/>
      </c>
      <c r="J43" s="18" t="str">
        <f>'AFI-F1'!C44</f>
        <v/>
      </c>
      <c r="K43" s="19" t="str">
        <f>'AFI-F1'!D44</f>
        <v/>
      </c>
      <c r="L43" s="19" t="str">
        <f>'AFI-F1'!E44</f>
        <v/>
      </c>
      <c r="M43" s="18" t="str">
        <f>'AFI-F1'!F44</f>
        <v/>
      </c>
      <c r="N43" s="18" t="str">
        <f>'AFI-F1'!G44</f>
        <v/>
      </c>
      <c r="O43" s="18" t="str">
        <f>'AFI-F1'!H44</f>
        <v/>
      </c>
      <c r="P43" s="18" t="str">
        <f>'AFI-F1'!I44</f>
        <v/>
      </c>
      <c r="Q43" s="20" t="str">
        <f>'AFI-F1'!J44</f>
        <v/>
      </c>
      <c r="R43" s="20" t="str">
        <f>'AFI-F1'!K44</f>
        <v/>
      </c>
      <c r="S43" s="18" t="str">
        <f>'AFI-F1'!L44</f>
        <v/>
      </c>
      <c r="T43" s="18" t="str">
        <f>'AFI-F1'!M44</f>
        <v/>
      </c>
      <c r="U43" s="20" t="str">
        <f>'AFI-F1'!N44</f>
        <v/>
      </c>
      <c r="V43" s="20" t="str">
        <f>'AFI-F1'!O44</f>
        <v/>
      </c>
      <c r="W43" s="18" t="str">
        <f>'AFI-F1'!P44</f>
        <v/>
      </c>
      <c r="X43" s="20">
        <f>'AFI-F1'!Q44</f>
        <v>0</v>
      </c>
      <c r="Y43" s="1"/>
      <c r="Z43" s="1"/>
      <c r="AA43" s="1"/>
    </row>
    <row r="44">
      <c r="A44" s="1"/>
      <c r="B44" s="14">
        <f t="shared" si="5"/>
        <v>41</v>
      </c>
      <c r="C44" s="15" t="str">
        <f t="shared" si="1"/>
        <v>diciembre</v>
      </c>
      <c r="D44" s="15">
        <f t="shared" si="2"/>
        <v>52</v>
      </c>
      <c r="E44" s="16" t="str">
        <f t="shared" si="3"/>
        <v>sábado</v>
      </c>
      <c r="F44" s="15">
        <f t="shared" si="4"/>
        <v>30</v>
      </c>
      <c r="G44" s="15" t="s">
        <v>23</v>
      </c>
      <c r="H44" s="3">
        <f>'AFI-F1'!$G$3</f>
        <v>45661</v>
      </c>
      <c r="I44" s="17" t="str">
        <f>'AFI-F1'!B45</f>
        <v/>
      </c>
      <c r="J44" s="18" t="str">
        <f>'AFI-F1'!C45</f>
        <v/>
      </c>
      <c r="K44" s="19" t="str">
        <f>'AFI-F1'!D45</f>
        <v/>
      </c>
      <c r="L44" s="19" t="str">
        <f>'AFI-F1'!E45</f>
        <v/>
      </c>
      <c r="M44" s="18" t="str">
        <f>'AFI-F1'!F45</f>
        <v/>
      </c>
      <c r="N44" s="18" t="str">
        <f>'AFI-F1'!G45</f>
        <v/>
      </c>
      <c r="O44" s="18" t="str">
        <f>'AFI-F1'!H45</f>
        <v/>
      </c>
      <c r="P44" s="18" t="str">
        <f>'AFI-F1'!I45</f>
        <v/>
      </c>
      <c r="Q44" s="20" t="str">
        <f>'AFI-F1'!J45</f>
        <v/>
      </c>
      <c r="R44" s="20" t="str">
        <f>'AFI-F1'!K45</f>
        <v/>
      </c>
      <c r="S44" s="18" t="str">
        <f>'AFI-F1'!L45</f>
        <v/>
      </c>
      <c r="T44" s="18" t="str">
        <f>'AFI-F1'!M45</f>
        <v/>
      </c>
      <c r="U44" s="20" t="str">
        <f>'AFI-F1'!N45</f>
        <v/>
      </c>
      <c r="V44" s="20" t="str">
        <f>'AFI-F1'!O45</f>
        <v/>
      </c>
      <c r="W44" s="18" t="str">
        <f>'AFI-F1'!P45</f>
        <v/>
      </c>
      <c r="X44" s="20">
        <f>'AFI-F1'!Q45</f>
        <v>0</v>
      </c>
      <c r="Y44" s="1"/>
      <c r="Z44" s="1"/>
      <c r="AA44" s="1"/>
    </row>
    <row r="45">
      <c r="A45" s="1"/>
      <c r="B45" s="14">
        <f t="shared" si="5"/>
        <v>42</v>
      </c>
      <c r="C45" s="15" t="str">
        <f t="shared" si="1"/>
        <v>diciembre</v>
      </c>
      <c r="D45" s="15">
        <f t="shared" si="2"/>
        <v>52</v>
      </c>
      <c r="E45" s="16" t="str">
        <f t="shared" si="3"/>
        <v>sábado</v>
      </c>
      <c r="F45" s="15">
        <f t="shared" si="4"/>
        <v>30</v>
      </c>
      <c r="G45" s="15" t="s">
        <v>23</v>
      </c>
      <c r="H45" s="3">
        <f>'AFI-F1'!$G$3</f>
        <v>45661</v>
      </c>
      <c r="I45" s="17" t="str">
        <f>'AFI-F1'!B46</f>
        <v/>
      </c>
      <c r="J45" s="18" t="str">
        <f>'AFI-F1'!C46</f>
        <v/>
      </c>
      <c r="K45" s="19" t="str">
        <f>'AFI-F1'!D46</f>
        <v/>
      </c>
      <c r="L45" s="19" t="str">
        <f>'AFI-F1'!E46</f>
        <v/>
      </c>
      <c r="M45" s="18" t="str">
        <f>'AFI-F1'!F46</f>
        <v/>
      </c>
      <c r="N45" s="18" t="str">
        <f>'AFI-F1'!G46</f>
        <v/>
      </c>
      <c r="O45" s="18" t="str">
        <f>'AFI-F1'!H46</f>
        <v/>
      </c>
      <c r="P45" s="18" t="str">
        <f>'AFI-F1'!I46</f>
        <v/>
      </c>
      <c r="Q45" s="20" t="str">
        <f>'AFI-F1'!J46</f>
        <v/>
      </c>
      <c r="R45" s="20" t="str">
        <f>'AFI-F1'!K46</f>
        <v/>
      </c>
      <c r="S45" s="18" t="str">
        <f>'AFI-F1'!L46</f>
        <v/>
      </c>
      <c r="T45" s="18" t="str">
        <f>'AFI-F1'!M46</f>
        <v/>
      </c>
      <c r="U45" s="20" t="str">
        <f>'AFI-F1'!N46</f>
        <v/>
      </c>
      <c r="V45" s="20" t="str">
        <f>'AFI-F1'!O46</f>
        <v/>
      </c>
      <c r="W45" s="18" t="str">
        <f>'AFI-F1'!P46</f>
        <v/>
      </c>
      <c r="X45" s="20">
        <f>'AFI-F1'!Q46</f>
        <v>0</v>
      </c>
      <c r="Y45" s="1"/>
      <c r="Z45" s="1"/>
      <c r="AA45" s="1"/>
    </row>
    <row r="46">
      <c r="A46" s="1"/>
      <c r="B46" s="14">
        <f t="shared" si="5"/>
        <v>43</v>
      </c>
      <c r="C46" s="15" t="str">
        <f t="shared" si="1"/>
        <v>diciembre</v>
      </c>
      <c r="D46" s="15">
        <f t="shared" si="2"/>
        <v>52</v>
      </c>
      <c r="E46" s="16" t="str">
        <f t="shared" si="3"/>
        <v>sábado</v>
      </c>
      <c r="F46" s="15">
        <f t="shared" si="4"/>
        <v>30</v>
      </c>
      <c r="G46" s="15" t="s">
        <v>23</v>
      </c>
      <c r="H46" s="3">
        <f>'AFI-F1'!$G$3</f>
        <v>45661</v>
      </c>
      <c r="I46" s="17" t="str">
        <f>'AFI-F1'!B47</f>
        <v/>
      </c>
      <c r="J46" s="18" t="str">
        <f>'AFI-F1'!C47</f>
        <v/>
      </c>
      <c r="K46" s="19" t="str">
        <f>'AFI-F1'!D47</f>
        <v/>
      </c>
      <c r="L46" s="19" t="str">
        <f>'AFI-F1'!E47</f>
        <v/>
      </c>
      <c r="M46" s="18" t="str">
        <f>'AFI-F1'!F47</f>
        <v/>
      </c>
      <c r="N46" s="18" t="str">
        <f>'AFI-F1'!G47</f>
        <v/>
      </c>
      <c r="O46" s="18" t="str">
        <f>'AFI-F1'!H47</f>
        <v/>
      </c>
      <c r="P46" s="18" t="str">
        <f>'AFI-F1'!I47</f>
        <v/>
      </c>
      <c r="Q46" s="20" t="str">
        <f>'AFI-F1'!J47</f>
        <v/>
      </c>
      <c r="R46" s="20" t="str">
        <f>'AFI-F1'!K47</f>
        <v/>
      </c>
      <c r="S46" s="18" t="str">
        <f>'AFI-F1'!L47</f>
        <v/>
      </c>
      <c r="T46" s="18" t="str">
        <f>'AFI-F1'!M47</f>
        <v/>
      </c>
      <c r="U46" s="20" t="str">
        <f>'AFI-F1'!N47</f>
        <v/>
      </c>
      <c r="V46" s="20" t="str">
        <f>'AFI-F1'!O47</f>
        <v/>
      </c>
      <c r="W46" s="18" t="str">
        <f>'AFI-F1'!P47</f>
        <v/>
      </c>
      <c r="X46" s="20">
        <f>'AFI-F1'!Q47</f>
        <v>0</v>
      </c>
      <c r="Y46" s="1"/>
      <c r="Z46" s="1"/>
      <c r="AA46" s="1"/>
    </row>
    <row r="47">
      <c r="A47" s="1"/>
      <c r="B47" s="14">
        <f t="shared" si="5"/>
        <v>44</v>
      </c>
      <c r="C47" s="15" t="str">
        <f t="shared" si="1"/>
        <v>diciembre</v>
      </c>
      <c r="D47" s="15">
        <f t="shared" si="2"/>
        <v>52</v>
      </c>
      <c r="E47" s="16" t="str">
        <f t="shared" si="3"/>
        <v>sábado</v>
      </c>
      <c r="F47" s="15">
        <f t="shared" si="4"/>
        <v>30</v>
      </c>
      <c r="G47" s="15" t="s">
        <v>23</v>
      </c>
      <c r="H47" s="3">
        <f>'AFI-F1'!$G$3</f>
        <v>45661</v>
      </c>
      <c r="I47" s="17" t="str">
        <f>'AFI-F1'!B48</f>
        <v/>
      </c>
      <c r="J47" s="18" t="str">
        <f>'AFI-F1'!C48</f>
        <v/>
      </c>
      <c r="K47" s="19" t="str">
        <f>'AFI-F1'!D48</f>
        <v/>
      </c>
      <c r="L47" s="19" t="str">
        <f>'AFI-F1'!E48</f>
        <v/>
      </c>
      <c r="M47" s="18" t="str">
        <f>'AFI-F1'!F48</f>
        <v/>
      </c>
      <c r="N47" s="18" t="str">
        <f>'AFI-F1'!G48</f>
        <v/>
      </c>
      <c r="O47" s="18" t="str">
        <f>'AFI-F1'!H48</f>
        <v/>
      </c>
      <c r="P47" s="18" t="str">
        <f>'AFI-F1'!I48</f>
        <v/>
      </c>
      <c r="Q47" s="20" t="str">
        <f>'AFI-F1'!J48</f>
        <v/>
      </c>
      <c r="R47" s="20" t="str">
        <f>'AFI-F1'!K48</f>
        <v/>
      </c>
      <c r="S47" s="18" t="str">
        <f>'AFI-F1'!L48</f>
        <v/>
      </c>
      <c r="T47" s="18" t="str">
        <f>'AFI-F1'!M48</f>
        <v/>
      </c>
      <c r="U47" s="20" t="str">
        <f>'AFI-F1'!N48</f>
        <v/>
      </c>
      <c r="V47" s="20" t="str">
        <f>'AFI-F1'!O48</f>
        <v/>
      </c>
      <c r="W47" s="18" t="str">
        <f>'AFI-F1'!P48</f>
        <v/>
      </c>
      <c r="X47" s="20">
        <f>'AFI-F1'!Q48</f>
        <v>0</v>
      </c>
      <c r="Y47" s="1"/>
      <c r="Z47" s="1"/>
      <c r="AA47" s="1"/>
    </row>
    <row r="48">
      <c r="A48" s="1"/>
      <c r="B48" s="14">
        <f t="shared" si="5"/>
        <v>45</v>
      </c>
      <c r="C48" s="15" t="str">
        <f t="shared" si="1"/>
        <v>diciembre</v>
      </c>
      <c r="D48" s="15">
        <f t="shared" si="2"/>
        <v>52</v>
      </c>
      <c r="E48" s="16" t="str">
        <f t="shared" si="3"/>
        <v>sábado</v>
      </c>
      <c r="F48" s="15">
        <f t="shared" si="4"/>
        <v>30</v>
      </c>
      <c r="G48" s="15" t="s">
        <v>23</v>
      </c>
      <c r="H48" s="3">
        <f>'AFI-F1'!$G$3</f>
        <v>45661</v>
      </c>
      <c r="I48" s="17" t="str">
        <f>'AFI-F1'!B49</f>
        <v/>
      </c>
      <c r="J48" s="18" t="str">
        <f>'AFI-F1'!C49</f>
        <v/>
      </c>
      <c r="K48" s="19" t="str">
        <f>'AFI-F1'!D49</f>
        <v/>
      </c>
      <c r="L48" s="19" t="str">
        <f>'AFI-F1'!E49</f>
        <v/>
      </c>
      <c r="M48" s="18" t="str">
        <f>'AFI-F1'!F49</f>
        <v/>
      </c>
      <c r="N48" s="18" t="str">
        <f>'AFI-F1'!G49</f>
        <v/>
      </c>
      <c r="O48" s="18" t="str">
        <f>'AFI-F1'!H49</f>
        <v/>
      </c>
      <c r="P48" s="18" t="str">
        <f>'AFI-F1'!I49</f>
        <v/>
      </c>
      <c r="Q48" s="20" t="str">
        <f>'AFI-F1'!J49</f>
        <v/>
      </c>
      <c r="R48" s="20" t="str">
        <f>'AFI-F1'!K49</f>
        <v/>
      </c>
      <c r="S48" s="18" t="str">
        <f>'AFI-F1'!L49</f>
        <v/>
      </c>
      <c r="T48" s="18" t="str">
        <f>'AFI-F1'!M49</f>
        <v/>
      </c>
      <c r="U48" s="20" t="str">
        <f>'AFI-F1'!N49</f>
        <v/>
      </c>
      <c r="V48" s="20" t="str">
        <f>'AFI-F1'!O49</f>
        <v/>
      </c>
      <c r="W48" s="18" t="str">
        <f>'AFI-F1'!P49</f>
        <v/>
      </c>
      <c r="X48" s="20">
        <f>'AFI-F1'!Q49</f>
        <v>0</v>
      </c>
      <c r="Y48" s="1"/>
      <c r="Z48" s="1"/>
      <c r="AA48" s="1"/>
    </row>
    <row r="49">
      <c r="A49" s="1"/>
      <c r="B49" s="14">
        <f t="shared" si="5"/>
        <v>46</v>
      </c>
      <c r="C49" s="15" t="str">
        <f t="shared" si="1"/>
        <v>diciembre</v>
      </c>
      <c r="D49" s="15">
        <f t="shared" si="2"/>
        <v>52</v>
      </c>
      <c r="E49" s="16" t="str">
        <f t="shared" si="3"/>
        <v>sábado</v>
      </c>
      <c r="F49" s="15">
        <f t="shared" si="4"/>
        <v>30</v>
      </c>
      <c r="G49" s="15" t="s">
        <v>23</v>
      </c>
      <c r="H49" s="3">
        <f>'AFI-F1'!$G$3</f>
        <v>45661</v>
      </c>
      <c r="I49" s="17" t="str">
        <f>'AFI-F1'!B50</f>
        <v/>
      </c>
      <c r="J49" s="18" t="str">
        <f>'AFI-F1'!C50</f>
        <v/>
      </c>
      <c r="K49" s="19" t="str">
        <f>'AFI-F1'!D50</f>
        <v/>
      </c>
      <c r="L49" s="19" t="str">
        <f>'AFI-F1'!E50</f>
        <v/>
      </c>
      <c r="M49" s="18" t="str">
        <f>'AFI-F1'!F50</f>
        <v/>
      </c>
      <c r="N49" s="18" t="str">
        <f>'AFI-F1'!G50</f>
        <v/>
      </c>
      <c r="O49" s="18" t="str">
        <f>'AFI-F1'!H50</f>
        <v/>
      </c>
      <c r="P49" s="18" t="str">
        <f>'AFI-F1'!I50</f>
        <v/>
      </c>
      <c r="Q49" s="20" t="str">
        <f>'AFI-F1'!J50</f>
        <v/>
      </c>
      <c r="R49" s="20" t="str">
        <f>'AFI-F1'!K50</f>
        <v/>
      </c>
      <c r="S49" s="18" t="str">
        <f>'AFI-F1'!L50</f>
        <v/>
      </c>
      <c r="T49" s="18" t="str">
        <f>'AFI-F1'!M50</f>
        <v/>
      </c>
      <c r="U49" s="20" t="str">
        <f>'AFI-F1'!N50</f>
        <v/>
      </c>
      <c r="V49" s="20" t="str">
        <f>'AFI-F1'!O50</f>
        <v/>
      </c>
      <c r="W49" s="18" t="str">
        <f>'AFI-F1'!P50</f>
        <v/>
      </c>
      <c r="X49" s="20">
        <f>'AFI-F1'!Q50</f>
        <v>0</v>
      </c>
      <c r="Y49" s="1"/>
      <c r="Z49" s="1"/>
      <c r="AA49" s="1"/>
    </row>
    <row r="50">
      <c r="A50" s="1"/>
      <c r="B50" s="14">
        <f t="shared" si="5"/>
        <v>47</v>
      </c>
      <c r="C50" s="15" t="str">
        <f t="shared" si="1"/>
        <v>diciembre</v>
      </c>
      <c r="D50" s="15">
        <f t="shared" si="2"/>
        <v>52</v>
      </c>
      <c r="E50" s="16" t="str">
        <f t="shared" si="3"/>
        <v>sábado</v>
      </c>
      <c r="F50" s="15">
        <f t="shared" si="4"/>
        <v>30</v>
      </c>
      <c r="G50" s="15" t="s">
        <v>23</v>
      </c>
      <c r="H50" s="3">
        <f>'AFI-F1'!$G$3</f>
        <v>45661</v>
      </c>
      <c r="I50" s="17" t="str">
        <f>'AFI-F1'!B51</f>
        <v/>
      </c>
      <c r="J50" s="18" t="str">
        <f>'AFI-F1'!C51</f>
        <v/>
      </c>
      <c r="K50" s="19" t="str">
        <f>'AFI-F1'!D51</f>
        <v/>
      </c>
      <c r="L50" s="19" t="str">
        <f>'AFI-F1'!E51</f>
        <v/>
      </c>
      <c r="M50" s="18" t="str">
        <f>'AFI-F1'!F51</f>
        <v/>
      </c>
      <c r="N50" s="18" t="str">
        <f>'AFI-F1'!G51</f>
        <v/>
      </c>
      <c r="O50" s="18" t="str">
        <f>'AFI-F1'!H51</f>
        <v/>
      </c>
      <c r="P50" s="18" t="str">
        <f>'AFI-F1'!I51</f>
        <v/>
      </c>
      <c r="Q50" s="20" t="str">
        <f>'AFI-F1'!J51</f>
        <v/>
      </c>
      <c r="R50" s="20" t="str">
        <f>'AFI-F1'!K51</f>
        <v/>
      </c>
      <c r="S50" s="18" t="str">
        <f>'AFI-F1'!L51</f>
        <v/>
      </c>
      <c r="T50" s="18" t="str">
        <f>'AFI-F1'!M51</f>
        <v/>
      </c>
      <c r="U50" s="20" t="str">
        <f>'AFI-F1'!N51</f>
        <v/>
      </c>
      <c r="V50" s="20" t="str">
        <f>'AFI-F1'!O51</f>
        <v/>
      </c>
      <c r="W50" s="18" t="str">
        <f>'AFI-F1'!P51</f>
        <v/>
      </c>
      <c r="X50" s="20">
        <f>'AFI-F1'!Q51</f>
        <v>0</v>
      </c>
      <c r="Y50" s="1"/>
      <c r="Z50" s="1"/>
      <c r="AA50" s="1"/>
    </row>
    <row r="51">
      <c r="A51" s="1"/>
      <c r="B51" s="14">
        <f t="shared" si="5"/>
        <v>48</v>
      </c>
      <c r="C51" s="15" t="str">
        <f t="shared" si="1"/>
        <v>diciembre</v>
      </c>
      <c r="D51" s="15">
        <f t="shared" si="2"/>
        <v>52</v>
      </c>
      <c r="E51" s="16" t="str">
        <f t="shared" si="3"/>
        <v>sábado</v>
      </c>
      <c r="F51" s="15">
        <f t="shared" si="4"/>
        <v>30</v>
      </c>
      <c r="G51" s="15" t="s">
        <v>23</v>
      </c>
      <c r="H51" s="3">
        <f>'AFI-F1'!$G$3</f>
        <v>45661</v>
      </c>
      <c r="I51" s="17" t="str">
        <f>'AFI-F1'!B52</f>
        <v/>
      </c>
      <c r="J51" s="18" t="str">
        <f>'AFI-F1'!C52</f>
        <v/>
      </c>
      <c r="K51" s="19" t="str">
        <f>'AFI-F1'!D52</f>
        <v/>
      </c>
      <c r="L51" s="19" t="str">
        <f>'AFI-F1'!E52</f>
        <v/>
      </c>
      <c r="M51" s="18" t="str">
        <f>'AFI-F1'!F52</f>
        <v/>
      </c>
      <c r="N51" s="18" t="str">
        <f>'AFI-F1'!G52</f>
        <v/>
      </c>
      <c r="O51" s="18" t="str">
        <f>'AFI-F1'!H52</f>
        <v/>
      </c>
      <c r="P51" s="18" t="str">
        <f>'AFI-F1'!I52</f>
        <v/>
      </c>
      <c r="Q51" s="20" t="str">
        <f>'AFI-F1'!J52</f>
        <v/>
      </c>
      <c r="R51" s="20" t="str">
        <f>'AFI-F1'!K52</f>
        <v/>
      </c>
      <c r="S51" s="18" t="str">
        <f>'AFI-F1'!L52</f>
        <v/>
      </c>
      <c r="T51" s="18" t="str">
        <f>'AFI-F1'!M52</f>
        <v/>
      </c>
      <c r="U51" s="20" t="str">
        <f>'AFI-F1'!N52</f>
        <v/>
      </c>
      <c r="V51" s="20" t="str">
        <f>'AFI-F1'!O52</f>
        <v/>
      </c>
      <c r="W51" s="18" t="str">
        <f>'AFI-F1'!P52</f>
        <v/>
      </c>
      <c r="X51" s="20">
        <f>'AFI-F1'!Q52</f>
        <v>0</v>
      </c>
      <c r="Y51" s="1"/>
      <c r="Z51" s="1"/>
      <c r="AA51" s="1"/>
    </row>
    <row r="52">
      <c r="A52" s="1"/>
      <c r="B52" s="14">
        <f t="shared" si="5"/>
        <v>49</v>
      </c>
      <c r="C52" s="15" t="str">
        <f t="shared" si="1"/>
        <v>diciembre</v>
      </c>
      <c r="D52" s="15">
        <f t="shared" si="2"/>
        <v>52</v>
      </c>
      <c r="E52" s="16" t="str">
        <f t="shared" si="3"/>
        <v>sábado</v>
      </c>
      <c r="F52" s="15">
        <f t="shared" si="4"/>
        <v>30</v>
      </c>
      <c r="G52" s="15" t="s">
        <v>23</v>
      </c>
      <c r="H52" s="3">
        <f>'AFI-F1'!$G$3</f>
        <v>45661</v>
      </c>
      <c r="I52" s="17" t="str">
        <f>'AFI-F1'!B53</f>
        <v/>
      </c>
      <c r="J52" s="18" t="str">
        <f>'AFI-F1'!C53</f>
        <v/>
      </c>
      <c r="K52" s="19" t="str">
        <f>'AFI-F1'!D53</f>
        <v/>
      </c>
      <c r="L52" s="19" t="str">
        <f>'AFI-F1'!E53</f>
        <v/>
      </c>
      <c r="M52" s="18" t="str">
        <f>'AFI-F1'!F53</f>
        <v/>
      </c>
      <c r="N52" s="18" t="str">
        <f>'AFI-F1'!G53</f>
        <v/>
      </c>
      <c r="O52" s="18" t="str">
        <f>'AFI-F1'!H53</f>
        <v/>
      </c>
      <c r="P52" s="18" t="str">
        <f>'AFI-F1'!I53</f>
        <v/>
      </c>
      <c r="Q52" s="20" t="str">
        <f>'AFI-F1'!J53</f>
        <v/>
      </c>
      <c r="R52" s="20" t="str">
        <f>'AFI-F1'!K53</f>
        <v/>
      </c>
      <c r="S52" s="18" t="str">
        <f>'AFI-F1'!L53</f>
        <v/>
      </c>
      <c r="T52" s="18" t="str">
        <f>'AFI-F1'!M53</f>
        <v/>
      </c>
      <c r="U52" s="20" t="str">
        <f>'AFI-F1'!N53</f>
        <v/>
      </c>
      <c r="V52" s="20" t="str">
        <f>'AFI-F1'!O53</f>
        <v/>
      </c>
      <c r="W52" s="18" t="str">
        <f>'AFI-F1'!P53</f>
        <v/>
      </c>
      <c r="X52" s="20">
        <f>'AFI-F1'!Q53</f>
        <v>0</v>
      </c>
      <c r="Y52" s="1"/>
      <c r="Z52" s="1"/>
      <c r="AA52" s="1"/>
    </row>
    <row r="53">
      <c r="A53" s="1"/>
      <c r="B53" s="14">
        <f t="shared" si="5"/>
        <v>50</v>
      </c>
      <c r="C53" s="15" t="str">
        <f t="shared" si="1"/>
        <v>diciembre</v>
      </c>
      <c r="D53" s="15">
        <f t="shared" si="2"/>
        <v>52</v>
      </c>
      <c r="E53" s="16" t="str">
        <f t="shared" si="3"/>
        <v>sábado</v>
      </c>
      <c r="F53" s="15">
        <f t="shared" si="4"/>
        <v>30</v>
      </c>
      <c r="G53" s="15" t="s">
        <v>23</v>
      </c>
      <c r="H53" s="3">
        <f>'AFI-F1'!$G$3</f>
        <v>45661</v>
      </c>
      <c r="I53" s="17" t="str">
        <f>'AFI-F1'!B54</f>
        <v/>
      </c>
      <c r="J53" s="18" t="str">
        <f>'AFI-F1'!C54</f>
        <v/>
      </c>
      <c r="K53" s="19" t="str">
        <f>'AFI-F1'!D54</f>
        <v/>
      </c>
      <c r="L53" s="19" t="str">
        <f>'AFI-F1'!E54</f>
        <v/>
      </c>
      <c r="M53" s="18" t="str">
        <f>'AFI-F1'!F54</f>
        <v/>
      </c>
      <c r="N53" s="18" t="str">
        <f>'AFI-F1'!G54</f>
        <v/>
      </c>
      <c r="O53" s="18" t="str">
        <f>'AFI-F1'!H54</f>
        <v/>
      </c>
      <c r="P53" s="18" t="str">
        <f>'AFI-F1'!I54</f>
        <v/>
      </c>
      <c r="Q53" s="20" t="str">
        <f>'AFI-F1'!J54</f>
        <v/>
      </c>
      <c r="R53" s="20" t="str">
        <f>'AFI-F1'!K54</f>
        <v/>
      </c>
      <c r="S53" s="18" t="str">
        <f>'AFI-F1'!L54</f>
        <v/>
      </c>
      <c r="T53" s="18" t="str">
        <f>'AFI-F1'!M54</f>
        <v/>
      </c>
      <c r="U53" s="20" t="str">
        <f>'AFI-F1'!N54</f>
        <v/>
      </c>
      <c r="V53" s="20" t="str">
        <f>'AFI-F1'!O54</f>
        <v/>
      </c>
      <c r="W53" s="18" t="str">
        <f>'AFI-F1'!P54</f>
        <v/>
      </c>
      <c r="X53" s="20">
        <f>'AFI-F1'!Q54</f>
        <v>0</v>
      </c>
      <c r="Y53" s="1"/>
      <c r="Z53" s="1"/>
      <c r="AA53" s="1"/>
    </row>
    <row r="54">
      <c r="A54" s="1"/>
      <c r="B54" s="14">
        <f t="shared" si="5"/>
        <v>51</v>
      </c>
      <c r="C54" s="15" t="str">
        <f t="shared" si="1"/>
        <v>diciembre</v>
      </c>
      <c r="D54" s="15">
        <f t="shared" si="2"/>
        <v>52</v>
      </c>
      <c r="E54" s="16" t="str">
        <f t="shared" si="3"/>
        <v>sábado</v>
      </c>
      <c r="F54" s="15">
        <f t="shared" si="4"/>
        <v>30</v>
      </c>
      <c r="G54" s="15" t="s">
        <v>23</v>
      </c>
      <c r="H54" s="3">
        <f>'AFI-F1'!$G$3</f>
        <v>45661</v>
      </c>
      <c r="I54" s="17" t="str">
        <f>'AFI-F1'!B55</f>
        <v/>
      </c>
      <c r="J54" s="18" t="str">
        <f>'AFI-F1'!C55</f>
        <v/>
      </c>
      <c r="K54" s="19" t="str">
        <f>'AFI-F1'!D55</f>
        <v/>
      </c>
      <c r="L54" s="19" t="str">
        <f>'AFI-F1'!E55</f>
        <v/>
      </c>
      <c r="M54" s="18" t="str">
        <f>'AFI-F1'!F55</f>
        <v/>
      </c>
      <c r="N54" s="18" t="str">
        <f>'AFI-F1'!G55</f>
        <v/>
      </c>
      <c r="O54" s="18" t="str">
        <f>'AFI-F1'!H55</f>
        <v/>
      </c>
      <c r="P54" s="18" t="str">
        <f>'AFI-F1'!I55</f>
        <v/>
      </c>
      <c r="Q54" s="20" t="str">
        <f>'AFI-F1'!J55</f>
        <v/>
      </c>
      <c r="R54" s="20" t="str">
        <f>'AFI-F1'!K55</f>
        <v/>
      </c>
      <c r="S54" s="18" t="str">
        <f>'AFI-F1'!L55</f>
        <v/>
      </c>
      <c r="T54" s="18" t="str">
        <f>'AFI-F1'!M55</f>
        <v/>
      </c>
      <c r="U54" s="20" t="str">
        <f>'AFI-F1'!N55</f>
        <v/>
      </c>
      <c r="V54" s="20" t="str">
        <f>'AFI-F1'!O55</f>
        <v/>
      </c>
      <c r="W54" s="18" t="str">
        <f>'AFI-F1'!P55</f>
        <v/>
      </c>
      <c r="X54" s="20">
        <f>'AFI-F1'!Q55</f>
        <v>0</v>
      </c>
      <c r="Y54" s="1"/>
      <c r="Z54" s="1"/>
      <c r="AA54" s="1"/>
    </row>
    <row r="55">
      <c r="A55" s="1"/>
      <c r="B55" s="14">
        <f t="shared" si="5"/>
        <v>52</v>
      </c>
      <c r="C55" s="15" t="str">
        <f t="shared" si="1"/>
        <v>diciembre</v>
      </c>
      <c r="D55" s="15">
        <f t="shared" si="2"/>
        <v>52</v>
      </c>
      <c r="E55" s="16" t="str">
        <f t="shared" si="3"/>
        <v>sábado</v>
      </c>
      <c r="F55" s="15">
        <f t="shared" si="4"/>
        <v>30</v>
      </c>
      <c r="G55" s="15" t="s">
        <v>23</v>
      </c>
      <c r="H55" s="3">
        <f>'AFI-F1'!$G$3</f>
        <v>45661</v>
      </c>
      <c r="I55" s="17" t="str">
        <f>'AFI-F1'!B56</f>
        <v/>
      </c>
      <c r="J55" s="18" t="str">
        <f>'AFI-F1'!C56</f>
        <v/>
      </c>
      <c r="K55" s="19" t="str">
        <f>'AFI-F1'!D56</f>
        <v/>
      </c>
      <c r="L55" s="19" t="str">
        <f>'AFI-F1'!E56</f>
        <v/>
      </c>
      <c r="M55" s="18" t="str">
        <f>'AFI-F1'!F56</f>
        <v/>
      </c>
      <c r="N55" s="18" t="str">
        <f>'AFI-F1'!G56</f>
        <v/>
      </c>
      <c r="O55" s="18" t="str">
        <f>'AFI-F1'!H56</f>
        <v/>
      </c>
      <c r="P55" s="18" t="str">
        <f>'AFI-F1'!I56</f>
        <v/>
      </c>
      <c r="Q55" s="20" t="str">
        <f>'AFI-F1'!J56</f>
        <v/>
      </c>
      <c r="R55" s="20" t="str">
        <f>'AFI-F1'!K56</f>
        <v/>
      </c>
      <c r="S55" s="18" t="str">
        <f>'AFI-F1'!L56</f>
        <v/>
      </c>
      <c r="T55" s="18" t="str">
        <f>'AFI-F1'!M56</f>
        <v/>
      </c>
      <c r="U55" s="20" t="str">
        <f>'AFI-F1'!N56</f>
        <v/>
      </c>
      <c r="V55" s="20" t="str">
        <f>'AFI-F1'!O56</f>
        <v/>
      </c>
      <c r="W55" s="18" t="str">
        <f>'AFI-F1'!P56</f>
        <v/>
      </c>
      <c r="X55" s="20">
        <f>'AFI-F1'!Q56</f>
        <v>0</v>
      </c>
      <c r="Y55" s="1"/>
      <c r="Z55" s="1"/>
      <c r="AA55" s="1"/>
    </row>
    <row r="56">
      <c r="A56" s="1"/>
      <c r="B56" s="14">
        <f t="shared" si="5"/>
        <v>53</v>
      </c>
      <c r="C56" s="15" t="str">
        <f t="shared" si="1"/>
        <v>diciembre</v>
      </c>
      <c r="D56" s="15">
        <f t="shared" si="2"/>
        <v>52</v>
      </c>
      <c r="E56" s="16" t="str">
        <f t="shared" si="3"/>
        <v>sábado</v>
      </c>
      <c r="F56" s="15">
        <f t="shared" si="4"/>
        <v>30</v>
      </c>
      <c r="G56" s="15" t="s">
        <v>23</v>
      </c>
      <c r="H56" s="3">
        <f>'AFI-F1'!$G$3</f>
        <v>45661</v>
      </c>
      <c r="I56" s="17" t="str">
        <f>'AFI-F1'!B57</f>
        <v/>
      </c>
      <c r="J56" s="18" t="str">
        <f>'AFI-F1'!C57</f>
        <v/>
      </c>
      <c r="K56" s="19" t="str">
        <f>'AFI-F1'!D57</f>
        <v/>
      </c>
      <c r="L56" s="19" t="str">
        <f>'AFI-F1'!E57</f>
        <v/>
      </c>
      <c r="M56" s="18" t="str">
        <f>'AFI-F1'!F57</f>
        <v/>
      </c>
      <c r="N56" s="18" t="str">
        <f>'AFI-F1'!G57</f>
        <v/>
      </c>
      <c r="O56" s="18" t="str">
        <f>'AFI-F1'!H57</f>
        <v/>
      </c>
      <c r="P56" s="18" t="str">
        <f>'AFI-F1'!I57</f>
        <v/>
      </c>
      <c r="Q56" s="20" t="str">
        <f>'AFI-F1'!J57</f>
        <v/>
      </c>
      <c r="R56" s="20" t="str">
        <f>'AFI-F1'!K57</f>
        <v/>
      </c>
      <c r="S56" s="18" t="str">
        <f>'AFI-F1'!L57</f>
        <v/>
      </c>
      <c r="T56" s="18" t="str">
        <f>'AFI-F1'!M57</f>
        <v/>
      </c>
      <c r="U56" s="20" t="str">
        <f>'AFI-F1'!N57</f>
        <v/>
      </c>
      <c r="V56" s="20" t="str">
        <f>'AFI-F1'!O57</f>
        <v/>
      </c>
      <c r="W56" s="18" t="str">
        <f>'AFI-F1'!P57</f>
        <v/>
      </c>
      <c r="X56" s="20">
        <f>'AFI-F1'!Q57</f>
        <v>0</v>
      </c>
      <c r="Y56" s="1"/>
      <c r="Z56" s="1"/>
      <c r="AA56" s="1"/>
    </row>
    <row r="57">
      <c r="A57" s="1"/>
      <c r="B57" s="14">
        <f t="shared" si="5"/>
        <v>54</v>
      </c>
      <c r="C57" s="15" t="str">
        <f t="shared" si="1"/>
        <v>diciembre</v>
      </c>
      <c r="D57" s="15">
        <f t="shared" si="2"/>
        <v>52</v>
      </c>
      <c r="E57" s="16" t="str">
        <f t="shared" si="3"/>
        <v>sábado</v>
      </c>
      <c r="F57" s="15">
        <f t="shared" si="4"/>
        <v>30</v>
      </c>
      <c r="G57" s="15" t="s">
        <v>23</v>
      </c>
      <c r="H57" s="3">
        <f>'AFI-F1'!$G$3</f>
        <v>45661</v>
      </c>
      <c r="I57" s="17" t="str">
        <f>'AFI-F1'!B58</f>
        <v/>
      </c>
      <c r="J57" s="18" t="str">
        <f>'AFI-F1'!C58</f>
        <v/>
      </c>
      <c r="K57" s="19" t="str">
        <f>'AFI-F1'!D58</f>
        <v/>
      </c>
      <c r="L57" s="19" t="str">
        <f>'AFI-F1'!E58</f>
        <v/>
      </c>
      <c r="M57" s="18" t="str">
        <f>'AFI-F1'!F58</f>
        <v/>
      </c>
      <c r="N57" s="18" t="str">
        <f>'AFI-F1'!G58</f>
        <v/>
      </c>
      <c r="O57" s="18" t="str">
        <f>'AFI-F1'!H58</f>
        <v/>
      </c>
      <c r="P57" s="18" t="str">
        <f>'AFI-F1'!I58</f>
        <v/>
      </c>
      <c r="Q57" s="20" t="str">
        <f>'AFI-F1'!J58</f>
        <v/>
      </c>
      <c r="R57" s="20" t="str">
        <f>'AFI-F1'!K58</f>
        <v/>
      </c>
      <c r="S57" s="18" t="str">
        <f>'AFI-F1'!L58</f>
        <v/>
      </c>
      <c r="T57" s="18" t="str">
        <f>'AFI-F1'!M58</f>
        <v/>
      </c>
      <c r="U57" s="20" t="str">
        <f>'AFI-F1'!N58</f>
        <v/>
      </c>
      <c r="V57" s="20" t="str">
        <f>'AFI-F1'!O58</f>
        <v/>
      </c>
      <c r="W57" s="18" t="str">
        <f>'AFI-F1'!P58</f>
        <v/>
      </c>
      <c r="X57" s="20">
        <f>'AFI-F1'!Q58</f>
        <v>0</v>
      </c>
      <c r="Y57" s="1"/>
      <c r="Z57" s="1"/>
      <c r="AA57" s="1"/>
    </row>
    <row r="58">
      <c r="A58" s="1"/>
      <c r="B58" s="14">
        <f t="shared" si="5"/>
        <v>55</v>
      </c>
      <c r="C58" s="15" t="str">
        <f t="shared" si="1"/>
        <v>diciembre</v>
      </c>
      <c r="D58" s="15">
        <f t="shared" si="2"/>
        <v>52</v>
      </c>
      <c r="E58" s="16" t="str">
        <f t="shared" si="3"/>
        <v>sábado</v>
      </c>
      <c r="F58" s="15">
        <f t="shared" si="4"/>
        <v>30</v>
      </c>
      <c r="G58" s="15" t="s">
        <v>23</v>
      </c>
      <c r="H58" s="3">
        <f>'AFI-F1'!$G$3</f>
        <v>45661</v>
      </c>
      <c r="I58" s="17" t="str">
        <f>'AFI-F1'!B59</f>
        <v/>
      </c>
      <c r="J58" s="18" t="str">
        <f>'AFI-F1'!C59</f>
        <v/>
      </c>
      <c r="K58" s="19" t="str">
        <f>'AFI-F1'!D59</f>
        <v/>
      </c>
      <c r="L58" s="19" t="str">
        <f>'AFI-F1'!E59</f>
        <v/>
      </c>
      <c r="M58" s="18" t="str">
        <f>'AFI-F1'!F59</f>
        <v/>
      </c>
      <c r="N58" s="18" t="str">
        <f>'AFI-F1'!G59</f>
        <v/>
      </c>
      <c r="O58" s="18" t="str">
        <f>'AFI-F1'!H59</f>
        <v/>
      </c>
      <c r="P58" s="18" t="str">
        <f>'AFI-F1'!I59</f>
        <v/>
      </c>
      <c r="Q58" s="20" t="str">
        <f>'AFI-F1'!J59</f>
        <v/>
      </c>
      <c r="R58" s="20" t="str">
        <f>'AFI-F1'!K59</f>
        <v/>
      </c>
      <c r="S58" s="18" t="str">
        <f>'AFI-F1'!L59</f>
        <v/>
      </c>
      <c r="T58" s="18" t="str">
        <f>'AFI-F1'!M59</f>
        <v/>
      </c>
      <c r="U58" s="20" t="str">
        <f>'AFI-F1'!N59</f>
        <v/>
      </c>
      <c r="V58" s="20" t="str">
        <f>'AFI-F1'!O59</f>
        <v/>
      </c>
      <c r="W58" s="18" t="str">
        <f>'AFI-F1'!P59</f>
        <v/>
      </c>
      <c r="X58" s="20">
        <f>'AFI-F1'!Q59</f>
        <v>0</v>
      </c>
      <c r="Y58" s="1"/>
      <c r="Z58" s="1"/>
      <c r="AA58" s="1"/>
    </row>
    <row r="59">
      <c r="A59" s="1"/>
      <c r="B59" s="14">
        <f t="shared" si="5"/>
        <v>56</v>
      </c>
      <c r="C59" s="15" t="str">
        <f t="shared" si="1"/>
        <v>diciembre</v>
      </c>
      <c r="D59" s="15">
        <f t="shared" si="2"/>
        <v>52</v>
      </c>
      <c r="E59" s="16" t="str">
        <f t="shared" si="3"/>
        <v>sábado</v>
      </c>
      <c r="F59" s="15">
        <f t="shared" si="4"/>
        <v>30</v>
      </c>
      <c r="G59" s="15" t="s">
        <v>23</v>
      </c>
      <c r="H59" s="3">
        <f>'AFI-F1'!$G$3</f>
        <v>45661</v>
      </c>
      <c r="I59" s="17" t="str">
        <f>'AFI-F1'!B60</f>
        <v/>
      </c>
      <c r="J59" s="18" t="str">
        <f>'AFI-F1'!C60</f>
        <v/>
      </c>
      <c r="K59" s="19" t="str">
        <f>'AFI-F1'!D60</f>
        <v/>
      </c>
      <c r="L59" s="19" t="str">
        <f>'AFI-F1'!E60</f>
        <v/>
      </c>
      <c r="M59" s="18" t="str">
        <f>'AFI-F1'!F60</f>
        <v/>
      </c>
      <c r="N59" s="18" t="str">
        <f>'AFI-F1'!G60</f>
        <v/>
      </c>
      <c r="O59" s="18" t="str">
        <f>'AFI-F1'!H60</f>
        <v/>
      </c>
      <c r="P59" s="18" t="str">
        <f>'AFI-F1'!I60</f>
        <v/>
      </c>
      <c r="Q59" s="20" t="str">
        <f>'AFI-F1'!J60</f>
        <v/>
      </c>
      <c r="R59" s="20" t="str">
        <f>'AFI-F1'!K60</f>
        <v/>
      </c>
      <c r="S59" s="18" t="str">
        <f>'AFI-F1'!L60</f>
        <v/>
      </c>
      <c r="T59" s="18" t="str">
        <f>'AFI-F1'!M60</f>
        <v/>
      </c>
      <c r="U59" s="20" t="str">
        <f>'AFI-F1'!N60</f>
        <v/>
      </c>
      <c r="V59" s="20" t="str">
        <f>'AFI-F1'!O60</f>
        <v/>
      </c>
      <c r="W59" s="18" t="str">
        <f>'AFI-F1'!P60</f>
        <v/>
      </c>
      <c r="X59" s="20">
        <f>'AFI-F1'!Q60</f>
        <v>0</v>
      </c>
      <c r="Y59" s="1"/>
      <c r="Z59" s="1"/>
      <c r="AA59" s="1"/>
    </row>
    <row r="60">
      <c r="A60" s="1"/>
      <c r="B60" s="14">
        <f t="shared" si="5"/>
        <v>57</v>
      </c>
      <c r="C60" s="15" t="str">
        <f t="shared" si="1"/>
        <v>diciembre</v>
      </c>
      <c r="D60" s="15">
        <f t="shared" si="2"/>
        <v>52</v>
      </c>
      <c r="E60" s="16" t="str">
        <f t="shared" si="3"/>
        <v>sábado</v>
      </c>
      <c r="F60" s="15">
        <f t="shared" si="4"/>
        <v>30</v>
      </c>
      <c r="G60" s="15" t="s">
        <v>23</v>
      </c>
      <c r="H60" s="3">
        <f>'AFI-F1'!$G$3</f>
        <v>45661</v>
      </c>
      <c r="I60" s="17" t="str">
        <f>'AFI-F1'!B61</f>
        <v/>
      </c>
      <c r="J60" s="18" t="str">
        <f>'AFI-F1'!C61</f>
        <v/>
      </c>
      <c r="K60" s="19" t="str">
        <f>'AFI-F1'!D61</f>
        <v/>
      </c>
      <c r="L60" s="19" t="str">
        <f>'AFI-F1'!E61</f>
        <v/>
      </c>
      <c r="M60" s="18" t="str">
        <f>'AFI-F1'!F61</f>
        <v/>
      </c>
      <c r="N60" s="18" t="str">
        <f>'AFI-F1'!G61</f>
        <v/>
      </c>
      <c r="O60" s="18" t="str">
        <f>'AFI-F1'!H61</f>
        <v/>
      </c>
      <c r="P60" s="18" t="str">
        <f>'AFI-F1'!I61</f>
        <v/>
      </c>
      <c r="Q60" s="20" t="str">
        <f>'AFI-F1'!J61</f>
        <v/>
      </c>
      <c r="R60" s="20" t="str">
        <f>'AFI-F1'!K61</f>
        <v/>
      </c>
      <c r="S60" s="18" t="str">
        <f>'AFI-F1'!L61</f>
        <v/>
      </c>
      <c r="T60" s="18" t="str">
        <f>'AFI-F1'!M61</f>
        <v/>
      </c>
      <c r="U60" s="20" t="str">
        <f>'AFI-F1'!N61</f>
        <v/>
      </c>
      <c r="V60" s="20" t="str">
        <f>'AFI-F1'!O61</f>
        <v/>
      </c>
      <c r="W60" s="18" t="str">
        <f>'AFI-F1'!P61</f>
        <v/>
      </c>
      <c r="X60" s="20">
        <f>'AFI-F1'!Q61</f>
        <v>0</v>
      </c>
      <c r="Y60" s="1"/>
      <c r="Z60" s="1"/>
      <c r="AA60" s="1"/>
    </row>
    <row r="61">
      <c r="A61" s="1"/>
      <c r="B61" s="14">
        <f t="shared" si="5"/>
        <v>58</v>
      </c>
      <c r="C61" s="15" t="str">
        <f t="shared" si="1"/>
        <v>diciembre</v>
      </c>
      <c r="D61" s="15">
        <f t="shared" si="2"/>
        <v>52</v>
      </c>
      <c r="E61" s="16" t="str">
        <f t="shared" si="3"/>
        <v>sábado</v>
      </c>
      <c r="F61" s="15">
        <f t="shared" si="4"/>
        <v>30</v>
      </c>
      <c r="G61" s="15" t="s">
        <v>23</v>
      </c>
      <c r="H61" s="3">
        <f>'AFI-F1'!$G$3</f>
        <v>45661</v>
      </c>
      <c r="I61" s="17" t="str">
        <f>'AFI-F1'!B62</f>
        <v/>
      </c>
      <c r="J61" s="18" t="str">
        <f>'AFI-F1'!C62</f>
        <v/>
      </c>
      <c r="K61" s="19" t="str">
        <f>'AFI-F1'!D62</f>
        <v/>
      </c>
      <c r="L61" s="19" t="str">
        <f>'AFI-F1'!E62</f>
        <v/>
      </c>
      <c r="M61" s="18" t="str">
        <f>'AFI-F1'!F62</f>
        <v/>
      </c>
      <c r="N61" s="18" t="str">
        <f>'AFI-F1'!G62</f>
        <v/>
      </c>
      <c r="O61" s="18" t="str">
        <f>'AFI-F1'!H62</f>
        <v/>
      </c>
      <c r="P61" s="18" t="str">
        <f>'AFI-F1'!I62</f>
        <v/>
      </c>
      <c r="Q61" s="20" t="str">
        <f>'AFI-F1'!J62</f>
        <v/>
      </c>
      <c r="R61" s="20" t="str">
        <f>'AFI-F1'!K62</f>
        <v/>
      </c>
      <c r="S61" s="18" t="str">
        <f>'AFI-F1'!L62</f>
        <v/>
      </c>
      <c r="T61" s="18" t="str">
        <f>'AFI-F1'!M62</f>
        <v/>
      </c>
      <c r="U61" s="20" t="str">
        <f>'AFI-F1'!N62</f>
        <v/>
      </c>
      <c r="V61" s="20" t="str">
        <f>'AFI-F1'!O62</f>
        <v/>
      </c>
      <c r="W61" s="18" t="str">
        <f>'AFI-F1'!P62</f>
        <v/>
      </c>
      <c r="X61" s="20">
        <f>'AFI-F1'!Q62</f>
        <v>0</v>
      </c>
      <c r="Y61" s="1"/>
      <c r="Z61" s="1"/>
      <c r="AA61" s="1"/>
    </row>
    <row r="62">
      <c r="A62" s="1"/>
      <c r="B62" s="14">
        <f t="shared" si="5"/>
        <v>59</v>
      </c>
      <c r="C62" s="15" t="str">
        <f t="shared" si="1"/>
        <v>diciembre</v>
      </c>
      <c r="D62" s="15">
        <f t="shared" si="2"/>
        <v>52</v>
      </c>
      <c r="E62" s="16" t="str">
        <f t="shared" si="3"/>
        <v>sábado</v>
      </c>
      <c r="F62" s="15">
        <f t="shared" si="4"/>
        <v>30</v>
      </c>
      <c r="G62" s="15" t="s">
        <v>23</v>
      </c>
      <c r="H62" s="3">
        <f>'AFI-F1'!$G$3</f>
        <v>45661</v>
      </c>
      <c r="I62" s="17" t="str">
        <f>'AFI-F1'!B63</f>
        <v/>
      </c>
      <c r="J62" s="18" t="str">
        <f>'AFI-F1'!C63</f>
        <v/>
      </c>
      <c r="K62" s="19" t="str">
        <f>'AFI-F1'!D63</f>
        <v/>
      </c>
      <c r="L62" s="19" t="str">
        <f>'AFI-F1'!E63</f>
        <v/>
      </c>
      <c r="M62" s="18" t="str">
        <f>'AFI-F1'!F63</f>
        <v/>
      </c>
      <c r="N62" s="18" t="str">
        <f>'AFI-F1'!G63</f>
        <v/>
      </c>
      <c r="O62" s="18" t="str">
        <f>'AFI-F1'!H63</f>
        <v/>
      </c>
      <c r="P62" s="18" t="str">
        <f>'AFI-F1'!I63</f>
        <v/>
      </c>
      <c r="Q62" s="20" t="str">
        <f>'AFI-F1'!J63</f>
        <v/>
      </c>
      <c r="R62" s="20" t="str">
        <f>'AFI-F1'!K63</f>
        <v/>
      </c>
      <c r="S62" s="18" t="str">
        <f>'AFI-F1'!L63</f>
        <v/>
      </c>
      <c r="T62" s="18" t="str">
        <f>'AFI-F1'!M63</f>
        <v/>
      </c>
      <c r="U62" s="20" t="str">
        <f>'AFI-F1'!N63</f>
        <v/>
      </c>
      <c r="V62" s="20" t="str">
        <f>'AFI-F1'!O63</f>
        <v/>
      </c>
      <c r="W62" s="18" t="str">
        <f>'AFI-F1'!P63</f>
        <v/>
      </c>
      <c r="X62" s="20">
        <f>'AFI-F1'!Q63</f>
        <v>0</v>
      </c>
      <c r="Y62" s="1"/>
      <c r="Z62" s="1"/>
      <c r="AA62" s="1"/>
    </row>
    <row r="63">
      <c r="A63" s="1"/>
      <c r="B63" s="14">
        <f t="shared" si="5"/>
        <v>60</v>
      </c>
      <c r="C63" s="15" t="str">
        <f t="shared" si="1"/>
        <v>diciembre</v>
      </c>
      <c r="D63" s="15">
        <f t="shared" si="2"/>
        <v>52</v>
      </c>
      <c r="E63" s="16" t="str">
        <f t="shared" si="3"/>
        <v>sábado</v>
      </c>
      <c r="F63" s="15">
        <f t="shared" si="4"/>
        <v>30</v>
      </c>
      <c r="G63" s="15" t="s">
        <v>23</v>
      </c>
      <c r="H63" s="3">
        <f>'AFI-F1'!$G$3</f>
        <v>45661</v>
      </c>
      <c r="I63" s="17" t="str">
        <f>'AFI-F1'!B64</f>
        <v/>
      </c>
      <c r="J63" s="18" t="str">
        <f>'AFI-F1'!C64</f>
        <v/>
      </c>
      <c r="K63" s="19" t="str">
        <f>'AFI-F1'!D64</f>
        <v/>
      </c>
      <c r="L63" s="19" t="str">
        <f>'AFI-F1'!E64</f>
        <v/>
      </c>
      <c r="M63" s="18" t="str">
        <f>'AFI-F1'!F64</f>
        <v/>
      </c>
      <c r="N63" s="18" t="str">
        <f>'AFI-F1'!G64</f>
        <v/>
      </c>
      <c r="O63" s="18" t="str">
        <f>'AFI-F1'!H64</f>
        <v/>
      </c>
      <c r="P63" s="18" t="str">
        <f>'AFI-F1'!I64</f>
        <v/>
      </c>
      <c r="Q63" s="20" t="str">
        <f>'AFI-F1'!J64</f>
        <v/>
      </c>
      <c r="R63" s="20" t="str">
        <f>'AFI-F1'!K64</f>
        <v/>
      </c>
      <c r="S63" s="18" t="str">
        <f>'AFI-F1'!L64</f>
        <v/>
      </c>
      <c r="T63" s="18" t="str">
        <f>'AFI-F1'!M64</f>
        <v/>
      </c>
      <c r="U63" s="20" t="str">
        <f>'AFI-F1'!N64</f>
        <v/>
      </c>
      <c r="V63" s="20" t="str">
        <f>'AFI-F1'!O64</f>
        <v/>
      </c>
      <c r="W63" s="18" t="str">
        <f>'AFI-F1'!P64</f>
        <v/>
      </c>
      <c r="X63" s="20">
        <f>'AFI-F1'!Q64</f>
        <v>0</v>
      </c>
      <c r="Y63" s="1"/>
      <c r="Z63" s="1"/>
      <c r="AA63" s="1"/>
    </row>
    <row r="64">
      <c r="A64" s="1"/>
      <c r="B64" s="14">
        <f t="shared" si="5"/>
        <v>61</v>
      </c>
      <c r="C64" s="15" t="str">
        <f t="shared" si="1"/>
        <v>diciembre</v>
      </c>
      <c r="D64" s="15">
        <f t="shared" si="2"/>
        <v>52</v>
      </c>
      <c r="E64" s="16" t="str">
        <f t="shared" si="3"/>
        <v>sábado</v>
      </c>
      <c r="F64" s="15">
        <f t="shared" si="4"/>
        <v>30</v>
      </c>
      <c r="G64" s="15" t="s">
        <v>23</v>
      </c>
      <c r="H64" s="3">
        <f>'AFI-F1'!$G$3</f>
        <v>45661</v>
      </c>
      <c r="I64" s="17" t="str">
        <f>'AFI-F1'!B65</f>
        <v/>
      </c>
      <c r="J64" s="18" t="str">
        <f>'AFI-F1'!C65</f>
        <v/>
      </c>
      <c r="K64" s="19" t="str">
        <f>'AFI-F1'!D65</f>
        <v/>
      </c>
      <c r="L64" s="19" t="str">
        <f>'AFI-F1'!E65</f>
        <v/>
      </c>
      <c r="M64" s="18" t="str">
        <f>'AFI-F1'!F65</f>
        <v/>
      </c>
      <c r="N64" s="18" t="str">
        <f>'AFI-F1'!G65</f>
        <v/>
      </c>
      <c r="O64" s="18" t="str">
        <f>'AFI-F1'!H65</f>
        <v/>
      </c>
      <c r="P64" s="18" t="str">
        <f>'AFI-F1'!I65</f>
        <v/>
      </c>
      <c r="Q64" s="20" t="str">
        <f>'AFI-F1'!J65</f>
        <v/>
      </c>
      <c r="R64" s="20" t="str">
        <f>'AFI-F1'!K65</f>
        <v/>
      </c>
      <c r="S64" s="18" t="str">
        <f>'AFI-F1'!L65</f>
        <v/>
      </c>
      <c r="T64" s="18" t="str">
        <f>'AFI-F1'!M65</f>
        <v/>
      </c>
      <c r="U64" s="20" t="str">
        <f>'AFI-F1'!N65</f>
        <v/>
      </c>
      <c r="V64" s="20" t="str">
        <f>'AFI-F1'!O65</f>
        <v/>
      </c>
      <c r="W64" s="18" t="str">
        <f>'AFI-F1'!P65</f>
        <v/>
      </c>
      <c r="X64" s="20">
        <f>'AFI-F1'!Q65</f>
        <v>0</v>
      </c>
      <c r="Y64" s="1"/>
      <c r="Z64" s="1"/>
      <c r="AA64" s="1"/>
    </row>
    <row r="65">
      <c r="A65" s="1"/>
      <c r="B65" s="14">
        <f t="shared" si="5"/>
        <v>62</v>
      </c>
      <c r="C65" s="15" t="str">
        <f t="shared" si="1"/>
        <v>diciembre</v>
      </c>
      <c r="D65" s="15">
        <f t="shared" si="2"/>
        <v>52</v>
      </c>
      <c r="E65" s="16" t="str">
        <f t="shared" si="3"/>
        <v>sábado</v>
      </c>
      <c r="F65" s="15">
        <f t="shared" si="4"/>
        <v>30</v>
      </c>
      <c r="G65" s="15" t="s">
        <v>23</v>
      </c>
      <c r="H65" s="3">
        <f>'AFI-F1'!$G$3</f>
        <v>45661</v>
      </c>
      <c r="I65" s="17" t="str">
        <f>'AFI-F1'!B66</f>
        <v/>
      </c>
      <c r="J65" s="18" t="str">
        <f>'AFI-F1'!C66</f>
        <v/>
      </c>
      <c r="K65" s="19" t="str">
        <f>'AFI-F1'!D66</f>
        <v/>
      </c>
      <c r="L65" s="19" t="str">
        <f>'AFI-F1'!E66</f>
        <v/>
      </c>
      <c r="M65" s="18" t="str">
        <f>'AFI-F1'!F66</f>
        <v/>
      </c>
      <c r="N65" s="18" t="str">
        <f>'AFI-F1'!G66</f>
        <v/>
      </c>
      <c r="O65" s="18" t="str">
        <f>'AFI-F1'!H66</f>
        <v/>
      </c>
      <c r="P65" s="18" t="str">
        <f>'AFI-F1'!I66</f>
        <v/>
      </c>
      <c r="Q65" s="20" t="str">
        <f>'AFI-F1'!J66</f>
        <v/>
      </c>
      <c r="R65" s="20" t="str">
        <f>'AFI-F1'!K66</f>
        <v/>
      </c>
      <c r="S65" s="18" t="str">
        <f>'AFI-F1'!L66</f>
        <v/>
      </c>
      <c r="T65" s="18" t="str">
        <f>'AFI-F1'!M66</f>
        <v/>
      </c>
      <c r="U65" s="20" t="str">
        <f>'AFI-F1'!N66</f>
        <v/>
      </c>
      <c r="V65" s="20" t="str">
        <f>'AFI-F1'!O66</f>
        <v/>
      </c>
      <c r="W65" s="18" t="str">
        <f>'AFI-F1'!P66</f>
        <v/>
      </c>
      <c r="X65" s="20">
        <f>'AFI-F1'!Q66</f>
        <v>0</v>
      </c>
      <c r="Y65" s="1"/>
      <c r="Z65" s="1"/>
      <c r="AA65" s="1"/>
    </row>
    <row r="66">
      <c r="A66" s="1"/>
      <c r="B66" s="14">
        <f t="shared" si="5"/>
        <v>63</v>
      </c>
      <c r="C66" s="15" t="str">
        <f t="shared" si="1"/>
        <v>diciembre</v>
      </c>
      <c r="D66" s="15">
        <f t="shared" si="2"/>
        <v>52</v>
      </c>
      <c r="E66" s="16" t="str">
        <f t="shared" si="3"/>
        <v>sábado</v>
      </c>
      <c r="F66" s="15">
        <f t="shared" si="4"/>
        <v>30</v>
      </c>
      <c r="G66" s="15" t="s">
        <v>23</v>
      </c>
      <c r="H66" s="3">
        <f>'AFI-F1'!$G$3</f>
        <v>45661</v>
      </c>
      <c r="I66" s="17" t="str">
        <f>'AFI-F1'!B67</f>
        <v/>
      </c>
      <c r="J66" s="18" t="str">
        <f>'AFI-F1'!C67</f>
        <v/>
      </c>
      <c r="K66" s="19" t="str">
        <f>'AFI-F1'!D67</f>
        <v/>
      </c>
      <c r="L66" s="19" t="str">
        <f>'AFI-F1'!E67</f>
        <v/>
      </c>
      <c r="M66" s="18" t="str">
        <f>'AFI-F1'!F67</f>
        <v/>
      </c>
      <c r="N66" s="18" t="str">
        <f>'AFI-F1'!G67</f>
        <v/>
      </c>
      <c r="O66" s="18" t="str">
        <f>'AFI-F1'!H67</f>
        <v/>
      </c>
      <c r="P66" s="18" t="str">
        <f>'AFI-F1'!I67</f>
        <v/>
      </c>
      <c r="Q66" s="20" t="str">
        <f>'AFI-F1'!J67</f>
        <v/>
      </c>
      <c r="R66" s="20" t="str">
        <f>'AFI-F1'!K67</f>
        <v/>
      </c>
      <c r="S66" s="18" t="str">
        <f>'AFI-F1'!L67</f>
        <v/>
      </c>
      <c r="T66" s="18" t="str">
        <f>'AFI-F1'!M67</f>
        <v/>
      </c>
      <c r="U66" s="20" t="str">
        <f>'AFI-F1'!N67</f>
        <v/>
      </c>
      <c r="V66" s="20" t="str">
        <f>'AFI-F1'!O67</f>
        <v/>
      </c>
      <c r="W66" s="18" t="str">
        <f>'AFI-F1'!P67</f>
        <v/>
      </c>
      <c r="X66" s="20">
        <f>'AFI-F1'!Q67</f>
        <v>0</v>
      </c>
      <c r="Y66" s="1"/>
      <c r="Z66" s="1"/>
      <c r="AA66" s="1"/>
    </row>
    <row r="67">
      <c r="A67" s="1"/>
      <c r="B67" s="14">
        <f t="shared" si="5"/>
        <v>64</v>
      </c>
      <c r="C67" s="15" t="str">
        <f t="shared" si="1"/>
        <v>diciembre</v>
      </c>
      <c r="D67" s="15">
        <f t="shared" si="2"/>
        <v>52</v>
      </c>
      <c r="E67" s="16" t="str">
        <f t="shared" si="3"/>
        <v>sábado</v>
      </c>
      <c r="F67" s="15">
        <f t="shared" si="4"/>
        <v>30</v>
      </c>
      <c r="G67" s="15" t="s">
        <v>23</v>
      </c>
      <c r="H67" s="3">
        <f>'AFI-F1'!$G$3</f>
        <v>45661</v>
      </c>
      <c r="I67" s="17" t="str">
        <f>'AFI-F1'!B68</f>
        <v/>
      </c>
      <c r="J67" s="18" t="str">
        <f>'AFI-F1'!C68</f>
        <v/>
      </c>
      <c r="K67" s="19" t="str">
        <f>'AFI-F1'!D68</f>
        <v/>
      </c>
      <c r="L67" s="19" t="str">
        <f>'AFI-F1'!E68</f>
        <v/>
      </c>
      <c r="M67" s="18" t="str">
        <f>'AFI-F1'!F68</f>
        <v/>
      </c>
      <c r="N67" s="18" t="str">
        <f>'AFI-F1'!G68</f>
        <v/>
      </c>
      <c r="O67" s="18" t="str">
        <f>'AFI-F1'!H68</f>
        <v/>
      </c>
      <c r="P67" s="18" t="str">
        <f>'AFI-F1'!I68</f>
        <v/>
      </c>
      <c r="Q67" s="20" t="str">
        <f>'AFI-F1'!J68</f>
        <v/>
      </c>
      <c r="R67" s="20" t="str">
        <f>'AFI-F1'!K68</f>
        <v/>
      </c>
      <c r="S67" s="18" t="str">
        <f>'AFI-F1'!L68</f>
        <v/>
      </c>
      <c r="T67" s="18" t="str">
        <f>'AFI-F1'!M68</f>
        <v/>
      </c>
      <c r="U67" s="20" t="str">
        <f>'AFI-F1'!N68</f>
        <v/>
      </c>
      <c r="V67" s="20" t="str">
        <f>'AFI-F1'!O68</f>
        <v/>
      </c>
      <c r="W67" s="18" t="str">
        <f>'AFI-F1'!P68</f>
        <v/>
      </c>
      <c r="X67" s="20">
        <f>'AFI-F1'!Q68</f>
        <v>0</v>
      </c>
      <c r="Y67" s="1"/>
      <c r="Z67" s="1"/>
      <c r="AA67" s="1"/>
    </row>
    <row r="68">
      <c r="A68" s="1"/>
      <c r="B68" s="14">
        <f t="shared" si="5"/>
        <v>65</v>
      </c>
      <c r="C68" s="15" t="str">
        <f t="shared" si="1"/>
        <v>diciembre</v>
      </c>
      <c r="D68" s="15">
        <f t="shared" si="2"/>
        <v>52</v>
      </c>
      <c r="E68" s="16" t="str">
        <f t="shared" si="3"/>
        <v>sábado</v>
      </c>
      <c r="F68" s="15">
        <f t="shared" si="4"/>
        <v>30</v>
      </c>
      <c r="G68" s="15" t="s">
        <v>23</v>
      </c>
      <c r="H68" s="3">
        <f>'AFI-F1'!$G$3</f>
        <v>45661</v>
      </c>
      <c r="I68" s="17" t="str">
        <f>'AFI-F1'!B69</f>
        <v/>
      </c>
      <c r="J68" s="18" t="str">
        <f>'AFI-F1'!C69</f>
        <v/>
      </c>
      <c r="K68" s="19" t="str">
        <f>'AFI-F1'!D69</f>
        <v/>
      </c>
      <c r="L68" s="19" t="str">
        <f>'AFI-F1'!E69</f>
        <v/>
      </c>
      <c r="M68" s="18" t="str">
        <f>'AFI-F1'!F69</f>
        <v/>
      </c>
      <c r="N68" s="18" t="str">
        <f>'AFI-F1'!G69</f>
        <v/>
      </c>
      <c r="O68" s="18" t="str">
        <f>'AFI-F1'!H69</f>
        <v/>
      </c>
      <c r="P68" s="18" t="str">
        <f>'AFI-F1'!I69</f>
        <v/>
      </c>
      <c r="Q68" s="20" t="str">
        <f>'AFI-F1'!J69</f>
        <v/>
      </c>
      <c r="R68" s="20" t="str">
        <f>'AFI-F1'!K69</f>
        <v/>
      </c>
      <c r="S68" s="18" t="str">
        <f>'AFI-F1'!L69</f>
        <v/>
      </c>
      <c r="T68" s="18" t="str">
        <f>'AFI-F1'!M69</f>
        <v/>
      </c>
      <c r="U68" s="20" t="str">
        <f>'AFI-F1'!N69</f>
        <v/>
      </c>
      <c r="V68" s="20" t="str">
        <f>'AFI-F1'!O69</f>
        <v/>
      </c>
      <c r="W68" s="18" t="str">
        <f>'AFI-F1'!P69</f>
        <v/>
      </c>
      <c r="X68" s="20">
        <f>'AFI-F1'!Q69</f>
        <v>0</v>
      </c>
      <c r="Y68" s="1"/>
      <c r="Z68" s="1"/>
      <c r="AA68" s="1"/>
    </row>
    <row r="69">
      <c r="A69" s="1"/>
      <c r="B69" s="14">
        <f t="shared" si="5"/>
        <v>66</v>
      </c>
      <c r="C69" s="15" t="str">
        <f t="shared" si="1"/>
        <v>diciembre</v>
      </c>
      <c r="D69" s="15">
        <f t="shared" si="2"/>
        <v>52</v>
      </c>
      <c r="E69" s="16" t="str">
        <f t="shared" si="3"/>
        <v>sábado</v>
      </c>
      <c r="F69" s="15">
        <f t="shared" si="4"/>
        <v>30</v>
      </c>
      <c r="G69" s="15" t="s">
        <v>23</v>
      </c>
      <c r="H69" s="3">
        <f>'AFI-F1'!$G$3</f>
        <v>45661</v>
      </c>
      <c r="I69" s="17" t="str">
        <f>'AFI-F1'!B70</f>
        <v/>
      </c>
      <c r="J69" s="18" t="str">
        <f>'AFI-F1'!C70</f>
        <v/>
      </c>
      <c r="K69" s="19" t="str">
        <f>'AFI-F1'!D70</f>
        <v/>
      </c>
      <c r="L69" s="19" t="str">
        <f>'AFI-F1'!E70</f>
        <v/>
      </c>
      <c r="M69" s="18" t="str">
        <f>'AFI-F1'!F70</f>
        <v/>
      </c>
      <c r="N69" s="18" t="str">
        <f>'AFI-F1'!G70</f>
        <v/>
      </c>
      <c r="O69" s="18" t="str">
        <f>'AFI-F1'!H70</f>
        <v/>
      </c>
      <c r="P69" s="18" t="str">
        <f>'AFI-F1'!I70</f>
        <v/>
      </c>
      <c r="Q69" s="20" t="str">
        <f>'AFI-F1'!J70</f>
        <v/>
      </c>
      <c r="R69" s="20" t="str">
        <f>'AFI-F1'!K70</f>
        <v/>
      </c>
      <c r="S69" s="18" t="str">
        <f>'AFI-F1'!L70</f>
        <v/>
      </c>
      <c r="T69" s="18" t="str">
        <f>'AFI-F1'!M70</f>
        <v/>
      </c>
      <c r="U69" s="20" t="str">
        <f>'AFI-F1'!N70</f>
        <v/>
      </c>
      <c r="V69" s="20" t="str">
        <f>'AFI-F1'!O70</f>
        <v/>
      </c>
      <c r="W69" s="18" t="str">
        <f>'AFI-F1'!P70</f>
        <v/>
      </c>
      <c r="X69" s="20">
        <f>'AFI-F1'!Q70</f>
        <v>0</v>
      </c>
      <c r="Y69" s="1"/>
      <c r="Z69" s="1"/>
      <c r="AA69" s="1"/>
    </row>
    <row r="70">
      <c r="A70" s="1"/>
      <c r="B70" s="14">
        <f t="shared" si="5"/>
        <v>67</v>
      </c>
      <c r="C70" s="15" t="str">
        <f t="shared" si="1"/>
        <v>diciembre</v>
      </c>
      <c r="D70" s="15">
        <f t="shared" si="2"/>
        <v>52</v>
      </c>
      <c r="E70" s="16" t="str">
        <f t="shared" si="3"/>
        <v>sábado</v>
      </c>
      <c r="F70" s="15">
        <f t="shared" si="4"/>
        <v>30</v>
      </c>
      <c r="G70" s="15" t="s">
        <v>23</v>
      </c>
      <c r="H70" s="3">
        <f>'AFI-F1'!$G$3</f>
        <v>45661</v>
      </c>
      <c r="I70" s="17" t="str">
        <f>'AFI-F1'!B71</f>
        <v/>
      </c>
      <c r="J70" s="18" t="str">
        <f>'AFI-F1'!C71</f>
        <v/>
      </c>
      <c r="K70" s="19" t="str">
        <f>'AFI-F1'!D71</f>
        <v/>
      </c>
      <c r="L70" s="19" t="str">
        <f>'AFI-F1'!E71</f>
        <v/>
      </c>
      <c r="M70" s="18" t="str">
        <f>'AFI-F1'!F71</f>
        <v/>
      </c>
      <c r="N70" s="18" t="str">
        <f>'AFI-F1'!G71</f>
        <v/>
      </c>
      <c r="O70" s="18" t="str">
        <f>'AFI-F1'!H71</f>
        <v/>
      </c>
      <c r="P70" s="18" t="str">
        <f>'AFI-F1'!I71</f>
        <v/>
      </c>
      <c r="Q70" s="20" t="str">
        <f>'AFI-F1'!J71</f>
        <v/>
      </c>
      <c r="R70" s="20" t="str">
        <f>'AFI-F1'!K71</f>
        <v/>
      </c>
      <c r="S70" s="18" t="str">
        <f>'AFI-F1'!L71</f>
        <v/>
      </c>
      <c r="T70" s="18" t="str">
        <f>'AFI-F1'!M71</f>
        <v/>
      </c>
      <c r="U70" s="20" t="str">
        <f>'AFI-F1'!N71</f>
        <v/>
      </c>
      <c r="V70" s="20" t="str">
        <f>'AFI-F1'!O71</f>
        <v/>
      </c>
      <c r="W70" s="18" t="str">
        <f>'AFI-F1'!P71</f>
        <v/>
      </c>
      <c r="X70" s="20">
        <f>'AFI-F1'!Q71</f>
        <v>0</v>
      </c>
      <c r="Y70" s="1"/>
      <c r="Z70" s="1"/>
      <c r="AA70" s="1"/>
    </row>
    <row r="71">
      <c r="A71" s="1"/>
      <c r="B71" s="14">
        <f t="shared" si="5"/>
        <v>68</v>
      </c>
      <c r="C71" s="15" t="str">
        <f t="shared" si="1"/>
        <v>diciembre</v>
      </c>
      <c r="D71" s="15">
        <f t="shared" si="2"/>
        <v>52</v>
      </c>
      <c r="E71" s="16" t="str">
        <f t="shared" si="3"/>
        <v>sábado</v>
      </c>
      <c r="F71" s="15">
        <f t="shared" si="4"/>
        <v>30</v>
      </c>
      <c r="G71" s="15" t="s">
        <v>23</v>
      </c>
      <c r="H71" s="3">
        <f>'AFI-F1'!$G$3</f>
        <v>45661</v>
      </c>
      <c r="I71" s="17" t="str">
        <f>'AFI-F1'!B72</f>
        <v/>
      </c>
      <c r="J71" s="18" t="str">
        <f>'AFI-F1'!C72</f>
        <v/>
      </c>
      <c r="K71" s="19" t="str">
        <f>'AFI-F1'!D72</f>
        <v/>
      </c>
      <c r="L71" s="19" t="str">
        <f>'AFI-F1'!E72</f>
        <v/>
      </c>
      <c r="M71" s="18" t="str">
        <f>'AFI-F1'!F72</f>
        <v/>
      </c>
      <c r="N71" s="18" t="str">
        <f>'AFI-F1'!G72</f>
        <v/>
      </c>
      <c r="O71" s="18" t="str">
        <f>'AFI-F1'!H72</f>
        <v/>
      </c>
      <c r="P71" s="18" t="str">
        <f>'AFI-F1'!I72</f>
        <v/>
      </c>
      <c r="Q71" s="20" t="str">
        <f>'AFI-F1'!J72</f>
        <v/>
      </c>
      <c r="R71" s="20" t="str">
        <f>'AFI-F1'!K72</f>
        <v/>
      </c>
      <c r="S71" s="18" t="str">
        <f>'AFI-F1'!L72</f>
        <v/>
      </c>
      <c r="T71" s="18" t="str">
        <f>'AFI-F1'!M72</f>
        <v/>
      </c>
      <c r="U71" s="20" t="str">
        <f>'AFI-F1'!N72</f>
        <v/>
      </c>
      <c r="V71" s="20" t="str">
        <f>'AFI-F1'!O72</f>
        <v/>
      </c>
      <c r="W71" s="18" t="str">
        <f>'AFI-F1'!P72</f>
        <v/>
      </c>
      <c r="X71" s="20">
        <f>'AFI-F1'!Q72</f>
        <v>0</v>
      </c>
      <c r="Y71" s="1"/>
      <c r="Z71" s="1"/>
      <c r="AA71" s="1"/>
    </row>
    <row r="72">
      <c r="A72" s="1"/>
      <c r="B72" s="14">
        <v>1.0</v>
      </c>
      <c r="C72" s="22" t="str">
        <f t="shared" si="1"/>
        <v>diciembre</v>
      </c>
      <c r="D72" s="22">
        <f t="shared" si="2"/>
        <v>49</v>
      </c>
      <c r="E72" s="23" t="str">
        <f t="shared" si="3"/>
        <v>martes</v>
      </c>
      <c r="F72" s="22">
        <f t="shared" si="4"/>
        <v>2</v>
      </c>
      <c r="G72" s="22" t="s">
        <v>23</v>
      </c>
      <c r="H72" s="3">
        <f>'AFI-F2'!$G$3</f>
        <v>45668</v>
      </c>
      <c r="I72" s="24">
        <f>'AFI-F2'!B5</f>
        <v>45993</v>
      </c>
      <c r="J72" s="2">
        <f>'AFI-F2'!C5</f>
        <v>47078798</v>
      </c>
      <c r="K72" s="2" t="str">
        <f>'AFI-F2'!D5</f>
        <v>Anthony Molina Heredia</v>
      </c>
      <c r="L72" s="2" t="str">
        <f>'AFI-F2'!E5</f>
        <v>anthony.molinah@gmail.com</v>
      </c>
      <c r="M72" s="2" t="str">
        <f>'AFI-F2'!F5</f>
        <v>VMT</v>
      </c>
      <c r="N72" s="2" t="str">
        <f>'AFI-F2'!G5</f>
        <v>968 358 245</v>
      </c>
      <c r="O72" s="2" t="str">
        <f>'AFI-F2'!H5</f>
        <v/>
      </c>
      <c r="P72" s="2" t="str">
        <f>'AFI-F2'!I5</f>
        <v>X</v>
      </c>
      <c r="Q72" s="2">
        <f>'AFI-F2'!J5</f>
        <v>220</v>
      </c>
      <c r="R72" s="2" t="str">
        <f>'AFI-F2'!K5</f>
        <v/>
      </c>
      <c r="S72" s="2" t="str">
        <f>'AFI-F2'!L5</f>
        <v>PAGO</v>
      </c>
      <c r="T72" s="2" t="str">
        <f>'AFI-F2'!M5</f>
        <v>YAPE JL</v>
      </c>
      <c r="U72" s="2">
        <f>'AFI-F2'!N5</f>
        <v>220</v>
      </c>
      <c r="V72" s="2" t="str">
        <f>'AFI-F2'!P5</f>
        <v/>
      </c>
      <c r="W72" s="2" t="str">
        <f>'AFI-F2'!Q5</f>
        <v>Yadhira</v>
      </c>
      <c r="X72" s="5">
        <f>'AFI-F2'!R5</f>
        <v>220</v>
      </c>
      <c r="Y72" s="1"/>
      <c r="Z72" s="1"/>
      <c r="AA72" s="1"/>
    </row>
    <row r="73">
      <c r="A73" s="1"/>
      <c r="B73" s="14">
        <f t="shared" ref="B73:B139" si="6">B72+1</f>
        <v>2</v>
      </c>
      <c r="C73" s="22" t="str">
        <f t="shared" si="1"/>
        <v>diciembre</v>
      </c>
      <c r="D73" s="22">
        <f t="shared" si="2"/>
        <v>51</v>
      </c>
      <c r="E73" s="23" t="str">
        <f t="shared" si="3"/>
        <v>miércoles</v>
      </c>
      <c r="F73" s="22">
        <f t="shared" si="4"/>
        <v>17</v>
      </c>
      <c r="G73" s="22" t="s">
        <v>23</v>
      </c>
      <c r="H73" s="3">
        <f>'AFI-F2'!$G$3</f>
        <v>45668</v>
      </c>
      <c r="I73" s="24">
        <f>'AFI-F2'!B6</f>
        <v>46008</v>
      </c>
      <c r="J73" s="2">
        <f>'AFI-F2'!C6</f>
        <v>44681923</v>
      </c>
      <c r="K73" s="2" t="str">
        <f>'AFI-F2'!D6</f>
        <v>Rodrigo Bustamante Moquillaza</v>
      </c>
      <c r="L73" s="2" t="str">
        <f>'AFI-F2'!E6</f>
        <v>Roodj88@gmail.com</v>
      </c>
      <c r="M73" s="2" t="str">
        <f>'AFI-F2'!F6</f>
        <v>SURQUILLO</v>
      </c>
      <c r="N73" s="2" t="str">
        <f>'AFI-F2'!G6</f>
        <v>995 586 556</v>
      </c>
      <c r="O73" s="2" t="str">
        <f>'AFI-F2'!H6</f>
        <v/>
      </c>
      <c r="P73" s="2" t="str">
        <f>'AFI-F2'!I6</f>
        <v>X</v>
      </c>
      <c r="Q73" s="2">
        <f>'AFI-F2'!J6</f>
        <v>200</v>
      </c>
      <c r="R73" s="2">
        <f>'AFI-F2'!K6</f>
        <v>155</v>
      </c>
      <c r="S73" s="2" t="str">
        <f>'AFI-F2'!L6</f>
        <v>COBR</v>
      </c>
      <c r="T73" s="2" t="str">
        <f>'AFI-F2'!M6</f>
        <v>YAPE JL</v>
      </c>
      <c r="U73" s="2">
        <f>'AFI-F2'!N6</f>
        <v>200</v>
      </c>
      <c r="V73" s="2" t="str">
        <f>'AFI-F2'!P6</f>
        <v/>
      </c>
      <c r="W73" s="2" t="str">
        <f>'AFI-F2'!Q6</f>
        <v>Yadhira</v>
      </c>
      <c r="X73" s="5">
        <f>'AFI-F2'!R6</f>
        <v>355</v>
      </c>
      <c r="Y73" s="1"/>
      <c r="Z73" s="1"/>
      <c r="AA73" s="1"/>
    </row>
    <row r="74">
      <c r="A74" s="1"/>
      <c r="B74" s="14">
        <f t="shared" si="6"/>
        <v>3</v>
      </c>
      <c r="C74" s="22" t="str">
        <f t="shared" si="1"/>
        <v>diciembre</v>
      </c>
      <c r="D74" s="22">
        <f t="shared" si="2"/>
        <v>51</v>
      </c>
      <c r="E74" s="23" t="str">
        <f t="shared" si="3"/>
        <v>miércoles</v>
      </c>
      <c r="F74" s="22">
        <f t="shared" si="4"/>
        <v>17</v>
      </c>
      <c r="G74" s="22" t="s">
        <v>23</v>
      </c>
      <c r="H74" s="3">
        <f>'AFI-F2'!$G$3</f>
        <v>45668</v>
      </c>
      <c r="I74" s="24">
        <f>'AFI-F2'!B7</f>
        <v>46008</v>
      </c>
      <c r="J74" s="2" t="str">
        <f>'AFI-F2'!C7</f>
        <v/>
      </c>
      <c r="K74" s="2" t="str">
        <f>'AFI-F2'!D7</f>
        <v>Philip Wenter Bustamante</v>
      </c>
      <c r="L74" s="2" t="str">
        <f>'AFI-F2'!E7</f>
        <v>Roodj88@gmail.com</v>
      </c>
      <c r="M74" s="2" t="str">
        <f>'AFI-F2'!F7</f>
        <v>SURQUILLO</v>
      </c>
      <c r="N74" s="2" t="str">
        <f>'AFI-F2'!G7</f>
        <v>995 586 556</v>
      </c>
      <c r="O74" s="2" t="str">
        <f>'AFI-F2'!H7</f>
        <v/>
      </c>
      <c r="P74" s="2" t="str">
        <f>'AFI-F2'!I7</f>
        <v>X</v>
      </c>
      <c r="Q74" s="2">
        <f>'AFI-F2'!J7</f>
        <v>200</v>
      </c>
      <c r="R74" s="2">
        <f>'AFI-F2'!K7</f>
        <v>155</v>
      </c>
      <c r="S74" s="2" t="str">
        <f>'AFI-F2'!L7</f>
        <v>COBR</v>
      </c>
      <c r="T74" s="2" t="str">
        <f>'AFI-F2'!M7</f>
        <v>YAPE JL</v>
      </c>
      <c r="U74" s="2">
        <f>'AFI-F2'!N7</f>
        <v>200</v>
      </c>
      <c r="V74" s="2" t="str">
        <f>'AFI-F2'!P7</f>
        <v/>
      </c>
      <c r="W74" s="2" t="str">
        <f>'AFI-F2'!Q7</f>
        <v>Yadhira</v>
      </c>
      <c r="X74" s="5">
        <f>'AFI-F2'!R7</f>
        <v>355</v>
      </c>
      <c r="Y74" s="1"/>
      <c r="Z74" s="1"/>
      <c r="AA74" s="1"/>
    </row>
    <row r="75">
      <c r="A75" s="1"/>
      <c r="B75" s="14">
        <f t="shared" si="6"/>
        <v>4</v>
      </c>
      <c r="C75" s="22" t="str">
        <f t="shared" si="1"/>
        <v>diciembre</v>
      </c>
      <c r="D75" s="22">
        <f t="shared" si="2"/>
        <v>51</v>
      </c>
      <c r="E75" s="23" t="str">
        <f t="shared" si="3"/>
        <v>miércoles</v>
      </c>
      <c r="F75" s="22">
        <f t="shared" si="4"/>
        <v>17</v>
      </c>
      <c r="G75" s="22" t="s">
        <v>23</v>
      </c>
      <c r="H75" s="3">
        <f>'AFI-F2'!$G$3</f>
        <v>45668</v>
      </c>
      <c r="I75" s="24">
        <f>'AFI-F2'!B8</f>
        <v>46008</v>
      </c>
      <c r="J75" s="2">
        <f>'AFI-F2'!C8</f>
        <v>72495808</v>
      </c>
      <c r="K75" s="2" t="str">
        <f>'AFI-F2'!D8</f>
        <v>Sebastian Matias Prada Fernandez</v>
      </c>
      <c r="L75" s="2" t="str">
        <f>'AFI-F2'!E8</f>
        <v>Matias_pf_21@hotmail.com</v>
      </c>
      <c r="M75" s="2" t="str">
        <f>'AFI-F2'!F8</f>
        <v>LA VICTORIA</v>
      </c>
      <c r="N75" s="2" t="str">
        <f>'AFI-F2'!G8</f>
        <v>954 532 968</v>
      </c>
      <c r="O75" s="2" t="str">
        <f>'AFI-F2'!H8</f>
        <v>X</v>
      </c>
      <c r="P75" s="2" t="str">
        <f>'AFI-F2'!I8</f>
        <v>X</v>
      </c>
      <c r="Q75" s="2">
        <f>'AFI-F2'!J8</f>
        <v>380</v>
      </c>
      <c r="R75" s="2">
        <f>'AFI-F2'!K8</f>
        <v>190</v>
      </c>
      <c r="S75" s="2" t="str">
        <f>'AFI-F2'!L8</f>
        <v>PAGO</v>
      </c>
      <c r="T75" s="2" t="str">
        <f>'AFI-F2'!M8</f>
        <v>YAPE JL</v>
      </c>
      <c r="U75" s="2">
        <f>'AFI-F2'!N8</f>
        <v>190</v>
      </c>
      <c r="V75" s="2" t="str">
        <f>'AFI-F2'!P8</f>
        <v/>
      </c>
      <c r="W75" s="2" t="str">
        <f>'AFI-F2'!Q8</f>
        <v>Yadhira</v>
      </c>
      <c r="X75" s="5">
        <f>'AFI-F2'!R8</f>
        <v>380</v>
      </c>
      <c r="Y75" s="1"/>
      <c r="Z75" s="1"/>
      <c r="AA75" s="1"/>
    </row>
    <row r="76">
      <c r="A76" s="1"/>
      <c r="B76" s="14">
        <f t="shared" si="6"/>
        <v>5</v>
      </c>
      <c r="C76" s="22" t="str">
        <f t="shared" si="1"/>
        <v>diciembre</v>
      </c>
      <c r="D76" s="22">
        <f t="shared" si="2"/>
        <v>51</v>
      </c>
      <c r="E76" s="23" t="str">
        <f t="shared" si="3"/>
        <v>miércoles</v>
      </c>
      <c r="F76" s="22">
        <f t="shared" si="4"/>
        <v>17</v>
      </c>
      <c r="G76" s="22" t="s">
        <v>23</v>
      </c>
      <c r="H76" s="3">
        <f>'AFI-F2'!$G$3</f>
        <v>45668</v>
      </c>
      <c r="I76" s="24">
        <f>'AFI-F2'!B9</f>
        <v>46008</v>
      </c>
      <c r="J76" s="25" t="str">
        <f>'AFI-F2'!C9</f>
        <v>09594474</v>
      </c>
      <c r="K76" s="2" t="str">
        <f>'AFI-F2'!D9</f>
        <v>Jorge Fernandez Huaman</v>
      </c>
      <c r="L76" s="2" t="str">
        <f>'AFI-F2'!E9</f>
        <v>Matias_pf_21@hotmail.com</v>
      </c>
      <c r="M76" s="2" t="str">
        <f>'AFI-F2'!F9</f>
        <v>LA VICTORIA</v>
      </c>
      <c r="N76" s="2" t="str">
        <f>'AFI-F2'!G9</f>
        <v>954 532 968</v>
      </c>
      <c r="O76" s="2" t="str">
        <f>'AFI-F2'!H9</f>
        <v>X</v>
      </c>
      <c r="P76" s="2" t="str">
        <f>'AFI-F2'!I9</f>
        <v/>
      </c>
      <c r="Q76" s="2">
        <f>'AFI-F2'!J9</f>
        <v>190</v>
      </c>
      <c r="R76" s="2">
        <f>'AFI-F2'!K9</f>
        <v>95</v>
      </c>
      <c r="S76" s="2" t="str">
        <f>'AFI-F2'!L9</f>
        <v>PAGO</v>
      </c>
      <c r="T76" s="2" t="str">
        <f>'AFI-F2'!M9</f>
        <v>YAPE JL</v>
      </c>
      <c r="U76" s="2">
        <f>'AFI-F2'!N9</f>
        <v>95</v>
      </c>
      <c r="V76" s="2" t="str">
        <f>'AFI-F2'!P9</f>
        <v/>
      </c>
      <c r="W76" s="2" t="str">
        <f>'AFI-F2'!Q9</f>
        <v>Yadhira</v>
      </c>
      <c r="X76" s="5">
        <f>'AFI-F2'!R9</f>
        <v>190</v>
      </c>
      <c r="Y76" s="1"/>
      <c r="Z76" s="1"/>
      <c r="AA76" s="1"/>
    </row>
    <row r="77">
      <c r="A77" s="1"/>
      <c r="B77" s="14">
        <f t="shared" si="6"/>
        <v>6</v>
      </c>
      <c r="C77" s="22" t="str">
        <f t="shared" si="1"/>
        <v>diciembre</v>
      </c>
      <c r="D77" s="22">
        <f t="shared" si="2"/>
        <v>52</v>
      </c>
      <c r="E77" s="23" t="str">
        <f t="shared" si="3"/>
        <v>martes</v>
      </c>
      <c r="F77" s="22">
        <f t="shared" si="4"/>
        <v>23</v>
      </c>
      <c r="G77" s="22" t="s">
        <v>23</v>
      </c>
      <c r="H77" s="3">
        <f>'AFI-F2'!$G$3</f>
        <v>45668</v>
      </c>
      <c r="I77" s="24">
        <f>'AFI-F2'!B10</f>
        <v>46014</v>
      </c>
      <c r="J77" s="2">
        <f>'AFI-F2'!C10</f>
        <v>44889118</v>
      </c>
      <c r="K77" s="2" t="str">
        <f>'AFI-F2'!D10</f>
        <v>Miguel Ángel Requiz Alanís</v>
      </c>
      <c r="L77" s="2" t="str">
        <f>'AFI-F2'!E10</f>
        <v>Miguel.requiz10@gmail.com</v>
      </c>
      <c r="M77" s="2" t="str">
        <f>'AFI-F2'!F10</f>
        <v>SJL</v>
      </c>
      <c r="N77" s="2" t="str">
        <f>'AFI-F2'!G10</f>
        <v>975 575 476</v>
      </c>
      <c r="O77" s="2" t="str">
        <f>'AFI-F2'!H10</f>
        <v>X</v>
      </c>
      <c r="P77" s="2" t="str">
        <f>'AFI-F2'!I10</f>
        <v>X</v>
      </c>
      <c r="Q77" s="2">
        <f>'AFI-F2'!J10</f>
        <v>360</v>
      </c>
      <c r="R77" s="2" t="str">
        <f>'AFI-F2'!K10</f>
        <v/>
      </c>
      <c r="S77" s="2" t="str">
        <f>'AFI-F2'!L10</f>
        <v>PAGO</v>
      </c>
      <c r="T77" s="2" t="str">
        <f>'AFI-F2'!M10</f>
        <v>BCP EPP</v>
      </c>
      <c r="U77" s="2">
        <f>'AFI-F2'!N10</f>
        <v>360</v>
      </c>
      <c r="V77" s="2" t="str">
        <f>'AFI-F2'!P10</f>
        <v/>
      </c>
      <c r="W77" s="2" t="str">
        <f>'AFI-F2'!Q10</f>
        <v>Yadhira</v>
      </c>
      <c r="X77" s="5">
        <f>'AFI-F2'!R10</f>
        <v>360</v>
      </c>
      <c r="Y77" s="1"/>
      <c r="Z77" s="1"/>
      <c r="AA77" s="1"/>
    </row>
    <row r="78">
      <c r="A78" s="1"/>
      <c r="B78" s="14">
        <f t="shared" si="6"/>
        <v>7</v>
      </c>
      <c r="C78" s="22" t="str">
        <f t="shared" si="1"/>
        <v>diciembre</v>
      </c>
      <c r="D78" s="22">
        <f t="shared" si="2"/>
        <v>52</v>
      </c>
      <c r="E78" s="23" t="str">
        <f t="shared" si="3"/>
        <v>martes</v>
      </c>
      <c r="F78" s="22">
        <f t="shared" si="4"/>
        <v>23</v>
      </c>
      <c r="G78" s="22" t="s">
        <v>23</v>
      </c>
      <c r="H78" s="3">
        <f>'AFI-F2'!$G$3</f>
        <v>45668</v>
      </c>
      <c r="I78" s="24">
        <f>'AFI-F2'!B11</f>
        <v>46014</v>
      </c>
      <c r="J78" s="2">
        <f>'AFI-F2'!C11</f>
        <v>43045566</v>
      </c>
      <c r="K78" s="2" t="str">
        <f>'AFI-F2'!D11</f>
        <v>Carlos Miguel Olivares Pérez</v>
      </c>
      <c r="L78" s="2" t="str">
        <f>'AFI-F2'!E11</f>
        <v>Miguel.requiz10@gmail.com</v>
      </c>
      <c r="M78" s="2" t="str">
        <f>'AFI-F2'!F11</f>
        <v>CHICLAYO</v>
      </c>
      <c r="N78" s="2" t="str">
        <f>'AFI-F2'!G11</f>
        <v>975 575 476</v>
      </c>
      <c r="O78" s="2" t="str">
        <f>'AFI-F2'!H11</f>
        <v>X</v>
      </c>
      <c r="P78" s="2" t="str">
        <f>'AFI-F2'!I11</f>
        <v>X</v>
      </c>
      <c r="Q78" s="2">
        <f>'AFI-F2'!J11</f>
        <v>360</v>
      </c>
      <c r="R78" s="2" t="str">
        <f>'AFI-F2'!K11</f>
        <v/>
      </c>
      <c r="S78" s="2" t="str">
        <f>'AFI-F2'!L11</f>
        <v>PAGO</v>
      </c>
      <c r="T78" s="2" t="str">
        <f>'AFI-F2'!M11</f>
        <v>YAPE JL</v>
      </c>
      <c r="U78" s="2">
        <f>'AFI-F2'!N11</f>
        <v>360</v>
      </c>
      <c r="V78" s="2" t="str">
        <f>'AFI-F2'!P11</f>
        <v/>
      </c>
      <c r="W78" s="2" t="str">
        <f>'AFI-F2'!Q11</f>
        <v>Yadhira</v>
      </c>
      <c r="X78" s="5">
        <f>'AFI-F2'!R11</f>
        <v>360</v>
      </c>
      <c r="Y78" s="1"/>
      <c r="Z78" s="1"/>
      <c r="AA78" s="1"/>
    </row>
    <row r="79">
      <c r="A79" s="1"/>
      <c r="B79" s="14">
        <f t="shared" si="6"/>
        <v>8</v>
      </c>
      <c r="C79" s="22" t="str">
        <f t="shared" si="1"/>
        <v>diciembre</v>
      </c>
      <c r="D79" s="22">
        <f t="shared" si="2"/>
        <v>51</v>
      </c>
      <c r="E79" s="23" t="str">
        <f t="shared" si="3"/>
        <v>sábado</v>
      </c>
      <c r="F79" s="22">
        <f t="shared" si="4"/>
        <v>20</v>
      </c>
      <c r="G79" s="22" t="s">
        <v>23</v>
      </c>
      <c r="H79" s="3">
        <f>'AFI-F2'!$G$3</f>
        <v>45668</v>
      </c>
      <c r="I79" s="24">
        <f>'AFI-F2'!B12</f>
        <v>46011</v>
      </c>
      <c r="J79" s="2" t="str">
        <f>'AFI-F2'!C12</f>
        <v/>
      </c>
      <c r="K79" s="2" t="str">
        <f>'AFI-F2'!D12</f>
        <v>Aldo Augusto Di liberto Roldán </v>
      </c>
      <c r="L79" s="2" t="str">
        <f>'AFI-F2'!E12</f>
        <v>aldodilibertoroldan@gmail.com</v>
      </c>
      <c r="M79" s="2" t="str">
        <f>'AFI-F2'!F12</f>
        <v>CHORRILLOS</v>
      </c>
      <c r="N79" s="2">
        <f>'AFI-F2'!G12</f>
        <v>991385736</v>
      </c>
      <c r="O79" s="2" t="str">
        <f>'AFI-F2'!H12</f>
        <v>X</v>
      </c>
      <c r="P79" s="2" t="str">
        <f>'AFI-F2'!I12</f>
        <v/>
      </c>
      <c r="Q79" s="2">
        <f>'AFI-F2'!J12</f>
        <v>95</v>
      </c>
      <c r="R79" s="2">
        <f>'AFI-F2'!K12</f>
        <v>95</v>
      </c>
      <c r="S79" s="2" t="str">
        <f>'AFI-F2'!L12</f>
        <v>PAGO</v>
      </c>
      <c r="T79" s="2" t="str">
        <f>'AFI-F2'!M12</f>
        <v>BCP EPP</v>
      </c>
      <c r="U79" s="2">
        <f>'AFI-F2'!N12</f>
        <v>95</v>
      </c>
      <c r="V79" s="2" t="str">
        <f>'AFI-F2'!P12</f>
        <v/>
      </c>
      <c r="W79" s="2" t="str">
        <f>'AFI-F2'!Q12</f>
        <v>Yadhira</v>
      </c>
      <c r="X79" s="5">
        <f>'AFI-F2'!R12</f>
        <v>190</v>
      </c>
      <c r="Y79" s="1"/>
      <c r="Z79" s="1"/>
      <c r="AA79" s="1"/>
    </row>
    <row r="80">
      <c r="A80" s="1"/>
      <c r="B80" s="14">
        <f t="shared" si="6"/>
        <v>9</v>
      </c>
      <c r="C80" s="22" t="str">
        <f t="shared" si="1"/>
        <v>diciembre</v>
      </c>
      <c r="D80" s="22">
        <f t="shared" si="2"/>
        <v>51</v>
      </c>
      <c r="E80" s="23" t="str">
        <f t="shared" si="3"/>
        <v>sábado</v>
      </c>
      <c r="F80" s="22">
        <f t="shared" si="4"/>
        <v>20</v>
      </c>
      <c r="G80" s="22" t="s">
        <v>23</v>
      </c>
      <c r="H80" s="3">
        <f>'AFI-F2'!$G$3</f>
        <v>45668</v>
      </c>
      <c r="I80" s="24">
        <f>'AFI-F2'!B13</f>
        <v>46011</v>
      </c>
      <c r="J80" s="2" t="str">
        <f>'AFI-F2'!C13</f>
        <v/>
      </c>
      <c r="K80" s="2" t="str">
        <f>'AFI-F2'!D13</f>
        <v>Yames Vicente di liberto Roldán</v>
      </c>
      <c r="L80" s="2" t="str">
        <f>'AFI-F2'!E13</f>
        <v>aldodilibertoroldan@gmail.com</v>
      </c>
      <c r="M80" s="2" t="str">
        <f>'AFI-F2'!F13</f>
        <v>CHORRILLOS</v>
      </c>
      <c r="N80" s="2">
        <f>'AFI-F2'!G13</f>
        <v>991385736</v>
      </c>
      <c r="O80" s="2" t="str">
        <f>'AFI-F2'!H13</f>
        <v>X</v>
      </c>
      <c r="P80" s="2" t="str">
        <f>'AFI-F2'!I13</f>
        <v/>
      </c>
      <c r="Q80" s="2">
        <f>'AFI-F2'!J13</f>
        <v>95</v>
      </c>
      <c r="R80" s="2">
        <f>'AFI-F2'!K13</f>
        <v>95</v>
      </c>
      <c r="S80" s="2" t="str">
        <f>'AFI-F2'!L13</f>
        <v>PAGO</v>
      </c>
      <c r="T80" s="2" t="str">
        <f>'AFI-F2'!M13</f>
        <v>BCP EPP</v>
      </c>
      <c r="U80" s="2">
        <f>'AFI-F2'!N13</f>
        <v>95</v>
      </c>
      <c r="V80" s="2" t="str">
        <f>'AFI-F2'!P13</f>
        <v/>
      </c>
      <c r="W80" s="2" t="str">
        <f>'AFI-F2'!Q13</f>
        <v>Yadhira</v>
      </c>
      <c r="X80" s="5">
        <f>'AFI-F2'!R13</f>
        <v>190</v>
      </c>
      <c r="Y80" s="1"/>
      <c r="Z80" s="1"/>
      <c r="AA80" s="1"/>
    </row>
    <row r="81">
      <c r="A81" s="1"/>
      <c r="B81" s="14">
        <f t="shared" si="6"/>
        <v>10</v>
      </c>
      <c r="C81" s="22" t="str">
        <f t="shared" si="1"/>
        <v>diciembre</v>
      </c>
      <c r="D81" s="22">
        <f t="shared" si="2"/>
        <v>53</v>
      </c>
      <c r="E81" s="23" t="str">
        <f t="shared" si="3"/>
        <v>miércoles</v>
      </c>
      <c r="F81" s="22">
        <f t="shared" si="4"/>
        <v>30</v>
      </c>
      <c r="G81" s="22" t="s">
        <v>23</v>
      </c>
      <c r="H81" s="3">
        <f>'AFI-F2'!$G$3</f>
        <v>45668</v>
      </c>
      <c r="I81" s="26">
        <f>'AFI-F2'!B14</f>
        <v>46386</v>
      </c>
      <c r="J81" s="2">
        <f>'AFI-F2'!C14</f>
        <v>72616360</v>
      </c>
      <c r="K81" s="2" t="str">
        <f>'AFI-F2'!D14</f>
        <v>Enrique Raynor La Torre Alarcón</v>
      </c>
      <c r="L81" s="2" t="str">
        <f>'AFI-F2'!E14</f>
        <v>enriquelta169@gmail.com</v>
      </c>
      <c r="M81" s="2" t="str">
        <f>'AFI-F2'!F14</f>
        <v>SAN BORJA</v>
      </c>
      <c r="N81" s="2" t="str">
        <f>'AFI-F2'!G14</f>
        <v>966 922 334</v>
      </c>
      <c r="O81" s="2" t="str">
        <f>'AFI-F2'!H14</f>
        <v>X</v>
      </c>
      <c r="P81" s="2" t="str">
        <f>'AFI-F2'!I14</f>
        <v>X</v>
      </c>
      <c r="Q81" s="2">
        <f>'AFI-F2'!J14</f>
        <v>380</v>
      </c>
      <c r="R81" s="2" t="str">
        <f>'AFI-F2'!K14</f>
        <v/>
      </c>
      <c r="S81" s="2" t="str">
        <f>'AFI-F2'!L14</f>
        <v>PAGO</v>
      </c>
      <c r="T81" s="2" t="str">
        <f>'AFI-F2'!M14</f>
        <v>YAPE JL</v>
      </c>
      <c r="U81" s="2">
        <f>'AFI-F2'!N14</f>
        <v>380</v>
      </c>
      <c r="V81" s="2" t="str">
        <f>'AFI-F2'!P14</f>
        <v/>
      </c>
      <c r="W81" s="2" t="str">
        <f>'AFI-F2'!Q14</f>
        <v>Greici</v>
      </c>
      <c r="X81" s="5">
        <f>'AFI-F2'!R14</f>
        <v>380</v>
      </c>
      <c r="Y81" s="1"/>
      <c r="Z81" s="1"/>
      <c r="AA81" s="1"/>
    </row>
    <row r="82">
      <c r="A82" s="1"/>
      <c r="B82" s="14">
        <f t="shared" si="6"/>
        <v>11</v>
      </c>
      <c r="C82" s="22" t="str">
        <f t="shared" si="1"/>
        <v>diciembre</v>
      </c>
      <c r="D82" s="22">
        <f t="shared" si="2"/>
        <v>53</v>
      </c>
      <c r="E82" s="23" t="str">
        <f t="shared" si="3"/>
        <v>martes</v>
      </c>
      <c r="F82" s="22">
        <f t="shared" si="4"/>
        <v>30</v>
      </c>
      <c r="G82" s="22" t="s">
        <v>23</v>
      </c>
      <c r="H82" s="3">
        <f>'AFI-F2'!$G$3</f>
        <v>45668</v>
      </c>
      <c r="I82" s="24">
        <f>'AFI-F2'!B15</f>
        <v>46021</v>
      </c>
      <c r="J82" s="2">
        <f>'AFI-F2'!C15</f>
        <v>49035262</v>
      </c>
      <c r="K82" s="2" t="str">
        <f>'AFI-F2'!D15</f>
        <v>Rafael Antony Urbina Peña</v>
      </c>
      <c r="L82" s="27" t="str">
        <f>'AFI-F2'!E15</f>
        <v>rafaelurbi24@gmail.com</v>
      </c>
      <c r="M82" s="2" t="str">
        <f>'AFI-F2'!F15</f>
        <v>LOS OLIVOS </v>
      </c>
      <c r="N82" s="2" t="str">
        <f>'AFI-F2'!G15</f>
        <v>927 235 029</v>
      </c>
      <c r="O82" s="2" t="str">
        <f>'AFI-F2'!H15</f>
        <v/>
      </c>
      <c r="P82" s="2" t="str">
        <f>'AFI-F2'!I15</f>
        <v>X</v>
      </c>
      <c r="Q82" s="2">
        <f>'AFI-F2'!J15</f>
        <v>0</v>
      </c>
      <c r="R82" s="2" t="str">
        <f>'AFI-F2'!K15</f>
        <v/>
      </c>
      <c r="S82" s="2" t="str">
        <f>'AFI-F2'!L15</f>
        <v>PAGO</v>
      </c>
      <c r="T82" s="2" t="str">
        <f>'AFI-F2'!M15</f>
        <v>YAPE JL</v>
      </c>
      <c r="U82" s="2">
        <f>'AFI-F2'!N15</f>
        <v>0</v>
      </c>
      <c r="V82" s="2" t="str">
        <f>'AFI-F2'!P15</f>
        <v/>
      </c>
      <c r="W82" s="2" t="str">
        <f>'AFI-F2'!Q15</f>
        <v>Yadhira</v>
      </c>
      <c r="X82" s="5">
        <f>'AFI-F2'!R15</f>
        <v>0</v>
      </c>
      <c r="Y82" s="1"/>
      <c r="Z82" s="1"/>
      <c r="AA82" s="1"/>
    </row>
    <row r="83">
      <c r="A83" s="1"/>
      <c r="B83" s="14">
        <f t="shared" si="6"/>
        <v>12</v>
      </c>
      <c r="C83" s="22" t="str">
        <f t="shared" si="1"/>
        <v>diciembre</v>
      </c>
      <c r="D83" s="22">
        <f t="shared" si="2"/>
        <v>53</v>
      </c>
      <c r="E83" s="23" t="str">
        <f t="shared" si="3"/>
        <v>martes</v>
      </c>
      <c r="F83" s="22">
        <f t="shared" si="4"/>
        <v>30</v>
      </c>
      <c r="G83" s="22" t="s">
        <v>23</v>
      </c>
      <c r="H83" s="3">
        <f>'AFI-F2'!$G$3</f>
        <v>45668</v>
      </c>
      <c r="I83" s="24">
        <f>'AFI-F2'!B16</f>
        <v>46021</v>
      </c>
      <c r="J83" s="2">
        <f>'AFI-F2'!C16</f>
        <v>49032421</v>
      </c>
      <c r="K83" s="2" t="str">
        <f>'AFI-F2'!D16</f>
        <v>Pierre Neyra</v>
      </c>
      <c r="L83" s="27" t="str">
        <f>'AFI-F2'!E16</f>
        <v>pierre.neyrape@gmail.com</v>
      </c>
      <c r="M83" s="2" t="str">
        <f>'AFI-F2'!F16</f>
        <v>MIRAFLORES</v>
      </c>
      <c r="N83" s="2" t="str">
        <f>'AFI-F2'!G16</f>
        <v> 954 134 851</v>
      </c>
      <c r="O83" s="2" t="str">
        <f>'AFI-F2'!H16</f>
        <v>X</v>
      </c>
      <c r="P83" s="2" t="str">
        <f>'AFI-F2'!I16</f>
        <v/>
      </c>
      <c r="Q83" s="2">
        <f>'AFI-F2'!J16</f>
        <v>190</v>
      </c>
      <c r="R83" s="2" t="str">
        <f>'AFI-F2'!K16</f>
        <v/>
      </c>
      <c r="S83" s="2" t="str">
        <f>'AFI-F2'!L16</f>
        <v>PAGO</v>
      </c>
      <c r="T83" s="2" t="str">
        <f>'AFI-F2'!M16</f>
        <v>MERC-PAG</v>
      </c>
      <c r="U83" s="2">
        <f>'AFI-F2'!N16</f>
        <v>181.58</v>
      </c>
      <c r="V83" s="2" t="str">
        <f>'AFI-F2'!P16</f>
        <v/>
      </c>
      <c r="W83" s="2" t="str">
        <f>'AFI-F2'!Q16</f>
        <v>Yadhira</v>
      </c>
      <c r="X83" s="5">
        <f>'AFI-F2'!R16</f>
        <v>181.58</v>
      </c>
      <c r="Y83" s="1"/>
      <c r="Z83" s="1"/>
      <c r="AA83" s="1"/>
    </row>
    <row r="84">
      <c r="A84" s="1"/>
      <c r="B84" s="14">
        <f t="shared" si="6"/>
        <v>13</v>
      </c>
      <c r="C84" s="22" t="str">
        <f t="shared" si="1"/>
        <v>diciembre</v>
      </c>
      <c r="D84" s="22">
        <f t="shared" si="2"/>
        <v>53</v>
      </c>
      <c r="E84" s="23" t="str">
        <f t="shared" si="3"/>
        <v>martes</v>
      </c>
      <c r="F84" s="22">
        <f t="shared" si="4"/>
        <v>30</v>
      </c>
      <c r="G84" s="22" t="s">
        <v>23</v>
      </c>
      <c r="H84" s="3">
        <f>'AFI-F2'!$G$3</f>
        <v>45668</v>
      </c>
      <c r="I84" s="24">
        <f>'AFI-F2'!B17</f>
        <v>46021</v>
      </c>
      <c r="J84" s="2">
        <f>'AFI-F2'!C17</f>
        <v>73185937</v>
      </c>
      <c r="K84" s="2" t="str">
        <f>'AFI-F2'!D17</f>
        <v>Marieta Calderon</v>
      </c>
      <c r="L84" s="27" t="str">
        <f>'AFI-F2'!E17</f>
        <v>marietacristina@hotmail.com</v>
      </c>
      <c r="M84" s="2" t="str">
        <f>'AFI-F2'!F17</f>
        <v>MIRAFLORES</v>
      </c>
      <c r="N84" s="2" t="str">
        <f>'AFI-F2'!G17</f>
        <v> 954 134 851</v>
      </c>
      <c r="O84" s="2" t="str">
        <f>'AFI-F2'!H17</f>
        <v>X</v>
      </c>
      <c r="P84" s="2" t="str">
        <f>'AFI-F2'!I17</f>
        <v/>
      </c>
      <c r="Q84" s="2">
        <f>'AFI-F2'!J17</f>
        <v>190</v>
      </c>
      <c r="R84" s="2" t="str">
        <f>'AFI-F2'!K17</f>
        <v/>
      </c>
      <c r="S84" s="2" t="str">
        <f>'AFI-F2'!L17</f>
        <v>PAGO</v>
      </c>
      <c r="T84" s="2" t="str">
        <f>'AFI-F2'!M17</f>
        <v>MERC-PAG</v>
      </c>
      <c r="U84" s="2">
        <f>'AFI-F2'!N17</f>
        <v>181.58</v>
      </c>
      <c r="V84" s="2" t="str">
        <f>'AFI-F2'!P17</f>
        <v/>
      </c>
      <c r="W84" s="2" t="str">
        <f>'AFI-F2'!Q17</f>
        <v>Yadhira</v>
      </c>
      <c r="X84" s="5">
        <f>'AFI-F2'!R17</f>
        <v>181.58</v>
      </c>
      <c r="Y84" s="1"/>
      <c r="Z84" s="1"/>
      <c r="AA84" s="1"/>
    </row>
    <row r="85">
      <c r="A85" s="1"/>
      <c r="B85" s="14">
        <f t="shared" si="6"/>
        <v>14</v>
      </c>
      <c r="C85" s="22" t="str">
        <f t="shared" si="1"/>
        <v>diciembre</v>
      </c>
      <c r="D85" s="22">
        <f t="shared" si="2"/>
        <v>52</v>
      </c>
      <c r="E85" s="23" t="str">
        <f t="shared" si="3"/>
        <v>martes</v>
      </c>
      <c r="F85" s="22">
        <f t="shared" si="4"/>
        <v>23</v>
      </c>
      <c r="G85" s="22" t="s">
        <v>23</v>
      </c>
      <c r="H85" s="3">
        <f>'AFI-F2'!$G$3</f>
        <v>45668</v>
      </c>
      <c r="I85" s="24">
        <f>'AFI-F2'!B18</f>
        <v>46014</v>
      </c>
      <c r="J85" s="2" t="str">
        <f>'AFI-F2'!C18</f>
        <v/>
      </c>
      <c r="K85" s="2" t="str">
        <f>'AFI-F2'!D18</f>
        <v>Sergio Jesús Casas Arroyo</v>
      </c>
      <c r="L85" s="2" t="str">
        <f>'AFI-F2'!E18</f>
        <v/>
      </c>
      <c r="M85" s="2" t="str">
        <f>'AFI-F2'!F18</f>
        <v>Villa María del Triunfo</v>
      </c>
      <c r="N85" s="2" t="str">
        <f>'AFI-F2'!G18</f>
        <v/>
      </c>
      <c r="O85" s="2" t="str">
        <f>'AFI-F2'!H18</f>
        <v>x</v>
      </c>
      <c r="P85" s="2" t="str">
        <f>'AFI-F2'!I18</f>
        <v/>
      </c>
      <c r="Q85" s="2">
        <f>'AFI-F2'!J18</f>
        <v>220</v>
      </c>
      <c r="R85" s="2" t="str">
        <f>'AFI-F2'!K18</f>
        <v/>
      </c>
      <c r="S85" s="2" t="str">
        <f>'AFI-F2'!L18</f>
        <v>PAGO</v>
      </c>
      <c r="T85" s="2" t="str">
        <f>'AFI-F2'!M18</f>
        <v>YAPE JL</v>
      </c>
      <c r="U85" s="2">
        <f>'AFI-F2'!N18</f>
        <v>220</v>
      </c>
      <c r="V85" s="2" t="str">
        <f>'AFI-F2'!P18</f>
        <v/>
      </c>
      <c r="W85" s="2" t="str">
        <f>'AFI-F2'!Q18</f>
        <v>Katherine</v>
      </c>
      <c r="X85" s="5">
        <f>'AFI-F2'!R18</f>
        <v>220</v>
      </c>
      <c r="Y85" s="1"/>
      <c r="Z85" s="1"/>
      <c r="AA85" s="1"/>
    </row>
    <row r="86">
      <c r="A86" s="1"/>
      <c r="B86" s="14">
        <f t="shared" si="6"/>
        <v>15</v>
      </c>
      <c r="C86" s="22" t="str">
        <f t="shared" si="1"/>
        <v>enero</v>
      </c>
      <c r="D86" s="22">
        <f t="shared" si="2"/>
        <v>1</v>
      </c>
      <c r="E86" s="23" t="str">
        <f t="shared" si="3"/>
        <v>viernes</v>
      </c>
      <c r="F86" s="22">
        <f t="shared" si="4"/>
        <v>2</v>
      </c>
      <c r="G86" s="22" t="s">
        <v>23</v>
      </c>
      <c r="H86" s="3">
        <f>'AFI-F2'!$G$3</f>
        <v>45668</v>
      </c>
      <c r="I86" s="24">
        <f>'AFI-F2'!B19</f>
        <v>46024</v>
      </c>
      <c r="J86" s="2">
        <f>'AFI-F2'!C19</f>
        <v>42296972</v>
      </c>
      <c r="K86" s="2" t="str">
        <f>'AFI-F2'!D19</f>
        <v>Jose Gabriel Janampa Osores</v>
      </c>
      <c r="L86" s="2" t="str">
        <f>'AFI-F2'!E19</f>
        <v>janampaosores@gmail.com</v>
      </c>
      <c r="M86" s="2" t="str">
        <f>'AFI-F2'!F19</f>
        <v/>
      </c>
      <c r="N86" s="2" t="str">
        <f>'AFI-F2'!G19</f>
        <v/>
      </c>
      <c r="O86" s="2" t="str">
        <f>'AFI-F2'!H19</f>
        <v/>
      </c>
      <c r="P86" s="2" t="str">
        <f>'AFI-F2'!I19</f>
        <v>x</v>
      </c>
      <c r="Q86" s="2">
        <f>'AFI-F2'!J19</f>
        <v>190</v>
      </c>
      <c r="R86" s="2" t="str">
        <f>'AFI-F2'!K19</f>
        <v/>
      </c>
      <c r="S86" s="2" t="str">
        <f>'AFI-F2'!L19</f>
        <v>PAGO</v>
      </c>
      <c r="T86" s="2" t="str">
        <f>'AFI-F2'!M19</f>
        <v>PLIN JL</v>
      </c>
      <c r="U86" s="2">
        <f>'AFI-F2'!N19</f>
        <v>190</v>
      </c>
      <c r="V86" s="2" t="str">
        <f>'AFI-F2'!P19</f>
        <v/>
      </c>
      <c r="W86" s="2" t="str">
        <f>'AFI-F2'!Q19</f>
        <v>Katherine</v>
      </c>
      <c r="X86" s="5">
        <f>'AFI-F2'!R19</f>
        <v>190</v>
      </c>
      <c r="Y86" s="1"/>
      <c r="Z86" s="1"/>
      <c r="AA86" s="1"/>
    </row>
    <row r="87">
      <c r="A87" s="1"/>
      <c r="B87" s="14">
        <f t="shared" si="6"/>
        <v>16</v>
      </c>
      <c r="C87" s="22" t="str">
        <f t="shared" si="1"/>
        <v>diciembre</v>
      </c>
      <c r="D87" s="22">
        <f t="shared" si="2"/>
        <v>53</v>
      </c>
      <c r="E87" s="23" t="str">
        <f t="shared" si="3"/>
        <v>miércoles</v>
      </c>
      <c r="F87" s="22">
        <f t="shared" si="4"/>
        <v>31</v>
      </c>
      <c r="G87" s="22" t="s">
        <v>23</v>
      </c>
      <c r="H87" s="3">
        <f>'AFI-F2'!$G$3</f>
        <v>45668</v>
      </c>
      <c r="I87" s="24">
        <f>'AFI-F2'!B20</f>
        <v>46022</v>
      </c>
      <c r="J87" s="2">
        <f>'AFI-F2'!C20</f>
        <v>70945763</v>
      </c>
      <c r="K87" s="2" t="str">
        <f>'AFI-F2'!D20</f>
        <v>kevin alarico cieza</v>
      </c>
      <c r="L87" s="2" t="str">
        <f>'AFI-F2'!E20</f>
        <v>kevinalarico@gmail.com </v>
      </c>
      <c r="M87" s="2" t="str">
        <f>'AFI-F2'!F20</f>
        <v>SMP</v>
      </c>
      <c r="N87" s="2" t="str">
        <f>'AFI-F2'!G20</f>
        <v/>
      </c>
      <c r="O87" s="2" t="str">
        <f>'AFI-F2'!H20</f>
        <v>X</v>
      </c>
      <c r="P87" s="2" t="str">
        <f>'AFI-F2'!I20</f>
        <v>X</v>
      </c>
      <c r="Q87" s="2">
        <f>'AFI-F2'!J20</f>
        <v>100</v>
      </c>
      <c r="R87" s="2">
        <f>'AFI-F2'!K20</f>
        <v>250</v>
      </c>
      <c r="S87" s="2" t="str">
        <f>'AFI-F2'!L20</f>
        <v>COBR</v>
      </c>
      <c r="T87" s="2" t="str">
        <f>'AFI-F2'!M20</f>
        <v>PLIN JL</v>
      </c>
      <c r="U87" s="2">
        <f>'AFI-F2'!N20</f>
        <v>100</v>
      </c>
      <c r="V87" s="2" t="str">
        <f>'AFI-F2'!P20</f>
        <v/>
      </c>
      <c r="W87" s="2" t="str">
        <f>'AFI-F2'!Q20</f>
        <v>Greici</v>
      </c>
      <c r="X87" s="5">
        <f>'AFI-F2'!R20</f>
        <v>100</v>
      </c>
      <c r="Y87" s="1"/>
      <c r="Z87" s="1"/>
      <c r="AA87" s="1"/>
    </row>
    <row r="88">
      <c r="A88" s="1"/>
      <c r="B88" s="14">
        <f t="shared" si="6"/>
        <v>17</v>
      </c>
      <c r="C88" s="22" t="str">
        <f t="shared" si="1"/>
        <v>diciembre</v>
      </c>
      <c r="D88" s="22">
        <f t="shared" si="2"/>
        <v>53</v>
      </c>
      <c r="E88" s="23" t="str">
        <f t="shared" si="3"/>
        <v>miércoles</v>
      </c>
      <c r="F88" s="22">
        <f t="shared" si="4"/>
        <v>31</v>
      </c>
      <c r="G88" s="22" t="s">
        <v>23</v>
      </c>
      <c r="H88" s="3">
        <f>'AFI-F2'!$G$3</f>
        <v>45668</v>
      </c>
      <c r="I88" s="24">
        <f>'AFI-F2'!B21</f>
        <v>46022</v>
      </c>
      <c r="J88" s="2">
        <f>'AFI-F2'!C21</f>
        <v>47628203</v>
      </c>
      <c r="K88" s="2" t="str">
        <f>'AFI-F2'!D21</f>
        <v>Juan Carlos Bustamante Merino</v>
      </c>
      <c r="L88" s="2" t="str">
        <f>'AFI-F2'!E21</f>
        <v>Juanca.busta.mer09@gmail.com </v>
      </c>
      <c r="M88" s="2" t="str">
        <f>'AFI-F2'!F21</f>
        <v>SMP</v>
      </c>
      <c r="N88" s="2" t="str">
        <f>'AFI-F2'!G21</f>
        <v/>
      </c>
      <c r="O88" s="2" t="str">
        <f>'AFI-F2'!H21</f>
        <v>X</v>
      </c>
      <c r="P88" s="2" t="str">
        <f>'AFI-F2'!I21</f>
        <v>X</v>
      </c>
      <c r="Q88" s="2">
        <f>'AFI-F2'!J21</f>
        <v>100</v>
      </c>
      <c r="R88" s="2">
        <f>'AFI-F2'!K21</f>
        <v>250</v>
      </c>
      <c r="S88" s="2" t="str">
        <f>'AFI-F2'!L21</f>
        <v>COBR</v>
      </c>
      <c r="T88" s="2" t="str">
        <f>'AFI-F2'!M21</f>
        <v>PLIN JL</v>
      </c>
      <c r="U88" s="2">
        <f>'AFI-F2'!N21</f>
        <v>100</v>
      </c>
      <c r="V88" s="2" t="str">
        <f>'AFI-F2'!P21</f>
        <v/>
      </c>
      <c r="W88" s="2" t="str">
        <f>'AFI-F2'!Q21</f>
        <v>Greici</v>
      </c>
      <c r="X88" s="5">
        <f>'AFI-F2'!R21</f>
        <v>100</v>
      </c>
      <c r="Y88" s="1"/>
      <c r="Z88" s="1"/>
      <c r="AA88" s="1"/>
    </row>
    <row r="89">
      <c r="A89" s="1"/>
      <c r="B89" s="14">
        <f t="shared" si="6"/>
        <v>18</v>
      </c>
      <c r="C89" s="22" t="str">
        <f t="shared" si="1"/>
        <v>enero</v>
      </c>
      <c r="D89" s="22">
        <f t="shared" si="2"/>
        <v>1</v>
      </c>
      <c r="E89" s="23" t="str">
        <f t="shared" si="3"/>
        <v>viernes</v>
      </c>
      <c r="F89" s="22">
        <f t="shared" si="4"/>
        <v>2</v>
      </c>
      <c r="G89" s="22" t="s">
        <v>23</v>
      </c>
      <c r="H89" s="3">
        <f>'AFI-F2'!$G$3</f>
        <v>45668</v>
      </c>
      <c r="I89" s="24">
        <f>'AFI-F2'!B22</f>
        <v>46024</v>
      </c>
      <c r="J89" s="2">
        <f>'AFI-F2'!C22</f>
        <v>72413600</v>
      </c>
      <c r="K89" s="2" t="str">
        <f>'AFI-F2'!D22</f>
        <v>Daniel Ricardo moran Chávez</v>
      </c>
      <c r="L89" s="2" t="str">
        <f>'AFI-F2'!E22</f>
        <v>danielpupunovich5@hotmail.com</v>
      </c>
      <c r="M89" s="2" t="str">
        <f>'AFI-F2'!F22</f>
        <v/>
      </c>
      <c r="N89" s="2" t="str">
        <f>'AFI-F2'!G22</f>
        <v>988 766 216</v>
      </c>
      <c r="O89" s="2" t="str">
        <f>'AFI-F2'!H22</f>
        <v/>
      </c>
      <c r="P89" s="2" t="str">
        <f>'AFI-F2'!I22</f>
        <v>X</v>
      </c>
      <c r="Q89" s="2">
        <f>'AFI-F2'!J22</f>
        <v>190</v>
      </c>
      <c r="R89" s="2" t="str">
        <f>'AFI-F2'!K22</f>
        <v/>
      </c>
      <c r="S89" s="2" t="str">
        <f>'AFI-F2'!L22</f>
        <v>PAGO</v>
      </c>
      <c r="T89" s="2" t="str">
        <f>'AFI-F2'!M22</f>
        <v>PLIN JL</v>
      </c>
      <c r="U89" s="2">
        <f>'AFI-F2'!N22</f>
        <v>190</v>
      </c>
      <c r="V89" s="2" t="str">
        <f>'AFI-F2'!P22</f>
        <v/>
      </c>
      <c r="W89" s="2" t="str">
        <f>'AFI-F2'!Q22</f>
        <v>Yadhira</v>
      </c>
      <c r="X89" s="5">
        <f>'AFI-F2'!R22</f>
        <v>190</v>
      </c>
      <c r="Y89" s="1"/>
      <c r="Z89" s="1"/>
      <c r="AA89" s="1"/>
    </row>
    <row r="90">
      <c r="A90" s="1"/>
      <c r="B90" s="14">
        <f t="shared" si="6"/>
        <v>19</v>
      </c>
      <c r="C90" s="22" t="str">
        <f t="shared" si="1"/>
        <v>enero</v>
      </c>
      <c r="D90" s="22">
        <f t="shared" si="2"/>
        <v>1</v>
      </c>
      <c r="E90" s="23" t="str">
        <f t="shared" si="3"/>
        <v>viernes</v>
      </c>
      <c r="F90" s="22">
        <f t="shared" si="4"/>
        <v>2</v>
      </c>
      <c r="G90" s="22" t="s">
        <v>23</v>
      </c>
      <c r="H90" s="3">
        <f>'AFI-F2'!$G$3</f>
        <v>45668</v>
      </c>
      <c r="I90" s="24">
        <f>'AFI-F2'!B23</f>
        <v>46024</v>
      </c>
      <c r="J90" s="2">
        <f>'AFI-F2'!C23</f>
        <v>71523029</v>
      </c>
      <c r="K90" s="2" t="str">
        <f>'AFI-F2'!D23</f>
        <v>Aaron Castillo</v>
      </c>
      <c r="L90" s="2" t="str">
        <f>'AFI-F2'!E23</f>
        <v/>
      </c>
      <c r="M90" s="2" t="str">
        <f>'AFI-F2'!F23</f>
        <v/>
      </c>
      <c r="N90" s="2" t="str">
        <f>'AFI-F2'!G23</f>
        <v/>
      </c>
      <c r="O90" s="2" t="str">
        <f>'AFI-F2'!H23</f>
        <v/>
      </c>
      <c r="P90" s="2" t="str">
        <f>'AFI-F2'!I23</f>
        <v/>
      </c>
      <c r="Q90" s="2" t="str">
        <f>'AFI-F2'!J23</f>
        <v/>
      </c>
      <c r="R90" s="2" t="str">
        <f>'AFI-F2'!K23</f>
        <v/>
      </c>
      <c r="S90" s="2" t="str">
        <f>'AFI-F2'!L23</f>
        <v/>
      </c>
      <c r="T90" s="2" t="str">
        <f>'AFI-F2'!M23</f>
        <v/>
      </c>
      <c r="U90" s="2" t="str">
        <f>'AFI-F2'!N23</f>
        <v/>
      </c>
      <c r="V90" s="2" t="str">
        <f>'AFI-F2'!P23</f>
        <v/>
      </c>
      <c r="W90" s="2" t="str">
        <f>'AFI-F2'!Q23</f>
        <v/>
      </c>
      <c r="X90" s="5">
        <f>'AFI-F2'!R23</f>
        <v>0</v>
      </c>
      <c r="Y90" s="1"/>
      <c r="Z90" s="1"/>
      <c r="AA90" s="1"/>
    </row>
    <row r="91">
      <c r="A91" s="1"/>
      <c r="B91" s="14">
        <f t="shared" si="6"/>
        <v>20</v>
      </c>
      <c r="C91" s="22" t="str">
        <f t="shared" si="1"/>
        <v>enero</v>
      </c>
      <c r="D91" s="22">
        <f t="shared" si="2"/>
        <v>1</v>
      </c>
      <c r="E91" s="23" t="str">
        <f t="shared" si="3"/>
        <v>viernes</v>
      </c>
      <c r="F91" s="22">
        <f t="shared" si="4"/>
        <v>2</v>
      </c>
      <c r="G91" s="22" t="s">
        <v>23</v>
      </c>
      <c r="H91" s="3">
        <f>'AFI-F2'!$G$3</f>
        <v>45668</v>
      </c>
      <c r="I91" s="24">
        <f>'AFI-F2'!B24</f>
        <v>46024</v>
      </c>
      <c r="J91" s="2">
        <f>'AFI-F2'!C24</f>
        <v>40697850</v>
      </c>
      <c r="K91" s="2" t="str">
        <f>'AFI-F2'!D24</f>
        <v>Sergio Armando Lopez Saldaña</v>
      </c>
      <c r="L91" s="2" t="str">
        <f>'AFI-F2'!E24</f>
        <v>Sergio.lsaldana@gmail.com</v>
      </c>
      <c r="M91" s="2" t="str">
        <f>'AFI-F2'!F24</f>
        <v>Victoria</v>
      </c>
      <c r="N91" s="2" t="str">
        <f>'AFI-F2'!G24</f>
        <v>987 809 308</v>
      </c>
      <c r="O91" s="2" t="str">
        <f>'AFI-F2'!H24</f>
        <v/>
      </c>
      <c r="P91" s="2" t="str">
        <f>'AFI-F2'!I24</f>
        <v>X</v>
      </c>
      <c r="Q91" s="2">
        <f>'AFI-F2'!J24</f>
        <v>190</v>
      </c>
      <c r="R91" s="2" t="str">
        <f>'AFI-F2'!K24</f>
        <v/>
      </c>
      <c r="S91" s="2" t="str">
        <f>'AFI-F2'!L24</f>
        <v>PAGO</v>
      </c>
      <c r="T91" s="2" t="str">
        <f>'AFI-F2'!M24</f>
        <v>YAPE JL</v>
      </c>
      <c r="U91" s="2">
        <f>'AFI-F2'!N24</f>
        <v>190</v>
      </c>
      <c r="V91" s="2" t="str">
        <f>'AFI-F2'!P24</f>
        <v/>
      </c>
      <c r="W91" s="2" t="str">
        <f>'AFI-F2'!Q24</f>
        <v>Sofia</v>
      </c>
      <c r="X91" s="5">
        <f>'AFI-F2'!R24</f>
        <v>190</v>
      </c>
      <c r="Y91" s="1"/>
      <c r="Z91" s="1"/>
      <c r="AA91" s="1"/>
    </row>
    <row r="92">
      <c r="A92" s="1"/>
      <c r="B92" s="14">
        <f t="shared" si="6"/>
        <v>21</v>
      </c>
      <c r="C92" s="22" t="str">
        <f t="shared" si="1"/>
        <v>enero</v>
      </c>
      <c r="D92" s="22">
        <f t="shared" si="2"/>
        <v>1</v>
      </c>
      <c r="E92" s="23" t="str">
        <f t="shared" si="3"/>
        <v>viernes</v>
      </c>
      <c r="F92" s="22">
        <f t="shared" si="4"/>
        <v>2</v>
      </c>
      <c r="G92" s="22" t="s">
        <v>23</v>
      </c>
      <c r="H92" s="3">
        <f>'AFI-F2'!$G$3</f>
        <v>45668</v>
      </c>
      <c r="I92" s="24">
        <f>'AFI-F2'!B25</f>
        <v>46024</v>
      </c>
      <c r="J92" s="25" t="str">
        <f>'AFI-F2'!C25</f>
        <v>07524459</v>
      </c>
      <c r="K92" s="2" t="str">
        <f>'AFI-F2'!D25</f>
        <v>José pineda sifuentes</v>
      </c>
      <c r="L92" s="2" t="str">
        <f>'AFI-F2'!E25</f>
        <v>jose.pineda@ae.edu.pe</v>
      </c>
      <c r="M92" s="2" t="str">
        <f>'AFI-F2'!F25</f>
        <v>SAN ISIDRO</v>
      </c>
      <c r="N92" s="2" t="str">
        <f>'AFI-F2'!G25</f>
        <v>981 398 282</v>
      </c>
      <c r="O92" s="2" t="str">
        <f>'AFI-F2'!H25</f>
        <v/>
      </c>
      <c r="P92" s="2" t="str">
        <f>'AFI-F2'!I25</f>
        <v>X</v>
      </c>
      <c r="Q92" s="2">
        <f>'AFI-F2'!J25</f>
        <v>175</v>
      </c>
      <c r="R92" s="2" t="str">
        <f>'AFI-F2'!K25</f>
        <v/>
      </c>
      <c r="S92" s="2" t="str">
        <f>'AFI-F2'!L25</f>
        <v>PAGO</v>
      </c>
      <c r="T92" s="2" t="str">
        <f>'AFI-F2'!M25</f>
        <v>PLIN JL</v>
      </c>
      <c r="U92" s="2">
        <f>'AFI-F2'!N25</f>
        <v>175</v>
      </c>
      <c r="V92" s="2" t="str">
        <f>'AFI-F2'!P25</f>
        <v/>
      </c>
      <c r="W92" s="2" t="str">
        <f>'AFI-F2'!Q25</f>
        <v>Yadhira</v>
      </c>
      <c r="X92" s="5">
        <f>'AFI-F2'!R25</f>
        <v>175</v>
      </c>
      <c r="Y92" s="1"/>
      <c r="Z92" s="1"/>
      <c r="AA92" s="1"/>
    </row>
    <row r="93">
      <c r="A93" s="1"/>
      <c r="B93" s="14">
        <f t="shared" si="6"/>
        <v>22</v>
      </c>
      <c r="C93" s="22" t="str">
        <f t="shared" si="1"/>
        <v>enero</v>
      </c>
      <c r="D93" s="22">
        <f t="shared" si="2"/>
        <v>1</v>
      </c>
      <c r="E93" s="23" t="str">
        <f t="shared" si="3"/>
        <v>viernes</v>
      </c>
      <c r="F93" s="22">
        <f t="shared" si="4"/>
        <v>2</v>
      </c>
      <c r="G93" s="22" t="s">
        <v>23</v>
      </c>
      <c r="H93" s="3">
        <f>'AFI-F2'!$G$3</f>
        <v>45668</v>
      </c>
      <c r="I93" s="24">
        <f>'AFI-F2'!B26</f>
        <v>46024</v>
      </c>
      <c r="J93" s="2" t="str">
        <f>'AFI-F2'!C26</f>
        <v/>
      </c>
      <c r="K93" s="2" t="str">
        <f>'AFI-F2'!D26</f>
        <v>Ana Paula Pineda</v>
      </c>
      <c r="L93" s="2" t="str">
        <f>'AFI-F2'!E26</f>
        <v/>
      </c>
      <c r="M93" s="2" t="str">
        <f>'AFI-F2'!F26</f>
        <v>SAN ISIDRO</v>
      </c>
      <c r="N93" s="2" t="str">
        <f>'AFI-F2'!G26</f>
        <v/>
      </c>
      <c r="O93" s="2" t="str">
        <f>'AFI-F2'!H26</f>
        <v/>
      </c>
      <c r="P93" s="2" t="str">
        <f>'AFI-F2'!I26</f>
        <v>X</v>
      </c>
      <c r="Q93" s="2">
        <f>'AFI-F2'!J26</f>
        <v>100</v>
      </c>
      <c r="R93" s="2" t="str">
        <f>'AFI-F2'!K26</f>
        <v/>
      </c>
      <c r="S93" s="2" t="str">
        <f>'AFI-F2'!L26</f>
        <v>PAGO</v>
      </c>
      <c r="T93" s="2" t="str">
        <f>'AFI-F2'!M26</f>
        <v>PLIN JL</v>
      </c>
      <c r="U93" s="2">
        <f>'AFI-F2'!N26</f>
        <v>100</v>
      </c>
      <c r="V93" s="2" t="str">
        <f>'AFI-F2'!P26</f>
        <v/>
      </c>
      <c r="W93" s="2" t="str">
        <f>'AFI-F2'!Q26</f>
        <v>Yadhira</v>
      </c>
      <c r="X93" s="5">
        <f>'AFI-F2'!R26</f>
        <v>100</v>
      </c>
      <c r="Y93" s="1"/>
      <c r="Z93" s="1"/>
      <c r="AA93" s="1"/>
    </row>
    <row r="94">
      <c r="A94" s="1"/>
      <c r="B94" s="14">
        <f t="shared" si="6"/>
        <v>23</v>
      </c>
      <c r="C94" s="22" t="str">
        <f t="shared" si="1"/>
        <v>enero</v>
      </c>
      <c r="D94" s="22">
        <f t="shared" si="2"/>
        <v>1</v>
      </c>
      <c r="E94" s="23" t="str">
        <f t="shared" si="3"/>
        <v>viernes</v>
      </c>
      <c r="F94" s="22">
        <f t="shared" si="4"/>
        <v>2</v>
      </c>
      <c r="G94" s="22" t="s">
        <v>23</v>
      </c>
      <c r="H94" s="3">
        <f>'AFI-F2'!$G$3</f>
        <v>45668</v>
      </c>
      <c r="I94" s="24">
        <f>'AFI-F2'!B27</f>
        <v>46024</v>
      </c>
      <c r="J94" s="2">
        <f>'AFI-F2'!C27</f>
        <v>42048172</v>
      </c>
      <c r="K94" s="2" t="str">
        <f>'AFI-F2'!D27</f>
        <v>Luis Esteban Ramos Nicoll</v>
      </c>
      <c r="L94" s="2" t="str">
        <f>'AFI-F2'!E27</f>
        <v>luisramosnicoll@gmail.com</v>
      </c>
      <c r="M94" s="2" t="str">
        <f>'AFI-F2'!F27</f>
        <v/>
      </c>
      <c r="N94" s="2" t="str">
        <f>'AFI-F2'!G27</f>
        <v/>
      </c>
      <c r="O94" s="2" t="str">
        <f>'AFI-F2'!H27</f>
        <v/>
      </c>
      <c r="P94" s="2" t="str">
        <f>'AFI-F2'!I27</f>
        <v>x</v>
      </c>
      <c r="Q94" s="2">
        <f>'AFI-F2'!J27</f>
        <v>180</v>
      </c>
      <c r="R94" s="2" t="str">
        <f>'AFI-F2'!K27</f>
        <v/>
      </c>
      <c r="S94" s="2" t="str">
        <f>'AFI-F2'!L27</f>
        <v>PAGO</v>
      </c>
      <c r="T94" s="2" t="str">
        <f>'AFI-F2'!M27</f>
        <v>BCP JL</v>
      </c>
      <c r="U94" s="2">
        <f>'AFI-F2'!N27</f>
        <v>180</v>
      </c>
      <c r="V94" s="2" t="str">
        <f>'AFI-F2'!P27</f>
        <v/>
      </c>
      <c r="W94" s="2" t="str">
        <f>'AFI-F2'!Q27</f>
        <v>Katherine</v>
      </c>
      <c r="X94" s="5">
        <f>'AFI-F2'!R27</f>
        <v>180</v>
      </c>
      <c r="Y94" s="1"/>
      <c r="Z94" s="1"/>
      <c r="AA94" s="1"/>
    </row>
    <row r="95">
      <c r="A95" s="1"/>
      <c r="B95" s="14">
        <f t="shared" si="6"/>
        <v>24</v>
      </c>
      <c r="C95" s="22" t="str">
        <f t="shared" si="1"/>
        <v>enero</v>
      </c>
      <c r="D95" s="22">
        <f t="shared" si="2"/>
        <v>1</v>
      </c>
      <c r="E95" s="23" t="str">
        <f t="shared" si="3"/>
        <v>viernes</v>
      </c>
      <c r="F95" s="22">
        <f t="shared" si="4"/>
        <v>2</v>
      </c>
      <c r="G95" s="22" t="s">
        <v>23</v>
      </c>
      <c r="H95" s="3">
        <f>'AFI-F2'!$G$3</f>
        <v>45668</v>
      </c>
      <c r="I95" s="24">
        <f>'AFI-F2'!B28</f>
        <v>46024</v>
      </c>
      <c r="J95" s="25" t="str">
        <f>'AFI-F2'!C28</f>
        <v>08870972</v>
      </c>
      <c r="K95" s="2" t="str">
        <f>'AFI-F2'!D28</f>
        <v>José Martin Quineche Sánchez </v>
      </c>
      <c r="L95" s="2" t="str">
        <f>'AFI-F2'!E28</f>
        <v>martinj_98@hotmail.com</v>
      </c>
      <c r="M95" s="2" t="str">
        <f>'AFI-F2'!F28</f>
        <v>Callao</v>
      </c>
      <c r="N95" s="2" t="str">
        <f>'AFI-F2'!G28</f>
        <v>997 126 675</v>
      </c>
      <c r="O95" s="2" t="str">
        <f>'AFI-F2'!H28</f>
        <v>X</v>
      </c>
      <c r="P95" s="2" t="str">
        <f>'AFI-F2'!I28</f>
        <v/>
      </c>
      <c r="Q95" s="2">
        <f>'AFI-F2'!J28</f>
        <v>100</v>
      </c>
      <c r="R95" s="2">
        <f>'AFI-F2'!K28</f>
        <v>100</v>
      </c>
      <c r="S95" s="2" t="str">
        <f>'AFI-F2'!L28</f>
        <v>COBR</v>
      </c>
      <c r="T95" s="2" t="str">
        <f>'AFI-F2'!M28</f>
        <v>YAPE JL</v>
      </c>
      <c r="U95" s="2">
        <f>'AFI-F2'!N28</f>
        <v>100</v>
      </c>
      <c r="V95" s="2" t="str">
        <f>'AFI-F2'!P28</f>
        <v/>
      </c>
      <c r="W95" s="2" t="str">
        <f>'AFI-F2'!Q28</f>
        <v>Tania</v>
      </c>
      <c r="X95" s="5">
        <f>'AFI-F2'!R28</f>
        <v>200</v>
      </c>
      <c r="Y95" s="1"/>
      <c r="Z95" s="1"/>
      <c r="AA95" s="1"/>
    </row>
    <row r="96">
      <c r="A96" s="1"/>
      <c r="B96" s="14">
        <f t="shared" si="6"/>
        <v>25</v>
      </c>
      <c r="C96" s="22" t="str">
        <f t="shared" si="1"/>
        <v>enero</v>
      </c>
      <c r="D96" s="22">
        <f t="shared" si="2"/>
        <v>1</v>
      </c>
      <c r="E96" s="23" t="str">
        <f t="shared" si="3"/>
        <v>sábado</v>
      </c>
      <c r="F96" s="22">
        <f t="shared" si="4"/>
        <v>3</v>
      </c>
      <c r="G96" s="22" t="s">
        <v>23</v>
      </c>
      <c r="H96" s="3">
        <f>'AFI-F2'!$G$3</f>
        <v>45668</v>
      </c>
      <c r="I96" s="24">
        <f>'AFI-F2'!B29</f>
        <v>46025</v>
      </c>
      <c r="J96" s="2">
        <f>'AFI-F2'!C29</f>
        <v>45479473</v>
      </c>
      <c r="K96" s="2" t="str">
        <f>'AFI-F2'!D29</f>
        <v>Deivy wilson rios anco</v>
      </c>
      <c r="L96" s="2" t="str">
        <f>'AFI-F2'!E29</f>
        <v>Wilsonuni@gmail.com </v>
      </c>
      <c r="M96" s="2" t="str">
        <f>'AFI-F2'!F29</f>
        <v>SAN LUIS</v>
      </c>
      <c r="N96" s="2" t="str">
        <f>'AFI-F2'!G29</f>
        <v>936 613 646</v>
      </c>
      <c r="O96" s="2" t="str">
        <f>'AFI-F2'!H29</f>
        <v>X</v>
      </c>
      <c r="P96" s="2" t="str">
        <f>'AFI-F2'!I29</f>
        <v>X</v>
      </c>
      <c r="Q96" s="2">
        <f>'AFI-F2'!J29</f>
        <v>380</v>
      </c>
      <c r="R96" s="2" t="str">
        <f>'AFI-F2'!K29</f>
        <v/>
      </c>
      <c r="S96" s="2" t="str">
        <f>'AFI-F2'!L29</f>
        <v>PAGO</v>
      </c>
      <c r="T96" s="2" t="str">
        <f>'AFI-F2'!M29</f>
        <v>MERC-PAG</v>
      </c>
      <c r="U96" s="2">
        <f>'AFI-F2'!N29</f>
        <v>363.16</v>
      </c>
      <c r="V96" s="2" t="str">
        <f>'AFI-F2'!P29</f>
        <v/>
      </c>
      <c r="W96" s="2" t="str">
        <f>'AFI-F2'!Q29</f>
        <v>Yadhira</v>
      </c>
      <c r="X96" s="5">
        <f>'AFI-F2'!R29</f>
        <v>363.16</v>
      </c>
      <c r="Y96" s="1"/>
      <c r="Z96" s="1"/>
      <c r="AA96" s="1"/>
    </row>
    <row r="97">
      <c r="A97" s="1"/>
      <c r="B97" s="14">
        <f t="shared" si="6"/>
        <v>26</v>
      </c>
      <c r="C97" s="22" t="str">
        <f t="shared" si="1"/>
        <v>enero</v>
      </c>
      <c r="D97" s="22">
        <f t="shared" si="2"/>
        <v>1</v>
      </c>
      <c r="E97" s="23" t="str">
        <f t="shared" si="3"/>
        <v>sábado</v>
      </c>
      <c r="F97" s="22">
        <f t="shared" si="4"/>
        <v>3</v>
      </c>
      <c r="G97" s="22" t="s">
        <v>23</v>
      </c>
      <c r="H97" s="3">
        <f>'AFI-F2'!$G$3</f>
        <v>45668</v>
      </c>
      <c r="I97" s="24">
        <f>'AFI-F2'!B30</f>
        <v>46025</v>
      </c>
      <c r="J97" s="2" t="str">
        <f>'AFI-F2'!C30</f>
        <v>⁠45526454</v>
      </c>
      <c r="K97" s="2" t="str">
        <f>'AFI-F2'!D30</f>
        <v>David Guardia Menendez</v>
      </c>
      <c r="L97" s="2" t="str">
        <f>'AFI-F2'!E30</f>
        <v>⁠guardiamd@gmail.com</v>
      </c>
      <c r="M97" s="2" t="str">
        <f>'AFI-F2'!F30</f>
        <v>SURCO</v>
      </c>
      <c r="N97" s="2" t="str">
        <f>'AFI-F2'!G30</f>
        <v>987 760 144</v>
      </c>
      <c r="O97" s="2" t="str">
        <f>'AFI-F2'!H30</f>
        <v>X</v>
      </c>
      <c r="P97" s="2" t="str">
        <f>'AFI-F2'!I30</f>
        <v/>
      </c>
      <c r="Q97" s="2">
        <f>'AFI-F2'!J30</f>
        <v>175</v>
      </c>
      <c r="R97" s="2">
        <f>'AFI-F2'!K30</f>
        <v>175</v>
      </c>
      <c r="S97" s="2" t="str">
        <f>'AFI-F2'!L30</f>
        <v>COBR</v>
      </c>
      <c r="T97" s="2" t="str">
        <f>'AFI-F2'!M30</f>
        <v>MERC-PAG</v>
      </c>
      <c r="U97" s="2">
        <f>'AFI-F2'!N30</f>
        <v>167.2</v>
      </c>
      <c r="V97" s="2" t="str">
        <f>'AFI-F2'!P30</f>
        <v/>
      </c>
      <c r="W97" s="2" t="str">
        <f>'AFI-F2'!Q30</f>
        <v>Yadhira</v>
      </c>
      <c r="X97" s="5">
        <f>'AFI-F2'!R30</f>
        <v>334.4</v>
      </c>
      <c r="Y97" s="1"/>
      <c r="Z97" s="1"/>
      <c r="AA97" s="1"/>
    </row>
    <row r="98">
      <c r="A98" s="1"/>
      <c r="B98" s="14">
        <f t="shared" si="6"/>
        <v>27</v>
      </c>
      <c r="C98" s="22" t="str">
        <f t="shared" si="1"/>
        <v>enero</v>
      </c>
      <c r="D98" s="22">
        <f t="shared" si="2"/>
        <v>1</v>
      </c>
      <c r="E98" s="23" t="str">
        <f t="shared" si="3"/>
        <v>sábado</v>
      </c>
      <c r="F98" s="22">
        <f t="shared" si="4"/>
        <v>3</v>
      </c>
      <c r="G98" s="22" t="s">
        <v>23</v>
      </c>
      <c r="H98" s="3">
        <f>'AFI-F2'!$G$3</f>
        <v>45668</v>
      </c>
      <c r="I98" s="24">
        <f>'AFI-F2'!B31</f>
        <v>46025</v>
      </c>
      <c r="J98" s="2">
        <f>'AFI-F2'!C31</f>
        <v>45786136</v>
      </c>
      <c r="K98" s="2" t="str">
        <f>'AFI-F2'!D31</f>
        <v>Lourdes Franco Vidal</v>
      </c>
      <c r="L98" s="2" t="str">
        <f>'AFI-F2'!E31</f>
        <v>⁠guardiamd@gmail.com</v>
      </c>
      <c r="M98" s="2" t="str">
        <f>'AFI-F2'!F31</f>
        <v>SURCO</v>
      </c>
      <c r="N98" s="2" t="str">
        <f>'AFI-F2'!G31</f>
        <v>987 760 144</v>
      </c>
      <c r="O98" s="2" t="str">
        <f>'AFI-F2'!H31</f>
        <v>X</v>
      </c>
      <c r="P98" s="2" t="str">
        <f>'AFI-F2'!I31</f>
        <v/>
      </c>
      <c r="Q98" s="2">
        <f>'AFI-F2'!J31</f>
        <v>175</v>
      </c>
      <c r="R98" s="2">
        <f>'AFI-F2'!K31</f>
        <v>175</v>
      </c>
      <c r="S98" s="2" t="str">
        <f>'AFI-F2'!L31</f>
        <v>COBR</v>
      </c>
      <c r="T98" s="2" t="str">
        <f>'AFI-F2'!M31</f>
        <v>MERC-PAG</v>
      </c>
      <c r="U98" s="2">
        <f>'AFI-F2'!N31</f>
        <v>167.2</v>
      </c>
      <c r="V98" s="2" t="str">
        <f>'AFI-F2'!P31</f>
        <v/>
      </c>
      <c r="W98" s="2" t="str">
        <f>'AFI-F2'!Q31</f>
        <v>Yadhira</v>
      </c>
      <c r="X98" s="5">
        <f>'AFI-F2'!R31</f>
        <v>334.4</v>
      </c>
      <c r="Y98" s="1"/>
      <c r="Z98" s="1"/>
      <c r="AA98" s="1"/>
    </row>
    <row r="99">
      <c r="A99" s="1"/>
      <c r="B99" s="14">
        <f t="shared" si="6"/>
        <v>28</v>
      </c>
      <c r="C99" s="22" t="str">
        <f t="shared" si="1"/>
        <v>enero</v>
      </c>
      <c r="D99" s="22">
        <f t="shared" si="2"/>
        <v>1</v>
      </c>
      <c r="E99" s="23" t="str">
        <f t="shared" si="3"/>
        <v>sábado</v>
      </c>
      <c r="F99" s="22">
        <f t="shared" si="4"/>
        <v>3</v>
      </c>
      <c r="G99" s="22" t="s">
        <v>23</v>
      </c>
      <c r="H99" s="3">
        <f>'AFI-F2'!$G$3</f>
        <v>45668</v>
      </c>
      <c r="I99" s="24">
        <f>'AFI-F2'!B32</f>
        <v>46025</v>
      </c>
      <c r="J99" s="2">
        <f>'AFI-F2'!C32</f>
        <v>45592753</v>
      </c>
      <c r="K99" s="2" t="str">
        <f>'AFI-F2'!D32</f>
        <v>Jorge Araujo</v>
      </c>
      <c r="L99" s="2" t="str">
        <f>'AFI-F2'!E32</f>
        <v>Jorgearaujo13@hotmail.com</v>
      </c>
      <c r="M99" s="2" t="str">
        <f>'AFI-F2'!F32</f>
        <v/>
      </c>
      <c r="N99" s="2" t="str">
        <f>'AFI-F2'!G32</f>
        <v/>
      </c>
      <c r="O99" s="2" t="str">
        <f>'AFI-F2'!H32</f>
        <v/>
      </c>
      <c r="P99" s="2" t="str">
        <f>'AFI-F2'!I32</f>
        <v>x</v>
      </c>
      <c r="Q99" s="2">
        <f>'AFI-F2'!J32</f>
        <v>220</v>
      </c>
      <c r="R99" s="2" t="str">
        <f>'AFI-F2'!K32</f>
        <v/>
      </c>
      <c r="S99" s="2" t="str">
        <f>'AFI-F2'!L32</f>
        <v>PAGO</v>
      </c>
      <c r="T99" s="2" t="str">
        <f>'AFI-F2'!M32</f>
        <v>YAPE JL</v>
      </c>
      <c r="U99" s="2">
        <f>'AFI-F2'!N32</f>
        <v>220</v>
      </c>
      <c r="V99" s="2" t="str">
        <f>'AFI-F2'!P32</f>
        <v/>
      </c>
      <c r="W99" s="2" t="str">
        <f>'AFI-F2'!Q32</f>
        <v>Katherine</v>
      </c>
      <c r="X99" s="5">
        <f>'AFI-F2'!R32</f>
        <v>220</v>
      </c>
      <c r="Y99" s="1"/>
      <c r="Z99" s="1"/>
      <c r="AA99" s="1"/>
    </row>
    <row r="100">
      <c r="A100" s="1"/>
      <c r="B100" s="14">
        <f t="shared" si="6"/>
        <v>29</v>
      </c>
      <c r="C100" s="22" t="str">
        <f t="shared" si="1"/>
        <v>enero</v>
      </c>
      <c r="D100" s="22">
        <f t="shared" si="2"/>
        <v>2</v>
      </c>
      <c r="E100" s="23" t="str">
        <f t="shared" si="3"/>
        <v>lunes</v>
      </c>
      <c r="F100" s="22">
        <f t="shared" si="4"/>
        <v>5</v>
      </c>
      <c r="G100" s="22" t="s">
        <v>23</v>
      </c>
      <c r="H100" s="3">
        <f>'AFI-F2'!$G$3</f>
        <v>45668</v>
      </c>
      <c r="I100" s="24">
        <f>'AFI-F2'!B33</f>
        <v>46027</v>
      </c>
      <c r="J100" s="2">
        <f>'AFI-F2'!C33</f>
        <v>44784709</v>
      </c>
      <c r="K100" s="2" t="str">
        <f>'AFI-F2'!D33</f>
        <v>José Ernesto Rodríguez Marcelo</v>
      </c>
      <c r="L100" s="2" t="str">
        <f>'AFI-F2'!E33</f>
        <v/>
      </c>
      <c r="M100" s="2" t="str">
        <f>'AFI-F2'!F33</f>
        <v>breña</v>
      </c>
      <c r="N100" s="2" t="str">
        <f>'AFI-F2'!G33</f>
        <v/>
      </c>
      <c r="O100" s="2" t="str">
        <f>'AFI-F2'!H33</f>
        <v>x</v>
      </c>
      <c r="P100" s="2" t="str">
        <f>'AFI-F2'!I33</f>
        <v/>
      </c>
      <c r="Q100" s="2">
        <f>'AFI-F2'!J33</f>
        <v>200</v>
      </c>
      <c r="R100" s="2" t="str">
        <f>'AFI-F2'!K33</f>
        <v/>
      </c>
      <c r="S100" s="2" t="str">
        <f>'AFI-F2'!L33</f>
        <v>PAGO</v>
      </c>
      <c r="T100" s="2" t="str">
        <f>'AFI-F2'!M33</f>
        <v>YAPE JL</v>
      </c>
      <c r="U100" s="2">
        <f>'AFI-F2'!N33</f>
        <v>200</v>
      </c>
      <c r="V100" s="2" t="str">
        <f>'AFI-F2'!P33</f>
        <v/>
      </c>
      <c r="W100" s="2" t="str">
        <f>'AFI-F2'!Q33</f>
        <v>Katherine</v>
      </c>
      <c r="X100" s="5">
        <f>'AFI-F2'!R33</f>
        <v>200</v>
      </c>
      <c r="Y100" s="1"/>
      <c r="Z100" s="1"/>
      <c r="AA100" s="1"/>
    </row>
    <row r="101">
      <c r="A101" s="1"/>
      <c r="B101" s="14">
        <f t="shared" si="6"/>
        <v>30</v>
      </c>
      <c r="C101" s="22" t="str">
        <f t="shared" si="1"/>
        <v>enero</v>
      </c>
      <c r="D101" s="22">
        <f t="shared" si="2"/>
        <v>2</v>
      </c>
      <c r="E101" s="23" t="str">
        <f t="shared" si="3"/>
        <v>lunes</v>
      </c>
      <c r="F101" s="22">
        <f t="shared" si="4"/>
        <v>5</v>
      </c>
      <c r="G101" s="22" t="s">
        <v>23</v>
      </c>
      <c r="H101" s="3">
        <f>'AFI-F2'!$G$3</f>
        <v>45668</v>
      </c>
      <c r="I101" s="24">
        <f>'AFI-F2'!B34</f>
        <v>46027</v>
      </c>
      <c r="J101" s="2" t="str">
        <f>'AFI-F2'!C34</f>
        <v/>
      </c>
      <c r="K101" s="2" t="str">
        <f>'AFI-F2'!D34</f>
        <v>María Quiroga</v>
      </c>
      <c r="L101" s="2" t="str">
        <f>'AFI-F2'!E34</f>
        <v>marijo51290@gmail.com</v>
      </c>
      <c r="M101" s="2" t="str">
        <f>'AFI-F2'!F34</f>
        <v/>
      </c>
      <c r="N101" s="2" t="str">
        <f>'AFI-F2'!G34</f>
        <v/>
      </c>
      <c r="O101" s="2" t="str">
        <f>'AFI-F2'!H34</f>
        <v/>
      </c>
      <c r="P101" s="2" t="str">
        <f>'AFI-F2'!I34</f>
        <v>x</v>
      </c>
      <c r="Q101" s="2">
        <f>'AFI-F2'!J34</f>
        <v>190</v>
      </c>
      <c r="R101" s="2" t="str">
        <f>'AFI-F2'!K34</f>
        <v/>
      </c>
      <c r="S101" s="2" t="str">
        <f>'AFI-F2'!L34</f>
        <v>PAGO</v>
      </c>
      <c r="T101" s="2" t="str">
        <f>'AFI-F2'!M34</f>
        <v>YAPE JL</v>
      </c>
      <c r="U101" s="2">
        <f>'AFI-F2'!N34</f>
        <v>190</v>
      </c>
      <c r="V101" s="2" t="str">
        <f>'AFI-F2'!P34</f>
        <v/>
      </c>
      <c r="W101" s="2" t="str">
        <f>'AFI-F2'!Q34</f>
        <v>Katherine</v>
      </c>
      <c r="X101" s="5">
        <f>'AFI-F2'!R34</f>
        <v>190</v>
      </c>
      <c r="Y101" s="1"/>
      <c r="Z101" s="1"/>
      <c r="AA101" s="1"/>
    </row>
    <row r="102">
      <c r="A102" s="1"/>
      <c r="B102" s="14">
        <f t="shared" si="6"/>
        <v>31</v>
      </c>
      <c r="C102" s="22" t="str">
        <f t="shared" si="1"/>
        <v>enero</v>
      </c>
      <c r="D102" s="22">
        <f t="shared" si="2"/>
        <v>2</v>
      </c>
      <c r="E102" s="23" t="str">
        <f t="shared" si="3"/>
        <v>lunes</v>
      </c>
      <c r="F102" s="22">
        <f t="shared" si="4"/>
        <v>5</v>
      </c>
      <c r="G102" s="22" t="s">
        <v>23</v>
      </c>
      <c r="H102" s="3">
        <f>'AFI-F2'!$G$3</f>
        <v>45668</v>
      </c>
      <c r="I102" s="24">
        <f>'AFI-F2'!B35</f>
        <v>46027</v>
      </c>
      <c r="J102" s="2" t="str">
        <f>'AFI-F2'!C35</f>
        <v/>
      </c>
      <c r="K102" s="2" t="str">
        <f>'AFI-F2'!D35</f>
        <v>Carlos Gil</v>
      </c>
      <c r="L102" s="2" t="str">
        <f>'AFI-F2'!E35</f>
        <v>marijo51290@gmail.com</v>
      </c>
      <c r="M102" s="2" t="str">
        <f>'AFI-F2'!F35</f>
        <v/>
      </c>
      <c r="N102" s="2" t="str">
        <f>'AFI-F2'!G35</f>
        <v/>
      </c>
      <c r="O102" s="2" t="str">
        <f>'AFI-F2'!H35</f>
        <v/>
      </c>
      <c r="P102" s="2" t="str">
        <f>'AFI-F2'!I35</f>
        <v>x</v>
      </c>
      <c r="Q102" s="2">
        <f>'AFI-F2'!J35</f>
        <v>190</v>
      </c>
      <c r="R102" s="2" t="str">
        <f>'AFI-F2'!K35</f>
        <v/>
      </c>
      <c r="S102" s="2" t="str">
        <f>'AFI-F2'!L35</f>
        <v>PAGO</v>
      </c>
      <c r="T102" s="2" t="str">
        <f>'AFI-F2'!M35</f>
        <v>YAPE JL</v>
      </c>
      <c r="U102" s="2">
        <f>'AFI-F2'!N35</f>
        <v>190</v>
      </c>
      <c r="V102" s="2" t="str">
        <f>'AFI-F2'!P35</f>
        <v/>
      </c>
      <c r="W102" s="2" t="str">
        <f>'AFI-F2'!Q35</f>
        <v>Katherine</v>
      </c>
      <c r="X102" s="5">
        <f>'AFI-F2'!R35</f>
        <v>190</v>
      </c>
      <c r="Y102" s="1"/>
      <c r="Z102" s="1"/>
      <c r="AA102" s="1"/>
    </row>
    <row r="103">
      <c r="A103" s="1"/>
      <c r="B103" s="14">
        <f t="shared" si="6"/>
        <v>32</v>
      </c>
      <c r="C103" s="22" t="str">
        <f t="shared" si="1"/>
        <v>enero</v>
      </c>
      <c r="D103" s="22">
        <f t="shared" si="2"/>
        <v>2</v>
      </c>
      <c r="E103" s="23" t="str">
        <f t="shared" si="3"/>
        <v>lunes</v>
      </c>
      <c r="F103" s="22">
        <f t="shared" si="4"/>
        <v>5</v>
      </c>
      <c r="G103" s="22" t="s">
        <v>23</v>
      </c>
      <c r="H103" s="3">
        <f>'AFI-F2'!$G$3</f>
        <v>45668</v>
      </c>
      <c r="I103" s="24">
        <f>'AFI-F2'!B36</f>
        <v>46027</v>
      </c>
      <c r="J103" s="2" t="str">
        <f>'AFI-F2'!C36</f>
        <v/>
      </c>
      <c r="K103" s="2" t="str">
        <f>'AFI-F2'!D36</f>
        <v>Diego Miletich </v>
      </c>
      <c r="L103" s="2" t="str">
        <f>'AFI-F2'!E36</f>
        <v>patriciaarz@yahoo.es</v>
      </c>
      <c r="M103" s="2" t="str">
        <f>'AFI-F2'!F36</f>
        <v>san miguel</v>
      </c>
      <c r="N103" s="2" t="str">
        <f>'AFI-F2'!G36</f>
        <v/>
      </c>
      <c r="O103" s="2" t="str">
        <f>'AFI-F2'!H36</f>
        <v/>
      </c>
      <c r="P103" s="2" t="str">
        <f>'AFI-F2'!I36</f>
        <v>x</v>
      </c>
      <c r="Q103" s="2">
        <f>'AFI-F2'!J36</f>
        <v>95</v>
      </c>
      <c r="R103" s="2">
        <f>'AFI-F2'!K36</f>
        <v>95</v>
      </c>
      <c r="S103" s="2" t="str">
        <f>'AFI-F2'!L36</f>
        <v>COBR</v>
      </c>
      <c r="T103" s="2" t="str">
        <f>'AFI-F2'!M36</f>
        <v>YAPE JL</v>
      </c>
      <c r="U103" s="2">
        <f>'AFI-F2'!N36</f>
        <v>95</v>
      </c>
      <c r="V103" s="2" t="str">
        <f>'AFI-F2'!P36</f>
        <v/>
      </c>
      <c r="W103" s="2" t="str">
        <f>'AFI-F2'!Q36</f>
        <v>Katherine</v>
      </c>
      <c r="X103" s="5">
        <f>'AFI-F2'!R36</f>
        <v>190</v>
      </c>
      <c r="Y103" s="1"/>
      <c r="Z103" s="1"/>
      <c r="AA103" s="1"/>
    </row>
    <row r="104">
      <c r="A104" s="1"/>
      <c r="B104" s="14">
        <f t="shared" si="6"/>
        <v>33</v>
      </c>
      <c r="C104" s="22" t="str">
        <f t="shared" si="1"/>
        <v>enero</v>
      </c>
      <c r="D104" s="22">
        <f t="shared" si="2"/>
        <v>2</v>
      </c>
      <c r="E104" s="23" t="str">
        <f t="shared" si="3"/>
        <v>lunes</v>
      </c>
      <c r="F104" s="22">
        <f t="shared" si="4"/>
        <v>5</v>
      </c>
      <c r="G104" s="22" t="s">
        <v>23</v>
      </c>
      <c r="H104" s="3">
        <f>'AFI-F2'!$G$3</f>
        <v>45668</v>
      </c>
      <c r="I104" s="24">
        <f>'AFI-F2'!B37</f>
        <v>46027</v>
      </c>
      <c r="J104" s="2" t="str">
        <f>'AFI-F2'!C37</f>
        <v/>
      </c>
      <c r="K104" s="2" t="str">
        <f>'AFI-F2'!D37</f>
        <v>Mirko Miletich </v>
      </c>
      <c r="L104" s="2" t="str">
        <f>'AFI-F2'!E37</f>
        <v>patriciaarz@yahoo.es</v>
      </c>
      <c r="M104" s="2" t="str">
        <f>'AFI-F2'!F37</f>
        <v>san miguel</v>
      </c>
      <c r="N104" s="2" t="str">
        <f>'AFI-F2'!G37</f>
        <v/>
      </c>
      <c r="O104" s="2" t="str">
        <f>'AFI-F2'!H37</f>
        <v/>
      </c>
      <c r="P104" s="2" t="str">
        <f>'AFI-F2'!I37</f>
        <v>x</v>
      </c>
      <c r="Q104" s="2">
        <f>'AFI-F2'!J37</f>
        <v>95</v>
      </c>
      <c r="R104" s="2">
        <f>'AFI-F2'!K37</f>
        <v>95</v>
      </c>
      <c r="S104" s="2" t="str">
        <f>'AFI-F2'!L37</f>
        <v>COBR</v>
      </c>
      <c r="T104" s="2" t="str">
        <f>'AFI-F2'!M37</f>
        <v>YAPE JL</v>
      </c>
      <c r="U104" s="2">
        <f>'AFI-F2'!N37</f>
        <v>95</v>
      </c>
      <c r="V104" s="2" t="str">
        <f>'AFI-F2'!P37</f>
        <v/>
      </c>
      <c r="W104" s="2" t="str">
        <f>'AFI-F2'!Q37</f>
        <v>Katherine</v>
      </c>
      <c r="X104" s="5">
        <f>'AFI-F2'!R37</f>
        <v>190</v>
      </c>
      <c r="Y104" s="1"/>
      <c r="Z104" s="1"/>
      <c r="AA104" s="1"/>
    </row>
    <row r="105">
      <c r="A105" s="1"/>
      <c r="B105" s="14">
        <f t="shared" si="6"/>
        <v>34</v>
      </c>
      <c r="C105" s="22" t="str">
        <f t="shared" si="1"/>
        <v>enero</v>
      </c>
      <c r="D105" s="22">
        <f t="shared" si="2"/>
        <v>2</v>
      </c>
      <c r="E105" s="23" t="str">
        <f t="shared" si="3"/>
        <v>domingo</v>
      </c>
      <c r="F105" s="22">
        <f t="shared" si="4"/>
        <v>4</v>
      </c>
      <c r="G105" s="22" t="s">
        <v>23</v>
      </c>
      <c r="H105" s="3">
        <f>'AFI-F2'!$G$3</f>
        <v>45668</v>
      </c>
      <c r="I105" s="24">
        <f>'AFI-F2'!B38</f>
        <v>46026</v>
      </c>
      <c r="J105" s="2">
        <f>'AFI-F2'!C38</f>
        <v>41577290</v>
      </c>
      <c r="K105" s="2" t="str">
        <f>'AFI-F2'!D38</f>
        <v>Manuel Mori Mideyros</v>
      </c>
      <c r="L105" s="2" t="str">
        <f>'AFI-F2'!E38</f>
        <v>j.chefmori@gmail.com</v>
      </c>
      <c r="M105" s="2" t="str">
        <f>'AFI-F2'!F38</f>
        <v>SAN MARTIN</v>
      </c>
      <c r="N105" s="2" t="str">
        <f>'AFI-F2'!G38</f>
        <v>945 841 782</v>
      </c>
      <c r="O105" s="2" t="str">
        <f>'AFI-F2'!H38</f>
        <v>X</v>
      </c>
      <c r="P105" s="2" t="str">
        <f>'AFI-F2'!I38</f>
        <v>X</v>
      </c>
      <c r="Q105" s="2">
        <f>'AFI-F2'!J38</f>
        <v>380</v>
      </c>
      <c r="R105" s="2" t="str">
        <f>'AFI-F2'!K38</f>
        <v/>
      </c>
      <c r="S105" s="2" t="str">
        <f>'AFI-F2'!L38</f>
        <v>PAGO</v>
      </c>
      <c r="T105" s="2" t="str">
        <f>'AFI-F2'!M38</f>
        <v>PLIN JL</v>
      </c>
      <c r="U105" s="2">
        <f>'AFI-F2'!N38</f>
        <v>380</v>
      </c>
      <c r="V105" s="2" t="str">
        <f>'AFI-F2'!P38</f>
        <v/>
      </c>
      <c r="W105" s="2" t="str">
        <f>'AFI-F2'!Q38</f>
        <v>Yadhira</v>
      </c>
      <c r="X105" s="5">
        <f>'AFI-F2'!R38</f>
        <v>380</v>
      </c>
      <c r="Y105" s="1"/>
      <c r="Z105" s="1"/>
      <c r="AA105" s="1"/>
    </row>
    <row r="106">
      <c r="A106" s="1"/>
      <c r="B106" s="14">
        <f t="shared" si="6"/>
        <v>35</v>
      </c>
      <c r="C106" s="22" t="str">
        <f t="shared" si="1"/>
        <v>enero</v>
      </c>
      <c r="D106" s="22">
        <f t="shared" si="2"/>
        <v>2</v>
      </c>
      <c r="E106" s="23" t="str">
        <f t="shared" si="3"/>
        <v>lunes</v>
      </c>
      <c r="F106" s="22">
        <f t="shared" si="4"/>
        <v>5</v>
      </c>
      <c r="G106" s="22" t="s">
        <v>23</v>
      </c>
      <c r="H106" s="3">
        <f>'AFI-F2'!$G$3</f>
        <v>45668</v>
      </c>
      <c r="I106" s="24">
        <f>'AFI-F2'!B39</f>
        <v>46027</v>
      </c>
      <c r="J106" s="25" t="str">
        <f>'AFI-F2'!C39</f>
        <v>003012946</v>
      </c>
      <c r="K106" s="2" t="str">
        <f>'AFI-F2'!D39</f>
        <v>Ambioris Peña </v>
      </c>
      <c r="L106" s="2" t="str">
        <f>'AFI-F2'!E39</f>
        <v>ambiorisellince@gmail.com</v>
      </c>
      <c r="M106" s="2" t="str">
        <f>'AFI-F2'!F39</f>
        <v>SURCO</v>
      </c>
      <c r="N106" s="2" t="str">
        <f>'AFI-F2'!G39</f>
        <v>940 114 314</v>
      </c>
      <c r="O106" s="2" t="str">
        <f>'AFI-F2'!H39</f>
        <v>X</v>
      </c>
      <c r="P106" s="2" t="str">
        <f>'AFI-F2'!I39</f>
        <v>X</v>
      </c>
      <c r="Q106" s="2">
        <f>'AFI-F2'!J39</f>
        <v>380</v>
      </c>
      <c r="R106" s="2" t="str">
        <f>'AFI-F2'!K39</f>
        <v/>
      </c>
      <c r="S106" s="2" t="str">
        <f>'AFI-F2'!L39</f>
        <v>PAGO</v>
      </c>
      <c r="T106" s="2" t="str">
        <f>'AFI-F2'!M39</f>
        <v>PLIN JL</v>
      </c>
      <c r="U106" s="2">
        <f>'AFI-F2'!N39</f>
        <v>380</v>
      </c>
      <c r="V106" s="2" t="str">
        <f>'AFI-F2'!P39</f>
        <v/>
      </c>
      <c r="W106" s="2" t="str">
        <f>'AFI-F2'!Q39</f>
        <v>Yadhira</v>
      </c>
      <c r="X106" s="5">
        <f>'AFI-F2'!R39</f>
        <v>380</v>
      </c>
      <c r="Y106" s="1"/>
      <c r="Z106" s="1"/>
      <c r="AA106" s="1"/>
    </row>
    <row r="107">
      <c r="A107" s="1"/>
      <c r="B107" s="14">
        <f t="shared" si="6"/>
        <v>36</v>
      </c>
      <c r="C107" s="22" t="str">
        <f t="shared" si="1"/>
        <v>enero</v>
      </c>
      <c r="D107" s="22">
        <f t="shared" si="2"/>
        <v>2</v>
      </c>
      <c r="E107" s="23" t="str">
        <f t="shared" si="3"/>
        <v>lunes</v>
      </c>
      <c r="F107" s="22">
        <f t="shared" si="4"/>
        <v>5</v>
      </c>
      <c r="G107" s="22" t="s">
        <v>23</v>
      </c>
      <c r="H107" s="3">
        <f>'AFI-F2'!$G$3</f>
        <v>45668</v>
      </c>
      <c r="I107" s="24">
        <f>'AFI-F2'!B40</f>
        <v>46027</v>
      </c>
      <c r="J107" s="2" t="str">
        <f>'AFI-F2'!C40</f>
        <v/>
      </c>
      <c r="K107" s="2" t="str">
        <f>'AFI-F2'!D40</f>
        <v>Walter Castro vargas</v>
      </c>
      <c r="L107" s="2" t="str">
        <f>'AFI-F2'!E40</f>
        <v>waltercv2002@hotmail.com</v>
      </c>
      <c r="M107" s="2" t="str">
        <f>'AFI-F2'!F40</f>
        <v/>
      </c>
      <c r="N107" s="2" t="str">
        <f>'AFI-F2'!G40</f>
        <v/>
      </c>
      <c r="O107" s="2" t="str">
        <f>'AFI-F2'!H40</f>
        <v>x</v>
      </c>
      <c r="P107" s="2" t="str">
        <f>'AFI-F2'!I40</f>
        <v>x</v>
      </c>
      <c r="Q107" s="2">
        <f>'AFI-F2'!J40</f>
        <v>330</v>
      </c>
      <c r="R107" s="2">
        <f>'AFI-F2'!K40</f>
        <v>20</v>
      </c>
      <c r="S107" s="2" t="str">
        <f>'AFI-F2'!L40</f>
        <v>COBR</v>
      </c>
      <c r="T107" s="2" t="str">
        <f>'AFI-F2'!M40</f>
        <v>BCP JL</v>
      </c>
      <c r="U107" s="2">
        <f>'AFI-F2'!N40</f>
        <v>330</v>
      </c>
      <c r="V107" s="2" t="str">
        <f>'AFI-F2'!P40</f>
        <v/>
      </c>
      <c r="W107" s="2" t="str">
        <f>'AFI-F2'!Q40</f>
        <v>Katherine</v>
      </c>
      <c r="X107" s="5">
        <f>'AFI-F2'!R40</f>
        <v>350</v>
      </c>
      <c r="Y107" s="1"/>
      <c r="Z107" s="1"/>
      <c r="AA107" s="1"/>
    </row>
    <row r="108">
      <c r="A108" s="1"/>
      <c r="B108" s="14">
        <f t="shared" si="6"/>
        <v>37</v>
      </c>
      <c r="C108" s="22" t="str">
        <f t="shared" si="1"/>
        <v>enero</v>
      </c>
      <c r="D108" s="22">
        <f t="shared" si="2"/>
        <v>2</v>
      </c>
      <c r="E108" s="23" t="str">
        <f t="shared" si="3"/>
        <v>lunes</v>
      </c>
      <c r="F108" s="22">
        <f t="shared" si="4"/>
        <v>5</v>
      </c>
      <c r="G108" s="22" t="s">
        <v>23</v>
      </c>
      <c r="H108" s="3">
        <f>'AFI-F2'!$G$3</f>
        <v>45668</v>
      </c>
      <c r="I108" s="24">
        <f>'AFI-F2'!B41</f>
        <v>46027</v>
      </c>
      <c r="J108" s="2" t="str">
        <f>'AFI-F2'!C41</f>
        <v/>
      </c>
      <c r="K108" s="2" t="str">
        <f>'AFI-F2'!D41</f>
        <v>Walter Castro Ugarte</v>
      </c>
      <c r="L108" s="2" t="str">
        <f>'AFI-F2'!E41</f>
        <v>waltercv2002@hotmail.com</v>
      </c>
      <c r="M108" s="2" t="str">
        <f>'AFI-F2'!F41</f>
        <v/>
      </c>
      <c r="N108" s="2" t="str">
        <f>'AFI-F2'!G41</f>
        <v/>
      </c>
      <c r="O108" s="2" t="str">
        <f>'AFI-F2'!H41</f>
        <v>x</v>
      </c>
      <c r="P108" s="2" t="str">
        <f>'AFI-F2'!I41</f>
        <v>x</v>
      </c>
      <c r="Q108" s="2">
        <f>'AFI-F2'!J41</f>
        <v>330</v>
      </c>
      <c r="R108" s="2">
        <f>'AFI-F2'!K41</f>
        <v>20</v>
      </c>
      <c r="S108" s="2" t="str">
        <f>'AFI-F2'!L41</f>
        <v>COBR</v>
      </c>
      <c r="T108" s="2" t="str">
        <f>'AFI-F2'!M41</f>
        <v>BCP JL</v>
      </c>
      <c r="U108" s="2">
        <f>'AFI-F2'!N41</f>
        <v>330</v>
      </c>
      <c r="V108" s="2" t="str">
        <f>'AFI-F2'!P41</f>
        <v/>
      </c>
      <c r="W108" s="2" t="str">
        <f>'AFI-F2'!Q41</f>
        <v>Katherine</v>
      </c>
      <c r="X108" s="5">
        <f>'AFI-F2'!R41</f>
        <v>350</v>
      </c>
      <c r="Y108" s="1"/>
      <c r="Z108" s="1"/>
      <c r="AA108" s="1"/>
    </row>
    <row r="109">
      <c r="A109" s="1"/>
      <c r="B109" s="14">
        <f t="shared" si="6"/>
        <v>38</v>
      </c>
      <c r="C109" s="22" t="str">
        <f t="shared" si="1"/>
        <v>enero</v>
      </c>
      <c r="D109" s="22">
        <f t="shared" si="2"/>
        <v>2</v>
      </c>
      <c r="E109" s="23" t="str">
        <f t="shared" si="3"/>
        <v>martes</v>
      </c>
      <c r="F109" s="22">
        <f t="shared" si="4"/>
        <v>6</v>
      </c>
      <c r="G109" s="22" t="s">
        <v>23</v>
      </c>
      <c r="H109" s="3">
        <f>'AFI-F2'!$G$3</f>
        <v>45668</v>
      </c>
      <c r="I109" s="24">
        <f>'AFI-F2'!B42</f>
        <v>46028</v>
      </c>
      <c r="J109" s="2">
        <f>'AFI-F2'!C42</f>
        <v>46641938</v>
      </c>
      <c r="K109" s="2" t="str">
        <f>'AFI-F2'!D42</f>
        <v>Ivan Irwin Espinoza Revolo </v>
      </c>
      <c r="L109" s="2" t="str">
        <f>'AFI-F2'!E42</f>
        <v/>
      </c>
      <c r="M109" s="2" t="str">
        <f>'AFI-F2'!F42</f>
        <v/>
      </c>
      <c r="N109" s="2" t="str">
        <f>'AFI-F2'!G42</f>
        <v/>
      </c>
      <c r="O109" s="2" t="str">
        <f>'AFI-F2'!H42</f>
        <v/>
      </c>
      <c r="P109" s="2" t="str">
        <f>'AFI-F2'!I42</f>
        <v>x</v>
      </c>
      <c r="Q109" s="2">
        <f>'AFI-F2'!J42</f>
        <v>95</v>
      </c>
      <c r="R109" s="2">
        <f>'AFI-F2'!K42</f>
        <v>95</v>
      </c>
      <c r="S109" s="2" t="str">
        <f>'AFI-F2'!L42</f>
        <v>COBR</v>
      </c>
      <c r="T109" s="2" t="str">
        <f>'AFI-F2'!M42</f>
        <v>YAPE JL</v>
      </c>
      <c r="U109" s="2">
        <f>'AFI-F2'!N42</f>
        <v>95</v>
      </c>
      <c r="V109" s="2" t="str">
        <f>'AFI-F2'!P42</f>
        <v/>
      </c>
      <c r="W109" s="2" t="str">
        <f>'AFI-F2'!Q42</f>
        <v>Katherine</v>
      </c>
      <c r="X109" s="5">
        <f>'AFI-F2'!R42</f>
        <v>190</v>
      </c>
      <c r="Y109" s="1"/>
      <c r="Z109" s="1"/>
      <c r="AA109" s="1"/>
    </row>
    <row r="110">
      <c r="A110" s="1"/>
      <c r="B110" s="14">
        <f t="shared" si="6"/>
        <v>39</v>
      </c>
      <c r="C110" s="22" t="str">
        <f t="shared" si="1"/>
        <v>enero</v>
      </c>
      <c r="D110" s="22">
        <f t="shared" si="2"/>
        <v>2</v>
      </c>
      <c r="E110" s="23" t="str">
        <f t="shared" si="3"/>
        <v>martes</v>
      </c>
      <c r="F110" s="22">
        <f t="shared" si="4"/>
        <v>6</v>
      </c>
      <c r="G110" s="22" t="s">
        <v>23</v>
      </c>
      <c r="H110" s="3">
        <f>'AFI-F2'!$G$3</f>
        <v>45668</v>
      </c>
      <c r="I110" s="24">
        <f>'AFI-F2'!B43</f>
        <v>46028</v>
      </c>
      <c r="J110" s="2">
        <f>'AFI-F2'!C43</f>
        <v>71089810</v>
      </c>
      <c r="K110" s="2" t="str">
        <f>'AFI-F2'!D43</f>
        <v>Guadalupe Ivana Tarazona Velarde</v>
      </c>
      <c r="L110" s="2" t="str">
        <f>'AFI-F2'!E43</f>
        <v/>
      </c>
      <c r="M110" s="2" t="str">
        <f>'AFI-F2'!F43</f>
        <v/>
      </c>
      <c r="N110" s="2" t="str">
        <f>'AFI-F2'!G43</f>
        <v/>
      </c>
      <c r="O110" s="2" t="str">
        <f>'AFI-F2'!H43</f>
        <v/>
      </c>
      <c r="P110" s="2" t="str">
        <f>'AFI-F2'!I43</f>
        <v>x</v>
      </c>
      <c r="Q110" s="2">
        <f>'AFI-F2'!J43</f>
        <v>95</v>
      </c>
      <c r="R110" s="2">
        <f>'AFI-F2'!K43</f>
        <v>95</v>
      </c>
      <c r="S110" s="2" t="str">
        <f>'AFI-F2'!L43</f>
        <v>COBR</v>
      </c>
      <c r="T110" s="2" t="str">
        <f>'AFI-F2'!M43</f>
        <v>YAPE JL</v>
      </c>
      <c r="U110" s="2">
        <f>'AFI-F2'!N43</f>
        <v>95</v>
      </c>
      <c r="V110" s="2" t="str">
        <f>'AFI-F2'!P43</f>
        <v/>
      </c>
      <c r="W110" s="2" t="str">
        <f>'AFI-F2'!Q43</f>
        <v>Katherine</v>
      </c>
      <c r="X110" s="5">
        <f>'AFI-F2'!R43</f>
        <v>190</v>
      </c>
      <c r="Y110" s="1"/>
      <c r="Z110" s="1"/>
      <c r="AA110" s="1"/>
    </row>
    <row r="111">
      <c r="A111" s="1"/>
      <c r="B111" s="14">
        <f t="shared" si="6"/>
        <v>40</v>
      </c>
      <c r="C111" s="22" t="str">
        <f t="shared" si="1"/>
        <v>enero</v>
      </c>
      <c r="D111" s="22">
        <f t="shared" si="2"/>
        <v>2</v>
      </c>
      <c r="E111" s="23" t="str">
        <f t="shared" si="3"/>
        <v>miércoles</v>
      </c>
      <c r="F111" s="22">
        <f t="shared" si="4"/>
        <v>7</v>
      </c>
      <c r="G111" s="22" t="s">
        <v>23</v>
      </c>
      <c r="H111" s="3">
        <f>'AFI-F2'!$G$3</f>
        <v>45668</v>
      </c>
      <c r="I111" s="24">
        <f>'AFI-F2'!B44</f>
        <v>46029</v>
      </c>
      <c r="J111" s="2">
        <f>'AFI-F2'!C44</f>
        <v>40262423</v>
      </c>
      <c r="K111" s="2" t="str">
        <f>'AFI-F2'!D44</f>
        <v>Carlos Meza Gamero</v>
      </c>
      <c r="L111" s="2" t="str">
        <f>'AFI-F2'!E44</f>
        <v>bertha_gamboa@yahoo.com </v>
      </c>
      <c r="M111" s="2" t="str">
        <f>'AFI-F2'!F44</f>
        <v>Ica</v>
      </c>
      <c r="N111" s="2" t="str">
        <f>'AFI-F2'!G44</f>
        <v>956 683 082</v>
      </c>
      <c r="O111" s="2" t="str">
        <f>'AFI-F2'!H44</f>
        <v>x</v>
      </c>
      <c r="P111" s="2" t="str">
        <f>'AFI-F2'!I44</f>
        <v>x</v>
      </c>
      <c r="Q111" s="2">
        <f>'AFI-F2'!J44</f>
        <v>380</v>
      </c>
      <c r="R111" s="2" t="str">
        <f>'AFI-F2'!K44</f>
        <v/>
      </c>
      <c r="S111" s="2" t="str">
        <f>'AFI-F2'!L44</f>
        <v>PAGO</v>
      </c>
      <c r="T111" s="2" t="str">
        <f>'AFI-F2'!M44</f>
        <v>YAPE JL</v>
      </c>
      <c r="U111" s="2">
        <f>'AFI-F2'!N44</f>
        <v>380</v>
      </c>
      <c r="V111" s="2" t="str">
        <f>'AFI-F2'!P44</f>
        <v/>
      </c>
      <c r="W111" s="2" t="str">
        <f>'AFI-F2'!Q44</f>
        <v>Sofia</v>
      </c>
      <c r="X111" s="5">
        <f>'AFI-F2'!R44</f>
        <v>380</v>
      </c>
      <c r="Y111" s="1"/>
      <c r="Z111" s="1"/>
      <c r="AA111" s="1"/>
    </row>
    <row r="112">
      <c r="A112" s="1"/>
      <c r="B112" s="14">
        <f t="shared" si="6"/>
        <v>41</v>
      </c>
      <c r="C112" s="22" t="str">
        <f t="shared" si="1"/>
        <v>enero</v>
      </c>
      <c r="D112" s="22">
        <f t="shared" si="2"/>
        <v>2</v>
      </c>
      <c r="E112" s="23" t="str">
        <f t="shared" si="3"/>
        <v>miércoles</v>
      </c>
      <c r="F112" s="22">
        <f t="shared" si="4"/>
        <v>7</v>
      </c>
      <c r="G112" s="22" t="s">
        <v>23</v>
      </c>
      <c r="H112" s="3">
        <f>'AFI-F2'!$G$3</f>
        <v>45668</v>
      </c>
      <c r="I112" s="24">
        <f>'AFI-F2'!B45</f>
        <v>46029</v>
      </c>
      <c r="J112" s="2">
        <f>'AFI-F2'!C45</f>
        <v>10602143</v>
      </c>
      <c r="K112" s="2" t="str">
        <f>'AFI-F2'!D45</f>
        <v>RODOLFO Vladimir Cajahuanca Ydone</v>
      </c>
      <c r="L112" s="2" t="str">
        <f>'AFI-F2'!E45</f>
        <v/>
      </c>
      <c r="M112" s="2" t="str">
        <f>'AFI-F2'!F45</f>
        <v>ATE</v>
      </c>
      <c r="N112" s="2" t="str">
        <f>'AFI-F2'!G45</f>
        <v>955 854 644</v>
      </c>
      <c r="O112" s="2" t="str">
        <f>'AFI-F2'!H45</f>
        <v>X</v>
      </c>
      <c r="P112" s="2" t="str">
        <f>'AFI-F2'!I45</f>
        <v/>
      </c>
      <c r="Q112" s="2">
        <f>'AFI-F2'!J45</f>
        <v>100</v>
      </c>
      <c r="R112" s="2">
        <f>'AFI-F2'!K45</f>
        <v>100</v>
      </c>
      <c r="S112" s="2" t="str">
        <f>'AFI-F2'!L45</f>
        <v>COBR</v>
      </c>
      <c r="T112" s="2" t="str">
        <f>'AFI-F2'!M45</f>
        <v>YAPE JL</v>
      </c>
      <c r="U112" s="2">
        <f>'AFI-F2'!N45</f>
        <v>100</v>
      </c>
      <c r="V112" s="2" t="str">
        <f>'AFI-F2'!P45</f>
        <v/>
      </c>
      <c r="W112" s="2" t="str">
        <f>'AFI-F2'!Q45</f>
        <v>Yadhira</v>
      </c>
      <c r="X112" s="5">
        <f>'AFI-F2'!R45</f>
        <v>200</v>
      </c>
      <c r="Y112" s="1"/>
      <c r="Z112" s="1"/>
      <c r="AA112" s="1"/>
    </row>
    <row r="113">
      <c r="A113" s="1"/>
      <c r="B113" s="14">
        <f t="shared" si="6"/>
        <v>42</v>
      </c>
      <c r="C113" s="22" t="str">
        <f t="shared" si="1"/>
        <v>enero</v>
      </c>
      <c r="D113" s="22">
        <f t="shared" si="2"/>
        <v>2</v>
      </c>
      <c r="E113" s="23" t="str">
        <f t="shared" si="3"/>
        <v>miércoles</v>
      </c>
      <c r="F113" s="22">
        <f t="shared" si="4"/>
        <v>7</v>
      </c>
      <c r="G113" s="22" t="s">
        <v>23</v>
      </c>
      <c r="H113" s="3">
        <f>'AFI-F2'!$G$3</f>
        <v>45668</v>
      </c>
      <c r="I113" s="24">
        <f>'AFI-F2'!B46</f>
        <v>46029</v>
      </c>
      <c r="J113" s="25" t="str">
        <f>'AFI-F2'!C46</f>
        <v>01216344</v>
      </c>
      <c r="K113" s="2" t="str">
        <f>'AFI-F2'!D46</f>
        <v>Zhituo Wang</v>
      </c>
      <c r="L113" s="2" t="str">
        <f>'AFI-F2'!E46</f>
        <v>zhituobanco@gmail.com</v>
      </c>
      <c r="M113" s="2" t="str">
        <f>'AFI-F2'!F46</f>
        <v>SAN ISIDRO</v>
      </c>
      <c r="N113" s="2" t="str">
        <f>'AFI-F2'!G46</f>
        <v>978 839 327</v>
      </c>
      <c r="O113" s="2" t="str">
        <f>'AFI-F2'!H46</f>
        <v>X</v>
      </c>
      <c r="P113" s="2" t="str">
        <f>'AFI-F2'!I46</f>
        <v>X</v>
      </c>
      <c r="Q113" s="2">
        <f>'AFI-F2'!J46</f>
        <v>380</v>
      </c>
      <c r="R113" s="2" t="str">
        <f>'AFI-F2'!K46</f>
        <v/>
      </c>
      <c r="S113" s="2" t="str">
        <f>'AFI-F2'!L46</f>
        <v>PAGO</v>
      </c>
      <c r="T113" s="2" t="str">
        <f>'AFI-F2'!M46</f>
        <v>BBVA JL</v>
      </c>
      <c r="U113" s="2">
        <f>'AFI-F2'!N46</f>
        <v>380</v>
      </c>
      <c r="V113" s="2" t="str">
        <f>'AFI-F2'!P46</f>
        <v/>
      </c>
      <c r="W113" s="2" t="str">
        <f>'AFI-F2'!Q46</f>
        <v>Yadhira</v>
      </c>
      <c r="X113" s="5">
        <f>'AFI-F2'!R46</f>
        <v>380</v>
      </c>
      <c r="Y113" s="1"/>
      <c r="Z113" s="1"/>
      <c r="AA113" s="1"/>
    </row>
    <row r="114">
      <c r="A114" s="1"/>
      <c r="B114" s="14">
        <f t="shared" si="6"/>
        <v>43</v>
      </c>
      <c r="C114" s="22" t="str">
        <f t="shared" si="1"/>
        <v>enero</v>
      </c>
      <c r="D114" s="22">
        <f t="shared" si="2"/>
        <v>2</v>
      </c>
      <c r="E114" s="23" t="str">
        <f t="shared" si="3"/>
        <v>miércoles</v>
      </c>
      <c r="F114" s="22">
        <f t="shared" si="4"/>
        <v>7</v>
      </c>
      <c r="G114" s="22" t="s">
        <v>23</v>
      </c>
      <c r="H114" s="3">
        <f>'AFI-F2'!$G$3</f>
        <v>45668</v>
      </c>
      <c r="I114" s="24">
        <f>'AFI-F2'!B47</f>
        <v>46029</v>
      </c>
      <c r="J114" s="2">
        <f>'AFI-F2'!C47</f>
        <v>74034992</v>
      </c>
      <c r="K114" s="2" t="str">
        <f>'AFI-F2'!D47</f>
        <v>Alvaro Macuri</v>
      </c>
      <c r="L114" s="2" t="str">
        <f>'AFI-F2'!E47</f>
        <v/>
      </c>
      <c r="M114" s="2" t="str">
        <f>'AFI-F2'!F47</f>
        <v/>
      </c>
      <c r="N114" s="2" t="str">
        <f>'AFI-F2'!G47</f>
        <v/>
      </c>
      <c r="O114" s="2" t="str">
        <f>'AFI-F2'!H47</f>
        <v>x</v>
      </c>
      <c r="P114" s="2" t="str">
        <f>'AFI-F2'!I47</f>
        <v/>
      </c>
      <c r="Q114" s="2">
        <f>'AFI-F2'!J47</f>
        <v>220</v>
      </c>
      <c r="R114" s="2" t="str">
        <f>'AFI-F2'!K47</f>
        <v/>
      </c>
      <c r="S114" s="2" t="str">
        <f>'AFI-F2'!L47</f>
        <v>PAGO</v>
      </c>
      <c r="T114" s="2" t="str">
        <f>'AFI-F2'!M47</f>
        <v>YAPE JL</v>
      </c>
      <c r="U114" s="2">
        <f>'AFI-F2'!N47</f>
        <v>220</v>
      </c>
      <c r="V114" s="2" t="str">
        <f>'AFI-F2'!P47</f>
        <v/>
      </c>
      <c r="W114" s="2" t="str">
        <f>'AFI-F2'!Q47</f>
        <v>Katherine</v>
      </c>
      <c r="X114" s="5">
        <f>'AFI-F2'!R47</f>
        <v>220</v>
      </c>
      <c r="Y114" s="1"/>
      <c r="Z114" s="1"/>
      <c r="AA114" s="1"/>
    </row>
    <row r="115">
      <c r="A115" s="1"/>
      <c r="B115" s="14">
        <f t="shared" si="6"/>
        <v>44</v>
      </c>
      <c r="C115" s="22" t="str">
        <f t="shared" si="1"/>
        <v>enero</v>
      </c>
      <c r="D115" s="22">
        <f t="shared" si="2"/>
        <v>2</v>
      </c>
      <c r="E115" s="23" t="str">
        <f t="shared" si="3"/>
        <v>miércoles</v>
      </c>
      <c r="F115" s="22">
        <f t="shared" si="4"/>
        <v>7</v>
      </c>
      <c r="G115" s="22" t="s">
        <v>23</v>
      </c>
      <c r="H115" s="3">
        <f>'AFI-F2'!$G$3</f>
        <v>45668</v>
      </c>
      <c r="I115" s="24">
        <f>'AFI-F2'!B48</f>
        <v>46029</v>
      </c>
      <c r="J115" s="2">
        <f>'AFI-F2'!C48</f>
        <v>43373830</v>
      </c>
      <c r="K115" s="2" t="str">
        <f>'AFI-F2'!D48</f>
        <v>Miguel Angel Romero quero</v>
      </c>
      <c r="L115" s="2" t="str">
        <f>'AFI-F2'!E48</f>
        <v>zeepaciente@gmail.com</v>
      </c>
      <c r="M115" s="2" t="str">
        <f>'AFI-F2'!F48</f>
        <v>LA MOLINA</v>
      </c>
      <c r="N115" s="2" t="str">
        <f>'AFI-F2'!G48</f>
        <v>902 090 772</v>
      </c>
      <c r="O115" s="2" t="str">
        <f>'AFI-F2'!H48</f>
        <v>X</v>
      </c>
      <c r="P115" s="2" t="str">
        <f>'AFI-F2'!I48</f>
        <v/>
      </c>
      <c r="Q115" s="2">
        <f>'AFI-F2'!J48</f>
        <v>100</v>
      </c>
      <c r="R115" s="2">
        <f>'AFI-F2'!K48</f>
        <v>100</v>
      </c>
      <c r="S115" s="2" t="str">
        <f>'AFI-F2'!L48</f>
        <v>COBR</v>
      </c>
      <c r="T115" s="2" t="str">
        <f>'AFI-F2'!M48</f>
        <v>YAPE JL</v>
      </c>
      <c r="U115" s="2">
        <f>'AFI-F2'!N48</f>
        <v>100</v>
      </c>
      <c r="V115" s="2" t="str">
        <f>'AFI-F2'!P48</f>
        <v/>
      </c>
      <c r="W115" s="2" t="str">
        <f>'AFI-F2'!Q48</f>
        <v>Yadhira</v>
      </c>
      <c r="X115" s="5">
        <f>'AFI-F2'!R48</f>
        <v>200</v>
      </c>
      <c r="Y115" s="1"/>
      <c r="Z115" s="1"/>
      <c r="AA115" s="1"/>
    </row>
    <row r="116">
      <c r="A116" s="1"/>
      <c r="B116" s="14">
        <f t="shared" si="6"/>
        <v>45</v>
      </c>
      <c r="C116" s="22" t="str">
        <f t="shared" si="1"/>
        <v>enero</v>
      </c>
      <c r="D116" s="22">
        <f t="shared" si="2"/>
        <v>2</v>
      </c>
      <c r="E116" s="23" t="str">
        <f t="shared" si="3"/>
        <v>lunes</v>
      </c>
      <c r="F116" s="22">
        <f t="shared" si="4"/>
        <v>5</v>
      </c>
      <c r="G116" s="22" t="s">
        <v>23</v>
      </c>
      <c r="H116" s="3">
        <f>'AFI-F2'!$G$3</f>
        <v>45668</v>
      </c>
      <c r="I116" s="24">
        <f>'AFI-F2'!B49</f>
        <v>46027</v>
      </c>
      <c r="J116" s="2">
        <f>'AFI-F2'!C49</f>
        <v>44049748</v>
      </c>
      <c r="K116" s="2" t="str">
        <f>'AFI-F2'!D49</f>
        <v>Miguel arellano chunga</v>
      </c>
      <c r="L116" s="2" t="str">
        <f>'AFI-F2'!E49</f>
        <v>marellanoch@gmail.com</v>
      </c>
      <c r="M116" s="2" t="str">
        <f>'AFI-F2'!F49</f>
        <v>SURCO</v>
      </c>
      <c r="N116" s="2">
        <f>'AFI-F2'!G49</f>
        <v>926648844</v>
      </c>
      <c r="O116" s="2" t="str">
        <f>'AFI-F2'!H49</f>
        <v>X</v>
      </c>
      <c r="P116" s="2" t="str">
        <f>'AFI-F2'!I49</f>
        <v/>
      </c>
      <c r="Q116" s="2">
        <f>'AFI-F2'!J49</f>
        <v>95</v>
      </c>
      <c r="R116" s="2">
        <f>'AFI-F2'!K49</f>
        <v>95</v>
      </c>
      <c r="S116" s="2" t="str">
        <f>'AFI-F2'!L49</f>
        <v>COBR</v>
      </c>
      <c r="T116" s="2" t="str">
        <f>'AFI-F2'!M49</f>
        <v>YAPE JL</v>
      </c>
      <c r="U116" s="2">
        <f>'AFI-F2'!N49</f>
        <v>95</v>
      </c>
      <c r="V116" s="2" t="str">
        <f>'AFI-F2'!P49</f>
        <v/>
      </c>
      <c r="W116" s="2" t="str">
        <f>'AFI-F2'!Q49</f>
        <v>Greici</v>
      </c>
      <c r="X116" s="5">
        <f>'AFI-F2'!R49</f>
        <v>190</v>
      </c>
      <c r="Y116" s="1"/>
      <c r="Z116" s="1"/>
      <c r="AA116" s="1"/>
    </row>
    <row r="117">
      <c r="A117" s="1"/>
      <c r="B117" s="14">
        <f t="shared" si="6"/>
        <v>46</v>
      </c>
      <c r="C117" s="22" t="str">
        <f t="shared" si="1"/>
        <v>enero</v>
      </c>
      <c r="D117" s="22">
        <f t="shared" si="2"/>
        <v>2</v>
      </c>
      <c r="E117" s="23" t="str">
        <f t="shared" si="3"/>
        <v>lunes</v>
      </c>
      <c r="F117" s="22">
        <f t="shared" si="4"/>
        <v>5</v>
      </c>
      <c r="G117" s="22" t="s">
        <v>23</v>
      </c>
      <c r="H117" s="3">
        <f>'AFI-F2'!$G$3</f>
        <v>45668</v>
      </c>
      <c r="I117" s="24">
        <f>'AFI-F2'!B50</f>
        <v>46027</v>
      </c>
      <c r="J117" s="2">
        <f>'AFI-F2'!C50</f>
        <v>43855684</v>
      </c>
      <c r="K117" s="2" t="str">
        <f>'AFI-F2'!D50</f>
        <v>Angel Gonzales Ramos</v>
      </c>
      <c r="L117" s="2" t="str">
        <f>'AFI-F2'!E50</f>
        <v/>
      </c>
      <c r="M117" s="2" t="str">
        <f>'AFI-F2'!F50</f>
        <v>SURCO</v>
      </c>
      <c r="N117" s="2" t="str">
        <f>'AFI-F2'!G50</f>
        <v/>
      </c>
      <c r="O117" s="2" t="str">
        <f>'AFI-F2'!H50</f>
        <v>X</v>
      </c>
      <c r="P117" s="2" t="str">
        <f>'AFI-F2'!I50</f>
        <v/>
      </c>
      <c r="Q117" s="2">
        <f>'AFI-F2'!J50</f>
        <v>95</v>
      </c>
      <c r="R117" s="2">
        <f>'AFI-F2'!K50</f>
        <v>95</v>
      </c>
      <c r="S117" s="2" t="str">
        <f>'AFI-F2'!L50</f>
        <v>COBR</v>
      </c>
      <c r="T117" s="2" t="str">
        <f>'AFI-F2'!M50</f>
        <v>YAPE JL</v>
      </c>
      <c r="U117" s="2">
        <f>'AFI-F2'!N50</f>
        <v>95</v>
      </c>
      <c r="V117" s="2" t="str">
        <f>'AFI-F2'!P50</f>
        <v/>
      </c>
      <c r="W117" s="2" t="str">
        <f>'AFI-F2'!Q50</f>
        <v>Greici</v>
      </c>
      <c r="X117" s="5">
        <f>'AFI-F2'!R50</f>
        <v>190</v>
      </c>
      <c r="Y117" s="1"/>
      <c r="Z117" s="1"/>
      <c r="AA117" s="1"/>
    </row>
    <row r="118">
      <c r="A118" s="1"/>
      <c r="B118" s="14">
        <f t="shared" si="6"/>
        <v>47</v>
      </c>
      <c r="C118" s="22" t="str">
        <f t="shared" si="1"/>
        <v>enero</v>
      </c>
      <c r="D118" s="22">
        <f t="shared" si="2"/>
        <v>2</v>
      </c>
      <c r="E118" s="23" t="str">
        <f t="shared" si="3"/>
        <v>miércoles</v>
      </c>
      <c r="F118" s="22">
        <f t="shared" si="4"/>
        <v>7</v>
      </c>
      <c r="G118" s="22" t="s">
        <v>23</v>
      </c>
      <c r="H118" s="3">
        <f>'AFI-F2'!$G$3</f>
        <v>45668</v>
      </c>
      <c r="I118" s="24">
        <f>'AFI-F2'!B51</f>
        <v>46029</v>
      </c>
      <c r="J118" s="2">
        <f>'AFI-F2'!C51</f>
        <v>73345092</v>
      </c>
      <c r="K118" s="2" t="str">
        <f>'AFI-F2'!D51</f>
        <v>María Fernanda Ushiñahua Meza</v>
      </c>
      <c r="L118" s="27" t="str">
        <f>'AFI-F2'!E51</f>
        <v>mariafeushi.94@gmail.com</v>
      </c>
      <c r="M118" s="2" t="str">
        <f>'AFI-F2'!F51</f>
        <v>CINEGUILLA</v>
      </c>
      <c r="N118" s="2" t="str">
        <f>'AFI-F2'!G51</f>
        <v>955 468 683</v>
      </c>
      <c r="O118" s="2" t="str">
        <f>'AFI-F2'!H51</f>
        <v/>
      </c>
      <c r="P118" s="2" t="str">
        <f>'AFI-F2'!I51</f>
        <v>X</v>
      </c>
      <c r="Q118" s="2">
        <f>'AFI-F2'!J51</f>
        <v>90</v>
      </c>
      <c r="R118" s="2">
        <f>'AFI-F2'!K51</f>
        <v>90</v>
      </c>
      <c r="S118" s="2" t="str">
        <f>'AFI-F2'!L51</f>
        <v>COBR</v>
      </c>
      <c r="T118" s="2" t="str">
        <f>'AFI-F2'!M51</f>
        <v>YAPE JL</v>
      </c>
      <c r="U118" s="2">
        <f>'AFI-F2'!N51</f>
        <v>90</v>
      </c>
      <c r="V118" s="2" t="str">
        <f>'AFI-F2'!P51</f>
        <v/>
      </c>
      <c r="W118" s="2" t="str">
        <f>'AFI-F2'!Q51</f>
        <v>Yadhira</v>
      </c>
      <c r="X118" s="5">
        <f>'AFI-F2'!R51</f>
        <v>180</v>
      </c>
      <c r="Y118" s="1"/>
      <c r="Z118" s="1"/>
      <c r="AA118" s="1"/>
    </row>
    <row r="119">
      <c r="A119" s="1"/>
      <c r="B119" s="14">
        <f t="shared" si="6"/>
        <v>48</v>
      </c>
      <c r="C119" s="22" t="str">
        <f t="shared" si="1"/>
        <v>enero</v>
      </c>
      <c r="D119" s="22">
        <f t="shared" si="2"/>
        <v>2</v>
      </c>
      <c r="E119" s="23" t="str">
        <f t="shared" si="3"/>
        <v>miércoles</v>
      </c>
      <c r="F119" s="22">
        <f t="shared" si="4"/>
        <v>7</v>
      </c>
      <c r="G119" s="22" t="s">
        <v>23</v>
      </c>
      <c r="H119" s="3">
        <f>'AFI-F2'!$G$3</f>
        <v>45668</v>
      </c>
      <c r="I119" s="24">
        <f>'AFI-F2'!B52</f>
        <v>46029</v>
      </c>
      <c r="J119" s="2">
        <f>'AFI-F2'!C52</f>
        <v>44846202</v>
      </c>
      <c r="K119" s="2" t="str">
        <f>'AFI-F2'!D52</f>
        <v>Jonathan Donovan Choquehuanca Condori</v>
      </c>
      <c r="L119" s="27" t="str">
        <f>'AFI-F2'!E52</f>
        <v>mariafeushi.94@gmail.com</v>
      </c>
      <c r="M119" s="2" t="str">
        <f>'AFI-F2'!F52</f>
        <v>CINEGUILLA</v>
      </c>
      <c r="N119" s="2" t="str">
        <f>'AFI-F2'!G52</f>
        <v>955 468 683</v>
      </c>
      <c r="O119" s="2" t="str">
        <f>'AFI-F2'!H52</f>
        <v/>
      </c>
      <c r="P119" s="2" t="str">
        <f>'AFI-F2'!I52</f>
        <v>X</v>
      </c>
      <c r="Q119" s="2">
        <f>'AFI-F2'!J52</f>
        <v>90</v>
      </c>
      <c r="R119" s="2">
        <f>'AFI-F2'!K52</f>
        <v>90</v>
      </c>
      <c r="S119" s="2" t="str">
        <f>'AFI-F2'!L52</f>
        <v>COBR</v>
      </c>
      <c r="T119" s="2" t="str">
        <f>'AFI-F2'!M52</f>
        <v>YAPE JL</v>
      </c>
      <c r="U119" s="2">
        <f>'AFI-F2'!N52</f>
        <v>90</v>
      </c>
      <c r="V119" s="2" t="str">
        <f>'AFI-F2'!P52</f>
        <v/>
      </c>
      <c r="W119" s="2" t="str">
        <f>'AFI-F2'!Q52</f>
        <v>Yadhira</v>
      </c>
      <c r="X119" s="5">
        <f>'AFI-F2'!R52</f>
        <v>180</v>
      </c>
      <c r="Y119" s="1"/>
      <c r="Z119" s="1"/>
      <c r="AA119" s="1"/>
    </row>
    <row r="120">
      <c r="A120" s="1"/>
      <c r="B120" s="14">
        <f t="shared" si="6"/>
        <v>49</v>
      </c>
      <c r="C120" s="22" t="str">
        <f t="shared" si="1"/>
        <v>enero</v>
      </c>
      <c r="D120" s="22">
        <f t="shared" si="2"/>
        <v>2</v>
      </c>
      <c r="E120" s="23" t="str">
        <f t="shared" si="3"/>
        <v>jueves</v>
      </c>
      <c r="F120" s="22">
        <f t="shared" si="4"/>
        <v>8</v>
      </c>
      <c r="G120" s="22" t="s">
        <v>23</v>
      </c>
      <c r="H120" s="3">
        <f>'AFI-F2'!$G$3</f>
        <v>45668</v>
      </c>
      <c r="I120" s="24">
        <f>'AFI-F2'!B53</f>
        <v>46030</v>
      </c>
      <c r="J120" s="2">
        <f>'AFI-F2'!C53</f>
        <v>41411344</v>
      </c>
      <c r="K120" s="2" t="str">
        <f>'AFI-F2'!D53</f>
        <v>Juan Edgar Tito Cornejo</v>
      </c>
      <c r="L120" s="27" t="str">
        <f>'AFI-F2'!E53</f>
        <v>liliana.benitoz@gmail.com</v>
      </c>
      <c r="M120" s="2" t="str">
        <f>'AFI-F2'!F53</f>
        <v>SANTA ANITA</v>
      </c>
      <c r="N120" s="2" t="str">
        <f>'AFI-F2'!G53</f>
        <v> 993 793 101</v>
      </c>
      <c r="O120" s="2" t="str">
        <f>'AFI-F2'!H53</f>
        <v>X</v>
      </c>
      <c r="P120" s="2" t="str">
        <f>'AFI-F2'!I53</f>
        <v/>
      </c>
      <c r="Q120" s="2">
        <f>'AFI-F2'!J53</f>
        <v>95</v>
      </c>
      <c r="R120" s="2">
        <f>'AFI-F2'!K53</f>
        <v>95</v>
      </c>
      <c r="S120" s="2" t="str">
        <f>'AFI-F2'!L53</f>
        <v>COBR</v>
      </c>
      <c r="T120" s="2" t="str">
        <f>'AFI-F2'!M53</f>
        <v>BBVA JL</v>
      </c>
      <c r="U120" s="2">
        <f>'AFI-F2'!N53</f>
        <v>95</v>
      </c>
      <c r="V120" s="2" t="str">
        <f>'AFI-F2'!P53</f>
        <v/>
      </c>
      <c r="W120" s="2" t="str">
        <f>'AFI-F2'!Q53</f>
        <v>Yadhira</v>
      </c>
      <c r="X120" s="5">
        <f>'AFI-F2'!R53</f>
        <v>190</v>
      </c>
      <c r="Y120" s="1"/>
      <c r="Z120" s="1"/>
      <c r="AA120" s="1"/>
    </row>
    <row r="121">
      <c r="A121" s="1"/>
      <c r="B121" s="14">
        <f t="shared" si="6"/>
        <v>50</v>
      </c>
      <c r="C121" s="22" t="str">
        <f t="shared" si="1"/>
        <v>enero</v>
      </c>
      <c r="D121" s="22">
        <f t="shared" si="2"/>
        <v>2</v>
      </c>
      <c r="E121" s="23" t="str">
        <f t="shared" si="3"/>
        <v>jueves</v>
      </c>
      <c r="F121" s="22">
        <f t="shared" si="4"/>
        <v>8</v>
      </c>
      <c r="G121" s="22" t="s">
        <v>23</v>
      </c>
      <c r="H121" s="3">
        <f>'AFI-F2'!$G$3</f>
        <v>45668</v>
      </c>
      <c r="I121" s="24">
        <f>'AFI-F2'!B54</f>
        <v>46030</v>
      </c>
      <c r="J121" s="2">
        <f>'AFI-F2'!C54</f>
        <v>70435293</v>
      </c>
      <c r="K121" s="2" t="str">
        <f>'AFI-F2'!D54</f>
        <v>Liliana Benito Zurita
</v>
      </c>
      <c r="L121" s="27" t="str">
        <f>'AFI-F2'!E54</f>
        <v>liliana.benitoz@gmail.com</v>
      </c>
      <c r="M121" s="2" t="str">
        <f>'AFI-F2'!F54</f>
        <v>SANTA ANITA</v>
      </c>
      <c r="N121" s="2" t="str">
        <f>'AFI-F2'!G54</f>
        <v> 993 793 101</v>
      </c>
      <c r="O121" s="2" t="str">
        <f>'AFI-F2'!H54</f>
        <v>X</v>
      </c>
      <c r="P121" s="2" t="str">
        <f>'AFI-F2'!I54</f>
        <v/>
      </c>
      <c r="Q121" s="2">
        <f>'AFI-F2'!J54</f>
        <v>95</v>
      </c>
      <c r="R121" s="2">
        <f>'AFI-F2'!K54</f>
        <v>95</v>
      </c>
      <c r="S121" s="2" t="str">
        <f>'AFI-F2'!L54</f>
        <v>COBR</v>
      </c>
      <c r="T121" s="2" t="str">
        <f>'AFI-F2'!M54</f>
        <v>BBVA JL</v>
      </c>
      <c r="U121" s="2">
        <f>'AFI-F2'!N54</f>
        <v>95</v>
      </c>
      <c r="V121" s="2" t="str">
        <f>'AFI-F2'!P54</f>
        <v/>
      </c>
      <c r="W121" s="2" t="str">
        <f>'AFI-F2'!Q54</f>
        <v>Yadhira</v>
      </c>
      <c r="X121" s="5">
        <f>'AFI-F2'!R54</f>
        <v>190</v>
      </c>
      <c r="Y121" s="1"/>
      <c r="Z121" s="1"/>
      <c r="AA121" s="1"/>
    </row>
    <row r="122">
      <c r="A122" s="1"/>
      <c r="B122" s="14">
        <f t="shared" si="6"/>
        <v>51</v>
      </c>
      <c r="C122" s="22" t="str">
        <f t="shared" si="1"/>
        <v>enero</v>
      </c>
      <c r="D122" s="22">
        <f t="shared" si="2"/>
        <v>2</v>
      </c>
      <c r="E122" s="23" t="str">
        <f t="shared" si="3"/>
        <v>miércoles</v>
      </c>
      <c r="F122" s="22">
        <f t="shared" si="4"/>
        <v>7</v>
      </c>
      <c r="G122" s="22" t="s">
        <v>23</v>
      </c>
      <c r="H122" s="3">
        <f>'AFI-F2'!$G$3</f>
        <v>45668</v>
      </c>
      <c r="I122" s="24">
        <f>'AFI-F2'!B55</f>
        <v>46029</v>
      </c>
      <c r="J122" s="2">
        <f>'AFI-F2'!C55</f>
        <v>74095604</v>
      </c>
      <c r="K122" s="2" t="str">
        <f>'AFI-F2'!D55</f>
        <v>Alexander Platero Mamani</v>
      </c>
      <c r="L122" s="2" t="str">
        <f>'AFI-F2'!E55</f>
        <v>Alexanderplatero200q@gmail.com</v>
      </c>
      <c r="M122" s="2" t="str">
        <f>'AFI-F2'!F55</f>
        <v/>
      </c>
      <c r="N122" s="2" t="str">
        <f>'AFI-F2'!G55</f>
        <v/>
      </c>
      <c r="O122" s="2" t="str">
        <f>'AFI-F2'!H55</f>
        <v/>
      </c>
      <c r="P122" s="2" t="str">
        <f>'AFI-F2'!I55</f>
        <v>x</v>
      </c>
      <c r="Q122" s="2">
        <f>'AFI-F2'!J55</f>
        <v>220</v>
      </c>
      <c r="R122" s="2" t="str">
        <f>'AFI-F2'!K55</f>
        <v/>
      </c>
      <c r="S122" s="2" t="str">
        <f>'AFI-F2'!L55</f>
        <v>PAGO</v>
      </c>
      <c r="T122" s="2" t="str">
        <f>'AFI-F2'!M55</f>
        <v>YAPE JL</v>
      </c>
      <c r="U122" s="2">
        <f>'AFI-F2'!N55</f>
        <v>220</v>
      </c>
      <c r="V122" s="2" t="str">
        <f>'AFI-F2'!P55</f>
        <v/>
      </c>
      <c r="W122" s="2" t="str">
        <f>'AFI-F2'!Q55</f>
        <v>Katherine</v>
      </c>
      <c r="X122" s="5">
        <f>'AFI-F2'!R55</f>
        <v>220</v>
      </c>
      <c r="Y122" s="1"/>
      <c r="Z122" s="1"/>
      <c r="AA122" s="1"/>
    </row>
    <row r="123">
      <c r="A123" s="1"/>
      <c r="B123" s="14">
        <f t="shared" si="6"/>
        <v>52</v>
      </c>
      <c r="C123" s="22" t="str">
        <f t="shared" si="1"/>
        <v>enero</v>
      </c>
      <c r="D123" s="22">
        <f t="shared" si="2"/>
        <v>2</v>
      </c>
      <c r="E123" s="23" t="str">
        <f t="shared" si="3"/>
        <v>jueves</v>
      </c>
      <c r="F123" s="22">
        <f t="shared" si="4"/>
        <v>8</v>
      </c>
      <c r="G123" s="22" t="s">
        <v>23</v>
      </c>
      <c r="H123" s="3">
        <f>'AFI-F2'!$G$3</f>
        <v>45668</v>
      </c>
      <c r="I123" s="24">
        <f>'AFI-F2'!B56</f>
        <v>46030</v>
      </c>
      <c r="J123" s="2" t="str">
        <f>'AFI-F2'!C56</f>
        <v/>
      </c>
      <c r="K123" s="2" t="str">
        <f>'AFI-F2'!D56</f>
        <v> Mariana Barrera Cravero</v>
      </c>
      <c r="L123" s="27" t="str">
        <f>'AFI-F2'!E56</f>
        <v>marianabarrera@yahoo.com</v>
      </c>
      <c r="M123" s="2" t="str">
        <f>'AFI-F2'!F56</f>
        <v>MIRAFLORES</v>
      </c>
      <c r="N123" s="2" t="str">
        <f>'AFI-F2'!G56</f>
        <v>995 745 088</v>
      </c>
      <c r="O123" s="2" t="str">
        <f>'AFI-F2'!H56</f>
        <v>X</v>
      </c>
      <c r="P123" s="2" t="str">
        <f>'AFI-F2'!I56</f>
        <v/>
      </c>
      <c r="Q123" s="2">
        <f>'AFI-F2'!J56</f>
        <v>220</v>
      </c>
      <c r="R123" s="2" t="str">
        <f>'AFI-F2'!K56</f>
        <v/>
      </c>
      <c r="S123" s="2" t="str">
        <f>'AFI-F2'!L56</f>
        <v>PAGO</v>
      </c>
      <c r="T123" s="2" t="str">
        <f>'AFI-F2'!M56</f>
        <v>YAPE JL</v>
      </c>
      <c r="U123" s="2">
        <f>'AFI-F2'!N56</f>
        <v>220</v>
      </c>
      <c r="V123" s="2" t="str">
        <f>'AFI-F2'!P56</f>
        <v/>
      </c>
      <c r="W123" s="2" t="str">
        <f>'AFI-F2'!Q56</f>
        <v>Yadhira</v>
      </c>
      <c r="X123" s="5">
        <f>'AFI-F2'!R56</f>
        <v>220</v>
      </c>
      <c r="Y123" s="1"/>
      <c r="Z123" s="1"/>
      <c r="AA123" s="1"/>
    </row>
    <row r="124">
      <c r="A124" s="1"/>
      <c r="B124" s="14">
        <f t="shared" si="6"/>
        <v>53</v>
      </c>
      <c r="C124" s="22" t="str">
        <f t="shared" si="1"/>
        <v>enero</v>
      </c>
      <c r="D124" s="22">
        <f t="shared" si="2"/>
        <v>2</v>
      </c>
      <c r="E124" s="23" t="str">
        <f t="shared" si="3"/>
        <v>jueves</v>
      </c>
      <c r="F124" s="22">
        <f t="shared" si="4"/>
        <v>8</v>
      </c>
      <c r="G124" s="22" t="s">
        <v>23</v>
      </c>
      <c r="H124" s="3">
        <f>'AFI-F2'!$G$3</f>
        <v>45668</v>
      </c>
      <c r="I124" s="24">
        <f>'AFI-F2'!B57</f>
        <v>46030</v>
      </c>
      <c r="J124" s="2">
        <f>'AFI-F2'!C57</f>
        <v>43676825</v>
      </c>
      <c r="K124" s="2" t="str">
        <f>'AFI-F2'!D57</f>
        <v>Juan Carlos Achiri Ccapa</v>
      </c>
      <c r="L124" s="27" t="str">
        <f>'AFI-F2'!E57</f>
        <v>Juan.carlos.achiri@gmail.com</v>
      </c>
      <c r="M124" s="2" t="str">
        <f>'AFI-F2'!F57</f>
        <v>COMAS</v>
      </c>
      <c r="N124" s="2" t="str">
        <f>'AFI-F2'!G57</f>
        <v>964 322 942</v>
      </c>
      <c r="O124" s="2" t="str">
        <f>'AFI-F2'!H57</f>
        <v>X</v>
      </c>
      <c r="P124" s="2" t="str">
        <f>'AFI-F2'!I57</f>
        <v/>
      </c>
      <c r="Q124" s="2">
        <f>'AFI-F2'!J57</f>
        <v>50</v>
      </c>
      <c r="R124" s="2">
        <f>'AFI-F2'!K57</f>
        <v>150</v>
      </c>
      <c r="S124" s="2" t="str">
        <f>'AFI-F2'!L57</f>
        <v>COBR</v>
      </c>
      <c r="T124" s="2" t="str">
        <f>'AFI-F2'!M57</f>
        <v>YAPE JL</v>
      </c>
      <c r="U124" s="2">
        <f>'AFI-F2'!N57</f>
        <v>50</v>
      </c>
      <c r="V124" s="2" t="str">
        <f>'AFI-F2'!P57</f>
        <v/>
      </c>
      <c r="W124" s="2" t="str">
        <f>'AFI-F2'!Q57</f>
        <v>Yadhira</v>
      </c>
      <c r="X124" s="5">
        <f>'AFI-F2'!R57</f>
        <v>200</v>
      </c>
      <c r="Y124" s="1"/>
      <c r="Z124" s="1"/>
      <c r="AA124" s="1"/>
    </row>
    <row r="125">
      <c r="A125" s="1"/>
      <c r="B125" s="14">
        <f t="shared" si="6"/>
        <v>54</v>
      </c>
      <c r="C125" s="22" t="str">
        <f t="shared" si="1"/>
        <v>enero</v>
      </c>
      <c r="D125" s="22">
        <f t="shared" si="2"/>
        <v>2</v>
      </c>
      <c r="E125" s="23" t="str">
        <f t="shared" si="3"/>
        <v>miércoles</v>
      </c>
      <c r="F125" s="22">
        <f t="shared" si="4"/>
        <v>7</v>
      </c>
      <c r="G125" s="22" t="s">
        <v>23</v>
      </c>
      <c r="H125" s="3">
        <f>'AFI-F2'!$G$3</f>
        <v>45668</v>
      </c>
      <c r="I125" s="24">
        <f>'AFI-F2'!B58</f>
        <v>46029</v>
      </c>
      <c r="J125" s="2">
        <f>'AFI-F2'!C58</f>
        <v>48605650</v>
      </c>
      <c r="K125" s="2" t="str">
        <f>'AFI-F2'!D58</f>
        <v>Daniel Gómez Muñante</v>
      </c>
      <c r="L125" s="2" t="str">
        <f>'AFI-F2'!E58</f>
        <v/>
      </c>
      <c r="M125" s="2" t="str">
        <f>'AFI-F2'!F58</f>
        <v/>
      </c>
      <c r="N125" s="2" t="str">
        <f>'AFI-F2'!G58</f>
        <v/>
      </c>
      <c r="O125" s="2" t="str">
        <f>'AFI-F2'!H58</f>
        <v/>
      </c>
      <c r="P125" s="2" t="str">
        <f>'AFI-F2'!I58</f>
        <v>x</v>
      </c>
      <c r="Q125" s="2">
        <f>'AFI-F2'!J58</f>
        <v>220</v>
      </c>
      <c r="R125" s="2" t="str">
        <f>'AFI-F2'!K58</f>
        <v/>
      </c>
      <c r="S125" s="2" t="str">
        <f>'AFI-F2'!L58</f>
        <v>PAGO</v>
      </c>
      <c r="T125" s="2" t="str">
        <f>'AFI-F2'!M58</f>
        <v>YAPE JL</v>
      </c>
      <c r="U125" s="2">
        <f>'AFI-F2'!N58</f>
        <v>220</v>
      </c>
      <c r="V125" s="2" t="str">
        <f>'AFI-F2'!P58</f>
        <v/>
      </c>
      <c r="W125" s="2" t="str">
        <f>'AFI-F2'!Q58</f>
        <v>Katherine</v>
      </c>
      <c r="X125" s="5">
        <f>'AFI-F2'!R58</f>
        <v>220</v>
      </c>
      <c r="Y125" s="1"/>
      <c r="Z125" s="1"/>
      <c r="AA125" s="1"/>
    </row>
    <row r="126">
      <c r="A126" s="1"/>
      <c r="B126" s="14">
        <f t="shared" si="6"/>
        <v>55</v>
      </c>
      <c r="C126" s="22" t="str">
        <f t="shared" si="1"/>
        <v>enero</v>
      </c>
      <c r="D126" s="22">
        <f t="shared" si="2"/>
        <v>2</v>
      </c>
      <c r="E126" s="23" t="str">
        <f t="shared" si="3"/>
        <v>jueves</v>
      </c>
      <c r="F126" s="22">
        <f t="shared" si="4"/>
        <v>8</v>
      </c>
      <c r="G126" s="22" t="s">
        <v>23</v>
      </c>
      <c r="H126" s="3">
        <f>'AFI-F2'!$G$3</f>
        <v>45668</v>
      </c>
      <c r="I126" s="24">
        <f>'AFI-F2'!B59</f>
        <v>46030</v>
      </c>
      <c r="J126" s="2" t="str">
        <f>'AFI-F2'!C59</f>
        <v>*07200287</v>
      </c>
      <c r="K126" s="2" t="str">
        <f>'AFI-F2'!D59</f>
        <v>Flor de maria vega zapata</v>
      </c>
      <c r="L126" s="2" t="str">
        <f>'AFI-F2'!E59</f>
        <v/>
      </c>
      <c r="M126" s="2" t="str">
        <f>'AFI-F2'!F59</f>
        <v>San borja</v>
      </c>
      <c r="N126" s="2">
        <f>'AFI-F2'!G59</f>
        <v>999989977</v>
      </c>
      <c r="O126" s="2" t="str">
        <f>'AFI-F2'!H59</f>
        <v>x</v>
      </c>
      <c r="P126" s="2" t="str">
        <f>'AFI-F2'!I59</f>
        <v/>
      </c>
      <c r="Q126" s="2">
        <f>'AFI-F2'!J59</f>
        <v>220</v>
      </c>
      <c r="R126" s="2" t="str">
        <f>'AFI-F2'!K59</f>
        <v/>
      </c>
      <c r="S126" s="2" t="str">
        <f>'AFI-F2'!L59</f>
        <v>PAGO</v>
      </c>
      <c r="T126" s="2" t="str">
        <f>'AFI-F2'!M59</f>
        <v>YAPE JL</v>
      </c>
      <c r="U126" s="2">
        <f>'AFI-F2'!N59</f>
        <v>220</v>
      </c>
      <c r="V126" s="2" t="str">
        <f>'AFI-F2'!P59</f>
        <v/>
      </c>
      <c r="W126" s="2" t="str">
        <f>'AFI-F2'!Q59</f>
        <v>Gabriela</v>
      </c>
      <c r="X126" s="5">
        <f>'AFI-F2'!R59</f>
        <v>220</v>
      </c>
      <c r="Y126" s="1"/>
      <c r="Z126" s="1"/>
      <c r="AA126" s="1"/>
    </row>
    <row r="127">
      <c r="A127" s="1"/>
      <c r="B127" s="14">
        <f t="shared" si="6"/>
        <v>56</v>
      </c>
      <c r="C127" s="22" t="str">
        <f t="shared" si="1"/>
        <v>enero</v>
      </c>
      <c r="D127" s="22">
        <f t="shared" si="2"/>
        <v>3</v>
      </c>
      <c r="E127" s="23" t="str">
        <f t="shared" si="3"/>
        <v>domingo</v>
      </c>
      <c r="F127" s="22">
        <f t="shared" si="4"/>
        <v>11</v>
      </c>
      <c r="G127" s="22" t="s">
        <v>23</v>
      </c>
      <c r="H127" s="3">
        <f>'AFI-F2'!$G$3</f>
        <v>45668</v>
      </c>
      <c r="I127" s="24">
        <f>'AFI-F2'!B60</f>
        <v>46033</v>
      </c>
      <c r="J127" s="2" t="str">
        <f>'AFI-F2'!C60</f>
        <v/>
      </c>
      <c r="K127" s="2" t="str">
        <f>'AFI-F2'!D60</f>
        <v>JOSUE DEL VALLE</v>
      </c>
      <c r="L127" s="2" t="str">
        <f>'AFI-F2'!E60</f>
        <v/>
      </c>
      <c r="M127" s="2" t="str">
        <f>'AFI-F2'!F60</f>
        <v/>
      </c>
      <c r="N127" s="2" t="str">
        <f>'AFI-F2'!G60</f>
        <v/>
      </c>
      <c r="O127" s="2" t="str">
        <f>'AFI-F2'!H60</f>
        <v>X</v>
      </c>
      <c r="P127" s="2" t="str">
        <f>'AFI-F2'!I60</f>
        <v/>
      </c>
      <c r="Q127" s="2">
        <f>'AFI-F2'!J60</f>
        <v>180</v>
      </c>
      <c r="R127" s="2">
        <f>'AFI-F2'!K60</f>
        <v>180</v>
      </c>
      <c r="S127" s="2" t="str">
        <f>'AFI-F2'!L60</f>
        <v>PAGO</v>
      </c>
      <c r="T127" s="2" t="str">
        <f>'AFI-F2'!M60</f>
        <v>YAPE JL</v>
      </c>
      <c r="U127" s="2">
        <f>'AFI-F2'!N60</f>
        <v>180</v>
      </c>
      <c r="V127" s="2" t="str">
        <f>'AFI-F2'!P60</f>
        <v/>
      </c>
      <c r="W127" s="2" t="str">
        <f>'AFI-F2'!Q60</f>
        <v>JL</v>
      </c>
      <c r="X127" s="5">
        <f>'AFI-F2'!R60</f>
        <v>360</v>
      </c>
      <c r="Y127" s="1"/>
      <c r="Z127" s="1"/>
      <c r="AA127" s="1"/>
    </row>
    <row r="128">
      <c r="A128" s="1"/>
      <c r="B128" s="14">
        <f t="shared" si="6"/>
        <v>57</v>
      </c>
      <c r="C128" s="22" t="str">
        <f t="shared" si="1"/>
        <v>diciembre</v>
      </c>
      <c r="D128" s="22">
        <f t="shared" si="2"/>
        <v>52</v>
      </c>
      <c r="E128" s="23" t="str">
        <f t="shared" si="3"/>
        <v>sábado</v>
      </c>
      <c r="F128" s="22">
        <f t="shared" si="4"/>
        <v>30</v>
      </c>
      <c r="G128" s="22" t="s">
        <v>23</v>
      </c>
      <c r="H128" s="3">
        <f>'AFI-F2'!$G$3</f>
        <v>45668</v>
      </c>
      <c r="I128" s="24" t="str">
        <f>'AFI-F2'!B61</f>
        <v/>
      </c>
      <c r="J128" s="2" t="str">
        <f>'AFI-F2'!C61</f>
        <v/>
      </c>
      <c r="K128" s="2" t="str">
        <f>'AFI-F2'!D61</f>
        <v/>
      </c>
      <c r="L128" s="2" t="str">
        <f>'AFI-F2'!E61</f>
        <v/>
      </c>
      <c r="M128" s="2" t="str">
        <f>'AFI-F2'!F61</f>
        <v/>
      </c>
      <c r="N128" s="2" t="str">
        <f>'AFI-F2'!G61</f>
        <v/>
      </c>
      <c r="O128" s="2" t="str">
        <f>'AFI-F2'!H61</f>
        <v/>
      </c>
      <c r="P128" s="2" t="str">
        <f>'AFI-F2'!I61</f>
        <v/>
      </c>
      <c r="Q128" s="2" t="str">
        <f>'AFI-F2'!J61</f>
        <v/>
      </c>
      <c r="R128" s="2" t="str">
        <f>'AFI-F2'!K61</f>
        <v/>
      </c>
      <c r="S128" s="2" t="str">
        <f>'AFI-F2'!L61</f>
        <v/>
      </c>
      <c r="T128" s="2" t="str">
        <f>'AFI-F2'!M61</f>
        <v/>
      </c>
      <c r="U128" s="2" t="str">
        <f>'AFI-F2'!N61</f>
        <v/>
      </c>
      <c r="V128" s="2" t="str">
        <f>'AFI-F2'!P61</f>
        <v/>
      </c>
      <c r="W128" s="2" t="str">
        <f>'AFI-F2'!Q61</f>
        <v/>
      </c>
      <c r="X128" s="5">
        <f>'AFI-F2'!R61</f>
        <v>0</v>
      </c>
      <c r="Y128" s="1"/>
      <c r="Z128" s="1"/>
      <c r="AA128" s="1"/>
    </row>
    <row r="129">
      <c r="A129" s="1"/>
      <c r="B129" s="14">
        <f t="shared" si="6"/>
        <v>58</v>
      </c>
      <c r="C129" s="22" t="str">
        <f t="shared" si="1"/>
        <v>diciembre</v>
      </c>
      <c r="D129" s="22">
        <f t="shared" si="2"/>
        <v>52</v>
      </c>
      <c r="E129" s="23" t="str">
        <f t="shared" si="3"/>
        <v>sábado</v>
      </c>
      <c r="F129" s="22">
        <f t="shared" si="4"/>
        <v>30</v>
      </c>
      <c r="G129" s="22" t="s">
        <v>23</v>
      </c>
      <c r="H129" s="3">
        <f>'AFI-F2'!$G$3</f>
        <v>45668</v>
      </c>
      <c r="I129" s="24" t="str">
        <f>'AFI-F2'!B62</f>
        <v/>
      </c>
      <c r="J129" s="2" t="str">
        <f>'AFI-F2'!C62</f>
        <v/>
      </c>
      <c r="K129" s="2" t="str">
        <f>'AFI-F2'!D62</f>
        <v/>
      </c>
      <c r="L129" s="2" t="str">
        <f>'AFI-F2'!E62</f>
        <v/>
      </c>
      <c r="M129" s="2" t="str">
        <f>'AFI-F2'!F62</f>
        <v/>
      </c>
      <c r="N129" s="2" t="str">
        <f>'AFI-F2'!G62</f>
        <v/>
      </c>
      <c r="O129" s="2" t="str">
        <f>'AFI-F2'!H62</f>
        <v/>
      </c>
      <c r="P129" s="2" t="str">
        <f>'AFI-F2'!I62</f>
        <v/>
      </c>
      <c r="Q129" s="2" t="str">
        <f>'AFI-F2'!J62</f>
        <v/>
      </c>
      <c r="R129" s="2" t="str">
        <f>'AFI-F2'!K62</f>
        <v/>
      </c>
      <c r="S129" s="2" t="str">
        <f>'AFI-F2'!L62</f>
        <v/>
      </c>
      <c r="T129" s="2" t="str">
        <f>'AFI-F2'!M62</f>
        <v/>
      </c>
      <c r="U129" s="2" t="str">
        <f>'AFI-F2'!N62</f>
        <v/>
      </c>
      <c r="V129" s="2" t="str">
        <f>'AFI-F2'!P62</f>
        <v/>
      </c>
      <c r="W129" s="2" t="str">
        <f>'AFI-F2'!Q62</f>
        <v/>
      </c>
      <c r="X129" s="5">
        <f>'AFI-F2'!R62</f>
        <v>0</v>
      </c>
      <c r="Y129" s="1"/>
      <c r="Z129" s="1"/>
      <c r="AA129" s="1"/>
    </row>
    <row r="130">
      <c r="A130" s="1"/>
      <c r="B130" s="14">
        <f t="shared" si="6"/>
        <v>59</v>
      </c>
      <c r="C130" s="22" t="str">
        <f t="shared" si="1"/>
        <v>diciembre</v>
      </c>
      <c r="D130" s="22">
        <f t="shared" si="2"/>
        <v>52</v>
      </c>
      <c r="E130" s="23" t="str">
        <f t="shared" si="3"/>
        <v>sábado</v>
      </c>
      <c r="F130" s="22">
        <f t="shared" si="4"/>
        <v>30</v>
      </c>
      <c r="G130" s="22" t="s">
        <v>23</v>
      </c>
      <c r="H130" s="3">
        <f>'AFI-F2'!$G$3</f>
        <v>45668</v>
      </c>
      <c r="I130" s="24" t="str">
        <f>'AFI-F2'!B63</f>
        <v/>
      </c>
      <c r="J130" s="2" t="str">
        <f>'AFI-F2'!C63</f>
        <v/>
      </c>
      <c r="K130" s="2" t="str">
        <f>'AFI-F2'!D63</f>
        <v/>
      </c>
      <c r="L130" s="2" t="str">
        <f>'AFI-F2'!E63</f>
        <v/>
      </c>
      <c r="M130" s="2" t="str">
        <f>'AFI-F2'!F63</f>
        <v/>
      </c>
      <c r="N130" s="2" t="str">
        <f>'AFI-F2'!G63</f>
        <v/>
      </c>
      <c r="O130" s="2" t="str">
        <f>'AFI-F2'!H63</f>
        <v/>
      </c>
      <c r="P130" s="2" t="str">
        <f>'AFI-F2'!I63</f>
        <v/>
      </c>
      <c r="Q130" s="2" t="str">
        <f>'AFI-F2'!J63</f>
        <v/>
      </c>
      <c r="R130" s="2" t="str">
        <f>'AFI-F2'!K63</f>
        <v/>
      </c>
      <c r="S130" s="2" t="str">
        <f>'AFI-F2'!L63</f>
        <v/>
      </c>
      <c r="T130" s="2" t="str">
        <f>'AFI-F2'!M63</f>
        <v/>
      </c>
      <c r="U130" s="2" t="str">
        <f>'AFI-F2'!N63</f>
        <v/>
      </c>
      <c r="V130" s="2" t="str">
        <f>'AFI-F2'!P63</f>
        <v/>
      </c>
      <c r="W130" s="2" t="str">
        <f>'AFI-F2'!Q63</f>
        <v/>
      </c>
      <c r="X130" s="5">
        <f>'AFI-F2'!R63</f>
        <v>0</v>
      </c>
      <c r="Y130" s="1"/>
      <c r="Z130" s="1"/>
      <c r="AA130" s="1"/>
    </row>
    <row r="131">
      <c r="A131" s="1"/>
      <c r="B131" s="14">
        <f t="shared" si="6"/>
        <v>60</v>
      </c>
      <c r="C131" s="22" t="str">
        <f t="shared" si="1"/>
        <v>diciembre</v>
      </c>
      <c r="D131" s="22">
        <f t="shared" si="2"/>
        <v>52</v>
      </c>
      <c r="E131" s="23" t="str">
        <f t="shared" si="3"/>
        <v>sábado</v>
      </c>
      <c r="F131" s="22">
        <f t="shared" si="4"/>
        <v>30</v>
      </c>
      <c r="G131" s="22" t="s">
        <v>23</v>
      </c>
      <c r="H131" s="3">
        <f>'AFI-F2'!$G$3</f>
        <v>45668</v>
      </c>
      <c r="I131" s="24" t="str">
        <f>'AFI-F2'!B64</f>
        <v/>
      </c>
      <c r="J131" s="2" t="str">
        <f>'AFI-F2'!C64</f>
        <v/>
      </c>
      <c r="K131" s="2" t="str">
        <f>'AFI-F2'!D64</f>
        <v/>
      </c>
      <c r="L131" s="2" t="str">
        <f>'AFI-F2'!E64</f>
        <v/>
      </c>
      <c r="M131" s="2" t="str">
        <f>'AFI-F2'!F64</f>
        <v/>
      </c>
      <c r="N131" s="2" t="str">
        <f>'AFI-F2'!G64</f>
        <v/>
      </c>
      <c r="O131" s="2" t="str">
        <f>'AFI-F2'!H64</f>
        <v/>
      </c>
      <c r="P131" s="2" t="str">
        <f>'AFI-F2'!I64</f>
        <v/>
      </c>
      <c r="Q131" s="2" t="str">
        <f>'AFI-F2'!J64</f>
        <v/>
      </c>
      <c r="R131" s="2" t="str">
        <f>'AFI-F2'!K64</f>
        <v/>
      </c>
      <c r="S131" s="2" t="str">
        <f>'AFI-F2'!L64</f>
        <v/>
      </c>
      <c r="T131" s="2" t="str">
        <f>'AFI-F2'!M64</f>
        <v/>
      </c>
      <c r="U131" s="2" t="str">
        <f>'AFI-F2'!N64</f>
        <v/>
      </c>
      <c r="V131" s="2" t="str">
        <f>'AFI-F2'!P64</f>
        <v/>
      </c>
      <c r="W131" s="2" t="str">
        <f>'AFI-F2'!Q64</f>
        <v/>
      </c>
      <c r="X131" s="5">
        <f>'AFI-F2'!R64</f>
        <v>0</v>
      </c>
      <c r="Y131" s="1"/>
      <c r="Z131" s="1"/>
      <c r="AA131" s="1"/>
    </row>
    <row r="132">
      <c r="A132" s="1"/>
      <c r="B132" s="14">
        <f t="shared" si="6"/>
        <v>61</v>
      </c>
      <c r="C132" s="22" t="str">
        <f t="shared" si="1"/>
        <v>diciembre</v>
      </c>
      <c r="D132" s="22">
        <f t="shared" si="2"/>
        <v>52</v>
      </c>
      <c r="E132" s="23" t="str">
        <f t="shared" si="3"/>
        <v>sábado</v>
      </c>
      <c r="F132" s="22">
        <f t="shared" si="4"/>
        <v>30</v>
      </c>
      <c r="G132" s="22" t="s">
        <v>23</v>
      </c>
      <c r="H132" s="3">
        <f>'AFI-F2'!$G$3</f>
        <v>45668</v>
      </c>
      <c r="I132" s="24" t="str">
        <f>'AFI-F2'!B65</f>
        <v/>
      </c>
      <c r="J132" s="2" t="str">
        <f>'AFI-F2'!C65</f>
        <v/>
      </c>
      <c r="K132" s="2" t="str">
        <f>'AFI-F2'!D65</f>
        <v/>
      </c>
      <c r="L132" s="2" t="str">
        <f>'AFI-F2'!E65</f>
        <v/>
      </c>
      <c r="M132" s="2" t="str">
        <f>'AFI-F2'!F65</f>
        <v/>
      </c>
      <c r="N132" s="2" t="str">
        <f>'AFI-F2'!G65</f>
        <v/>
      </c>
      <c r="O132" s="2" t="str">
        <f>'AFI-F2'!H65</f>
        <v/>
      </c>
      <c r="P132" s="2" t="str">
        <f>'AFI-F2'!I65</f>
        <v/>
      </c>
      <c r="Q132" s="2" t="str">
        <f>'AFI-F2'!J65</f>
        <v/>
      </c>
      <c r="R132" s="2" t="str">
        <f>'AFI-F2'!K65</f>
        <v/>
      </c>
      <c r="S132" s="2" t="str">
        <f>'AFI-F2'!L65</f>
        <v/>
      </c>
      <c r="T132" s="2" t="str">
        <f>'AFI-F2'!M65</f>
        <v/>
      </c>
      <c r="U132" s="2" t="str">
        <f>'AFI-F2'!N65</f>
        <v/>
      </c>
      <c r="V132" s="2" t="str">
        <f>'AFI-F2'!P65</f>
        <v/>
      </c>
      <c r="W132" s="2" t="str">
        <f>'AFI-F2'!Q65</f>
        <v/>
      </c>
      <c r="X132" s="5">
        <f>'AFI-F2'!R65</f>
        <v>0</v>
      </c>
      <c r="Y132" s="1"/>
      <c r="Z132" s="1"/>
      <c r="AA132" s="1"/>
    </row>
    <row r="133">
      <c r="A133" s="1"/>
      <c r="B133" s="14">
        <f t="shared" si="6"/>
        <v>62</v>
      </c>
      <c r="C133" s="22" t="str">
        <f t="shared" si="1"/>
        <v>diciembre</v>
      </c>
      <c r="D133" s="22">
        <f t="shared" si="2"/>
        <v>52</v>
      </c>
      <c r="E133" s="23" t="str">
        <f t="shared" si="3"/>
        <v>sábado</v>
      </c>
      <c r="F133" s="22">
        <f t="shared" si="4"/>
        <v>30</v>
      </c>
      <c r="G133" s="22" t="s">
        <v>23</v>
      </c>
      <c r="H133" s="3">
        <f>'AFI-F2'!$G$3</f>
        <v>45668</v>
      </c>
      <c r="I133" s="24" t="str">
        <f>'AFI-F2'!B66</f>
        <v/>
      </c>
      <c r="J133" s="2" t="str">
        <f>'AFI-F2'!C66</f>
        <v/>
      </c>
      <c r="K133" s="2" t="str">
        <f>'AFI-F2'!D66</f>
        <v/>
      </c>
      <c r="L133" s="2" t="str">
        <f>'AFI-F2'!E66</f>
        <v/>
      </c>
      <c r="M133" s="2" t="str">
        <f>'AFI-F2'!F66</f>
        <v/>
      </c>
      <c r="N133" s="2" t="str">
        <f>'AFI-F2'!G66</f>
        <v/>
      </c>
      <c r="O133" s="2" t="str">
        <f>'AFI-F2'!H66</f>
        <v/>
      </c>
      <c r="P133" s="2" t="str">
        <f>'AFI-F2'!I66</f>
        <v/>
      </c>
      <c r="Q133" s="2" t="str">
        <f>'AFI-F2'!J66</f>
        <v/>
      </c>
      <c r="R133" s="2" t="str">
        <f>'AFI-F2'!K66</f>
        <v/>
      </c>
      <c r="S133" s="2" t="str">
        <f>'AFI-F2'!L66</f>
        <v/>
      </c>
      <c r="T133" s="2" t="str">
        <f>'AFI-F2'!M66</f>
        <v/>
      </c>
      <c r="U133" s="2" t="str">
        <f>'AFI-F2'!N66</f>
        <v/>
      </c>
      <c r="V133" s="2" t="str">
        <f>'AFI-F2'!P66</f>
        <v/>
      </c>
      <c r="W133" s="2" t="str">
        <f>'AFI-F2'!Q66</f>
        <v/>
      </c>
      <c r="X133" s="5">
        <f>'AFI-F2'!R66</f>
        <v>0</v>
      </c>
      <c r="Y133" s="1"/>
      <c r="Z133" s="1"/>
      <c r="AA133" s="1"/>
    </row>
    <row r="134">
      <c r="A134" s="1"/>
      <c r="B134" s="14">
        <f t="shared" si="6"/>
        <v>63</v>
      </c>
      <c r="C134" s="22" t="str">
        <f t="shared" si="1"/>
        <v>diciembre</v>
      </c>
      <c r="D134" s="22">
        <f t="shared" si="2"/>
        <v>52</v>
      </c>
      <c r="E134" s="23" t="str">
        <f t="shared" si="3"/>
        <v>sábado</v>
      </c>
      <c r="F134" s="22">
        <f t="shared" si="4"/>
        <v>30</v>
      </c>
      <c r="G134" s="22" t="s">
        <v>23</v>
      </c>
      <c r="H134" s="3">
        <f>'AFI-F2'!$G$3</f>
        <v>45668</v>
      </c>
      <c r="I134" s="24" t="str">
        <f>'AFI-F2'!B67</f>
        <v/>
      </c>
      <c r="J134" s="2" t="str">
        <f>'AFI-F2'!C67</f>
        <v/>
      </c>
      <c r="K134" s="2" t="str">
        <f>'AFI-F2'!D67</f>
        <v/>
      </c>
      <c r="L134" s="2" t="str">
        <f>'AFI-F2'!E67</f>
        <v/>
      </c>
      <c r="M134" s="2" t="str">
        <f>'AFI-F2'!F67</f>
        <v/>
      </c>
      <c r="N134" s="2" t="str">
        <f>'AFI-F2'!G67</f>
        <v/>
      </c>
      <c r="O134" s="2" t="str">
        <f>'AFI-F2'!H67</f>
        <v/>
      </c>
      <c r="P134" s="2" t="str">
        <f>'AFI-F2'!I67</f>
        <v/>
      </c>
      <c r="Q134" s="2" t="str">
        <f>'AFI-F2'!J67</f>
        <v/>
      </c>
      <c r="R134" s="2" t="str">
        <f>'AFI-F2'!K67</f>
        <v/>
      </c>
      <c r="S134" s="2" t="str">
        <f>'AFI-F2'!L67</f>
        <v/>
      </c>
      <c r="T134" s="2" t="str">
        <f>'AFI-F2'!M67</f>
        <v/>
      </c>
      <c r="U134" s="2" t="str">
        <f>'AFI-F2'!N67</f>
        <v/>
      </c>
      <c r="V134" s="2" t="str">
        <f>'AFI-F2'!P67</f>
        <v/>
      </c>
      <c r="W134" s="2" t="str">
        <f>'AFI-F2'!Q67</f>
        <v/>
      </c>
      <c r="X134" s="5">
        <f>'AFI-F2'!R67</f>
        <v>0</v>
      </c>
      <c r="Y134" s="1"/>
      <c r="Z134" s="1"/>
      <c r="AA134" s="1"/>
    </row>
    <row r="135">
      <c r="A135" s="1"/>
      <c r="B135" s="14">
        <f t="shared" si="6"/>
        <v>64</v>
      </c>
      <c r="C135" s="22" t="str">
        <f t="shared" si="1"/>
        <v>diciembre</v>
      </c>
      <c r="D135" s="22">
        <f t="shared" si="2"/>
        <v>52</v>
      </c>
      <c r="E135" s="23" t="str">
        <f t="shared" si="3"/>
        <v>sábado</v>
      </c>
      <c r="F135" s="22">
        <f t="shared" si="4"/>
        <v>30</v>
      </c>
      <c r="G135" s="22" t="s">
        <v>23</v>
      </c>
      <c r="H135" s="3">
        <f>'AFI-F2'!$G$3</f>
        <v>45668</v>
      </c>
      <c r="I135" s="24" t="str">
        <f>'AFI-F2'!B68</f>
        <v/>
      </c>
      <c r="J135" s="2" t="str">
        <f>'AFI-F2'!C68</f>
        <v/>
      </c>
      <c r="K135" s="2" t="str">
        <f>'AFI-F2'!D68</f>
        <v/>
      </c>
      <c r="L135" s="2" t="str">
        <f>'AFI-F2'!E68</f>
        <v/>
      </c>
      <c r="M135" s="2" t="str">
        <f>'AFI-F2'!F68</f>
        <v/>
      </c>
      <c r="N135" s="2" t="str">
        <f>'AFI-F2'!G68</f>
        <v/>
      </c>
      <c r="O135" s="2" t="str">
        <f>'AFI-F2'!H68</f>
        <v/>
      </c>
      <c r="P135" s="2" t="str">
        <f>'AFI-F2'!I68</f>
        <v/>
      </c>
      <c r="Q135" s="2" t="str">
        <f>'AFI-F2'!J68</f>
        <v/>
      </c>
      <c r="R135" s="2" t="str">
        <f>'AFI-F2'!K68</f>
        <v/>
      </c>
      <c r="S135" s="2" t="str">
        <f>'AFI-F2'!L68</f>
        <v/>
      </c>
      <c r="T135" s="2" t="str">
        <f>'AFI-F2'!M68</f>
        <v/>
      </c>
      <c r="U135" s="2" t="str">
        <f>'AFI-F2'!N68</f>
        <v/>
      </c>
      <c r="V135" s="2" t="str">
        <f>'AFI-F2'!P68</f>
        <v/>
      </c>
      <c r="W135" s="2" t="str">
        <f>'AFI-F2'!Q68</f>
        <v/>
      </c>
      <c r="X135" s="5">
        <f>'AFI-F2'!R68</f>
        <v>0</v>
      </c>
      <c r="Y135" s="1"/>
      <c r="Z135" s="1"/>
      <c r="AA135" s="1"/>
    </row>
    <row r="136">
      <c r="A136" s="1"/>
      <c r="B136" s="14">
        <f t="shared" si="6"/>
        <v>65</v>
      </c>
      <c r="C136" s="22" t="str">
        <f t="shared" si="1"/>
        <v>diciembre</v>
      </c>
      <c r="D136" s="22">
        <f t="shared" si="2"/>
        <v>52</v>
      </c>
      <c r="E136" s="23" t="str">
        <f t="shared" si="3"/>
        <v>sábado</v>
      </c>
      <c r="F136" s="22">
        <f t="shared" si="4"/>
        <v>30</v>
      </c>
      <c r="G136" s="22" t="s">
        <v>23</v>
      </c>
      <c r="H136" s="3">
        <f>'AFI-F2'!$G$3</f>
        <v>45668</v>
      </c>
      <c r="I136" s="24" t="str">
        <f>'AFI-F2'!B69</f>
        <v/>
      </c>
      <c r="J136" s="2" t="str">
        <f>'AFI-F2'!C69</f>
        <v/>
      </c>
      <c r="K136" s="2" t="str">
        <f>'AFI-F2'!D69</f>
        <v/>
      </c>
      <c r="L136" s="2" t="str">
        <f>'AFI-F2'!E69</f>
        <v/>
      </c>
      <c r="M136" s="2" t="str">
        <f>'AFI-F2'!F69</f>
        <v/>
      </c>
      <c r="N136" s="2" t="str">
        <f>'AFI-F2'!G69</f>
        <v/>
      </c>
      <c r="O136" s="2" t="str">
        <f>'AFI-F2'!H69</f>
        <v/>
      </c>
      <c r="P136" s="2" t="str">
        <f>'AFI-F2'!I69</f>
        <v/>
      </c>
      <c r="Q136" s="2" t="str">
        <f>'AFI-F2'!J69</f>
        <v/>
      </c>
      <c r="R136" s="2" t="str">
        <f>'AFI-F2'!K69</f>
        <v/>
      </c>
      <c r="S136" s="2" t="str">
        <f>'AFI-F2'!L69</f>
        <v/>
      </c>
      <c r="T136" s="2" t="str">
        <f>'AFI-F2'!M69</f>
        <v/>
      </c>
      <c r="U136" s="2" t="str">
        <f>'AFI-F2'!N69</f>
        <v/>
      </c>
      <c r="V136" s="2" t="str">
        <f>'AFI-F2'!P69</f>
        <v/>
      </c>
      <c r="W136" s="2" t="str">
        <f>'AFI-F2'!Q69</f>
        <v/>
      </c>
      <c r="X136" s="5">
        <f>'AFI-F2'!R69</f>
        <v>0</v>
      </c>
      <c r="Y136" s="1"/>
      <c r="Z136" s="1"/>
      <c r="AA136" s="1"/>
    </row>
    <row r="137">
      <c r="A137" s="1"/>
      <c r="B137" s="14">
        <f t="shared" si="6"/>
        <v>66</v>
      </c>
      <c r="C137" s="22" t="str">
        <f t="shared" si="1"/>
        <v>diciembre</v>
      </c>
      <c r="D137" s="22">
        <f t="shared" si="2"/>
        <v>52</v>
      </c>
      <c r="E137" s="23" t="str">
        <f t="shared" si="3"/>
        <v>sábado</v>
      </c>
      <c r="F137" s="22">
        <f t="shared" si="4"/>
        <v>30</v>
      </c>
      <c r="G137" s="22" t="s">
        <v>23</v>
      </c>
      <c r="H137" s="3">
        <f>'AFI-F2'!$G$3</f>
        <v>45668</v>
      </c>
      <c r="I137" s="24" t="str">
        <f>'AFI-F2'!B70</f>
        <v/>
      </c>
      <c r="J137" s="2" t="str">
        <f>'AFI-F2'!C70</f>
        <v/>
      </c>
      <c r="K137" s="2" t="str">
        <f>'AFI-F2'!D70</f>
        <v/>
      </c>
      <c r="L137" s="2" t="str">
        <f>'AFI-F2'!E70</f>
        <v/>
      </c>
      <c r="M137" s="2" t="str">
        <f>'AFI-F2'!F70</f>
        <v/>
      </c>
      <c r="N137" s="2" t="str">
        <f>'AFI-F2'!G70</f>
        <v/>
      </c>
      <c r="O137" s="2" t="str">
        <f>'AFI-F2'!H70</f>
        <v/>
      </c>
      <c r="P137" s="2" t="str">
        <f>'AFI-F2'!I70</f>
        <v/>
      </c>
      <c r="Q137" s="2" t="str">
        <f>'AFI-F2'!J70</f>
        <v/>
      </c>
      <c r="R137" s="2" t="str">
        <f>'AFI-F2'!K70</f>
        <v/>
      </c>
      <c r="S137" s="2" t="str">
        <f>'AFI-F2'!L70</f>
        <v/>
      </c>
      <c r="T137" s="2" t="str">
        <f>'AFI-F2'!M70</f>
        <v/>
      </c>
      <c r="U137" s="2" t="str">
        <f>'AFI-F2'!N70</f>
        <v/>
      </c>
      <c r="V137" s="2" t="str">
        <f>'AFI-F2'!P70</f>
        <v/>
      </c>
      <c r="W137" s="2" t="str">
        <f>'AFI-F2'!Q70</f>
        <v/>
      </c>
      <c r="X137" s="5">
        <f>'AFI-F2'!R70</f>
        <v>0</v>
      </c>
      <c r="Y137" s="1"/>
      <c r="Z137" s="1"/>
      <c r="AA137" s="1"/>
    </row>
    <row r="138">
      <c r="A138" s="1"/>
      <c r="B138" s="14">
        <f t="shared" si="6"/>
        <v>67</v>
      </c>
      <c r="C138" s="22" t="str">
        <f t="shared" si="1"/>
        <v>diciembre</v>
      </c>
      <c r="D138" s="22">
        <f t="shared" si="2"/>
        <v>52</v>
      </c>
      <c r="E138" s="23" t="str">
        <f t="shared" si="3"/>
        <v>sábado</v>
      </c>
      <c r="F138" s="22">
        <f t="shared" si="4"/>
        <v>30</v>
      </c>
      <c r="G138" s="22" t="s">
        <v>23</v>
      </c>
      <c r="H138" s="3">
        <f>'AFI-F2'!$G$3</f>
        <v>45668</v>
      </c>
      <c r="I138" s="24" t="str">
        <f>'AFI-F2'!B71</f>
        <v/>
      </c>
      <c r="J138" s="2" t="str">
        <f>'AFI-F2'!C71</f>
        <v/>
      </c>
      <c r="K138" s="2" t="str">
        <f>'AFI-F2'!D71</f>
        <v/>
      </c>
      <c r="L138" s="2" t="str">
        <f>'AFI-F2'!E71</f>
        <v/>
      </c>
      <c r="M138" s="2" t="str">
        <f>'AFI-F2'!F71</f>
        <v/>
      </c>
      <c r="N138" s="2" t="str">
        <f>'AFI-F2'!G71</f>
        <v/>
      </c>
      <c r="O138" s="2" t="str">
        <f>'AFI-F2'!H71</f>
        <v/>
      </c>
      <c r="P138" s="2" t="str">
        <f>'AFI-F2'!I71</f>
        <v/>
      </c>
      <c r="Q138" s="2" t="str">
        <f>'AFI-F2'!J71</f>
        <v/>
      </c>
      <c r="R138" s="2" t="str">
        <f>'AFI-F2'!K71</f>
        <v/>
      </c>
      <c r="S138" s="2" t="str">
        <f>'AFI-F2'!L71</f>
        <v/>
      </c>
      <c r="T138" s="2" t="str">
        <f>'AFI-F2'!M71</f>
        <v/>
      </c>
      <c r="U138" s="2" t="str">
        <f>'AFI-F2'!N71</f>
        <v/>
      </c>
      <c r="V138" s="2" t="str">
        <f>'AFI-F2'!P71</f>
        <v/>
      </c>
      <c r="W138" s="2" t="str">
        <f>'AFI-F2'!Q71</f>
        <v/>
      </c>
      <c r="X138" s="5">
        <f>'AFI-F2'!R71</f>
        <v>0</v>
      </c>
      <c r="Y138" s="1"/>
      <c r="Z138" s="1"/>
      <c r="AA138" s="1"/>
    </row>
    <row r="139">
      <c r="A139" s="1"/>
      <c r="B139" s="14">
        <f t="shared" si="6"/>
        <v>68</v>
      </c>
      <c r="C139" s="22" t="str">
        <f t="shared" si="1"/>
        <v>diciembre</v>
      </c>
      <c r="D139" s="22">
        <f t="shared" si="2"/>
        <v>52</v>
      </c>
      <c r="E139" s="23" t="str">
        <f t="shared" si="3"/>
        <v>sábado</v>
      </c>
      <c r="F139" s="22">
        <f t="shared" si="4"/>
        <v>30</v>
      </c>
      <c r="G139" s="22" t="s">
        <v>23</v>
      </c>
      <c r="H139" s="3">
        <f>'AFI-F2'!$G$3</f>
        <v>45668</v>
      </c>
      <c r="I139" s="24" t="str">
        <f>'AFI-F2'!B72</f>
        <v/>
      </c>
      <c r="J139" s="2" t="str">
        <f>'AFI-F2'!C72</f>
        <v/>
      </c>
      <c r="K139" s="2" t="str">
        <f>'AFI-F2'!D72</f>
        <v/>
      </c>
      <c r="L139" s="2" t="str">
        <f>'AFI-F2'!E72</f>
        <v/>
      </c>
      <c r="M139" s="2" t="str">
        <f>'AFI-F2'!F72</f>
        <v/>
      </c>
      <c r="N139" s="2" t="str">
        <f>'AFI-F2'!G72</f>
        <v/>
      </c>
      <c r="O139" s="2" t="str">
        <f>'AFI-F2'!H72</f>
        <v/>
      </c>
      <c r="P139" s="2" t="str">
        <f>'AFI-F2'!I72</f>
        <v/>
      </c>
      <c r="Q139" s="2" t="str">
        <f>'AFI-F2'!J72</f>
        <v/>
      </c>
      <c r="R139" s="2" t="str">
        <f>'AFI-F2'!K72</f>
        <v/>
      </c>
      <c r="S139" s="2" t="str">
        <f>'AFI-F2'!L72</f>
        <v/>
      </c>
      <c r="T139" s="2" t="str">
        <f>'AFI-F2'!M72</f>
        <v/>
      </c>
      <c r="U139" s="2" t="str">
        <f>'AFI-F2'!N72</f>
        <v/>
      </c>
      <c r="V139" s="2" t="str">
        <f>'AFI-F2'!P72</f>
        <v/>
      </c>
      <c r="W139" s="2" t="str">
        <f>'AFI-F2'!Q72</f>
        <v/>
      </c>
      <c r="X139" s="5">
        <f>'AFI-F2'!R72</f>
        <v>0</v>
      </c>
      <c r="Y139" s="1"/>
      <c r="Z139" s="1"/>
      <c r="AA139" s="1"/>
    </row>
    <row r="140">
      <c r="A140" s="1"/>
      <c r="B140" s="14">
        <v>1.0</v>
      </c>
      <c r="C140" s="15" t="str">
        <f t="shared" si="1"/>
        <v>diciembre</v>
      </c>
      <c r="D140" s="15">
        <f t="shared" si="2"/>
        <v>52</v>
      </c>
      <c r="E140" s="16" t="str">
        <f t="shared" si="3"/>
        <v>martes</v>
      </c>
      <c r="F140" s="15">
        <f t="shared" si="4"/>
        <v>23</v>
      </c>
      <c r="G140" s="15" t="s">
        <v>23</v>
      </c>
      <c r="H140" s="3">
        <f>'AFI-F3'!$G$3</f>
        <v>45674</v>
      </c>
      <c r="I140" s="18">
        <f>'AFI-F3'!B5</f>
        <v>46014</v>
      </c>
      <c r="J140" s="18">
        <f>'AFI-F3'!C5</f>
        <v>41864072</v>
      </c>
      <c r="K140" s="18" t="str">
        <f>'AFI-F3'!D5</f>
        <v>Alan Paul Otiniano Azahuanche</v>
      </c>
      <c r="L140" s="28" t="str">
        <f>'AFI-F3'!E5</f>
        <v>apoa315@hotmail.com</v>
      </c>
      <c r="M140" s="18" t="str">
        <f>'AFI-F3'!F5</f>
        <v>SURCO</v>
      </c>
      <c r="N140" s="18" t="str">
        <f>'AFI-F3'!G5</f>
        <v> 949 271 885</v>
      </c>
      <c r="O140" s="18" t="str">
        <f>'AFI-F3'!H5</f>
        <v>X</v>
      </c>
      <c r="P140" s="18" t="str">
        <f>'AFI-F3'!I5</f>
        <v/>
      </c>
      <c r="Q140" s="18">
        <f>'AFI-F3'!J5</f>
        <v>110</v>
      </c>
      <c r="R140" s="18">
        <f>'AFI-F3'!K5</f>
        <v>110</v>
      </c>
      <c r="S140" s="18" t="str">
        <f>'AFI-F3'!L5</f>
        <v>COBR</v>
      </c>
      <c r="T140" s="18" t="str">
        <f>'AFI-F3'!M5</f>
        <v>YAPE JL</v>
      </c>
      <c r="U140" s="18">
        <f>'AFI-F3'!N5</f>
        <v>110</v>
      </c>
      <c r="V140" s="18">
        <f>'AFI-F3'!O5</f>
        <v>110</v>
      </c>
      <c r="W140" s="18" t="str">
        <f>'AFI-F3'!P5</f>
        <v>Yadhira</v>
      </c>
      <c r="X140" s="18">
        <f>'AFI-F3'!Q5</f>
        <v>220</v>
      </c>
      <c r="Y140" s="1"/>
      <c r="Z140" s="1"/>
      <c r="AA140" s="1"/>
    </row>
    <row r="141">
      <c r="A141" s="1"/>
      <c r="B141" s="14">
        <f t="shared" ref="B141:B207" si="7">B140+1</f>
        <v>2</v>
      </c>
      <c r="C141" s="15" t="str">
        <f t="shared" si="1"/>
        <v>diciembre</v>
      </c>
      <c r="D141" s="15">
        <f t="shared" si="2"/>
        <v>52</v>
      </c>
      <c r="E141" s="16" t="str">
        <f t="shared" si="3"/>
        <v>martes</v>
      </c>
      <c r="F141" s="15">
        <f t="shared" si="4"/>
        <v>23</v>
      </c>
      <c r="G141" s="15" t="s">
        <v>23</v>
      </c>
      <c r="H141" s="3">
        <f>'AFI-F3'!$G$3</f>
        <v>45674</v>
      </c>
      <c r="I141" s="18">
        <f>'AFI-F3'!B6</f>
        <v>46014</v>
      </c>
      <c r="J141" s="18" t="str">
        <f>'AFI-F3'!C6</f>
        <v>09954438</v>
      </c>
      <c r="K141" s="18" t="str">
        <f>'AFI-F3'!D6</f>
        <v>Walter Peralta</v>
      </c>
      <c r="L141" s="28" t="str">
        <f>'AFI-F3'!E6</f>
        <v>Carolina.velosa@icloud.com</v>
      </c>
      <c r="M141" s="18" t="str">
        <f>'AFI-F3'!F6</f>
        <v>SAN BORJA</v>
      </c>
      <c r="N141" s="18" t="str">
        <f>'AFI-F3'!G6</f>
        <v>987 737 748</v>
      </c>
      <c r="O141" s="18" t="str">
        <f>'AFI-F3'!H6</f>
        <v/>
      </c>
      <c r="P141" s="18" t="str">
        <f>'AFI-F3'!I6</f>
        <v>X</v>
      </c>
      <c r="Q141" s="18">
        <f>'AFI-F3'!J6</f>
        <v>220</v>
      </c>
      <c r="R141" s="18" t="str">
        <f>'AFI-F3'!K6</f>
        <v/>
      </c>
      <c r="S141" s="18" t="str">
        <f>'AFI-F3'!L6</f>
        <v>PAGO</v>
      </c>
      <c r="T141" s="18" t="str">
        <f>'AFI-F3'!M6</f>
        <v>YAPE JL</v>
      </c>
      <c r="U141" s="18">
        <f>'AFI-F3'!N6</f>
        <v>220</v>
      </c>
      <c r="V141" s="18" t="str">
        <f>'AFI-F3'!O6</f>
        <v/>
      </c>
      <c r="W141" s="18" t="str">
        <f>'AFI-F3'!P6</f>
        <v>Yadhira</v>
      </c>
      <c r="X141" s="18">
        <f>'AFI-F3'!Q6</f>
        <v>220</v>
      </c>
      <c r="Y141" s="1"/>
      <c r="Z141" s="1"/>
      <c r="AA141" s="1"/>
    </row>
    <row r="142">
      <c r="A142" s="1"/>
      <c r="B142" s="14">
        <f t="shared" si="7"/>
        <v>3</v>
      </c>
      <c r="C142" s="15" t="str">
        <f t="shared" si="1"/>
        <v>diciembre</v>
      </c>
      <c r="D142" s="15">
        <f t="shared" si="2"/>
        <v>51</v>
      </c>
      <c r="E142" s="16" t="str">
        <f t="shared" si="3"/>
        <v>jueves</v>
      </c>
      <c r="F142" s="15">
        <f t="shared" si="4"/>
        <v>18</v>
      </c>
      <c r="G142" s="15" t="s">
        <v>23</v>
      </c>
      <c r="H142" s="3">
        <f>'AFI-F3'!$G$3</f>
        <v>45674</v>
      </c>
      <c r="I142" s="18">
        <f>'AFI-F3'!B7</f>
        <v>46009</v>
      </c>
      <c r="J142" s="18">
        <f>'AFI-F3'!C7</f>
        <v>46649174</v>
      </c>
      <c r="K142" s="18" t="str">
        <f>'AFI-F3'!D7</f>
        <v>Jonathan Marrou</v>
      </c>
      <c r="L142" s="18" t="str">
        <f>'AFI-F3'!E7</f>
        <v>Jonathan.marrou@gmail.com</v>
      </c>
      <c r="M142" s="18" t="str">
        <f>'AFI-F3'!F7</f>
        <v>SURCO</v>
      </c>
      <c r="N142" s="18" t="str">
        <f>'AFI-F3'!G7</f>
        <v>FB</v>
      </c>
      <c r="O142" s="18" t="str">
        <f>'AFI-F3'!H7</f>
        <v/>
      </c>
      <c r="P142" s="18" t="str">
        <f>'AFI-F3'!I7</f>
        <v>X</v>
      </c>
      <c r="Q142" s="18">
        <f>'AFI-F3'!J7</f>
        <v>190</v>
      </c>
      <c r="R142" s="18" t="str">
        <f>'AFI-F3'!K7</f>
        <v/>
      </c>
      <c r="S142" s="18" t="str">
        <f>'AFI-F3'!L7</f>
        <v>PAGO</v>
      </c>
      <c r="T142" s="18" t="str">
        <f>'AFI-F3'!M7</f>
        <v>BCP EPP</v>
      </c>
      <c r="U142" s="18">
        <f>'AFI-F3'!N7</f>
        <v>190</v>
      </c>
      <c r="V142" s="18" t="str">
        <f>'AFI-F3'!O7</f>
        <v/>
      </c>
      <c r="W142" s="18" t="str">
        <f>'AFI-F3'!P7</f>
        <v>Yadhira</v>
      </c>
      <c r="X142" s="18">
        <f>'AFI-F3'!Q7</f>
        <v>190</v>
      </c>
      <c r="Y142" s="1"/>
      <c r="Z142" s="1"/>
      <c r="AA142" s="1"/>
    </row>
    <row r="143">
      <c r="A143" s="1"/>
      <c r="B143" s="14">
        <f t="shared" si="7"/>
        <v>4</v>
      </c>
      <c r="C143" s="15" t="str">
        <f t="shared" si="1"/>
        <v>diciembre</v>
      </c>
      <c r="D143" s="15">
        <f t="shared" si="2"/>
        <v>51</v>
      </c>
      <c r="E143" s="16" t="str">
        <f t="shared" si="3"/>
        <v>jueves</v>
      </c>
      <c r="F143" s="15">
        <f t="shared" si="4"/>
        <v>18</v>
      </c>
      <c r="G143" s="15" t="s">
        <v>23</v>
      </c>
      <c r="H143" s="3">
        <f>'AFI-F3'!$G$3</f>
        <v>45674</v>
      </c>
      <c r="I143" s="18">
        <f>'AFI-F3'!B8</f>
        <v>46009</v>
      </c>
      <c r="J143" s="18">
        <f>'AFI-F3'!C8</f>
        <v>10303242</v>
      </c>
      <c r="K143" s="18" t="str">
        <f>'AFI-F3'!D8</f>
        <v>Ricardo Marrou</v>
      </c>
      <c r="L143" s="18" t="str">
        <f>'AFI-F3'!E8</f>
        <v>Ricardo.jonico@gmail.com</v>
      </c>
      <c r="M143" s="18" t="str">
        <f>'AFI-F3'!F8</f>
        <v>SURCO</v>
      </c>
      <c r="N143" s="18" t="str">
        <f>'AFI-F3'!G8</f>
        <v>FB</v>
      </c>
      <c r="O143" s="18" t="str">
        <f>'AFI-F3'!H8</f>
        <v/>
      </c>
      <c r="P143" s="18" t="str">
        <f>'AFI-F3'!I8</f>
        <v>X</v>
      </c>
      <c r="Q143" s="18">
        <f>'AFI-F3'!J8</f>
        <v>190</v>
      </c>
      <c r="R143" s="18" t="str">
        <f>'AFI-F3'!K8</f>
        <v/>
      </c>
      <c r="S143" s="18" t="str">
        <f>'AFI-F3'!L8</f>
        <v>PAGO</v>
      </c>
      <c r="T143" s="18" t="str">
        <f>'AFI-F3'!M8</f>
        <v>BCP EPP</v>
      </c>
      <c r="U143" s="18">
        <f>'AFI-F3'!N8</f>
        <v>190</v>
      </c>
      <c r="V143" s="18" t="str">
        <f>'AFI-F3'!O8</f>
        <v/>
      </c>
      <c r="W143" s="18" t="str">
        <f>'AFI-F3'!P8</f>
        <v>Yadhira</v>
      </c>
      <c r="X143" s="18">
        <f>'AFI-F3'!Q8</f>
        <v>190</v>
      </c>
      <c r="Y143" s="1"/>
      <c r="Z143" s="1"/>
      <c r="AA143" s="1"/>
    </row>
    <row r="144">
      <c r="A144" s="1"/>
      <c r="B144" s="14">
        <f t="shared" si="7"/>
        <v>5</v>
      </c>
      <c r="C144" s="15" t="str">
        <f t="shared" si="1"/>
        <v>diciembre</v>
      </c>
      <c r="D144" s="15">
        <f t="shared" si="2"/>
        <v>52</v>
      </c>
      <c r="E144" s="16" t="str">
        <f t="shared" si="3"/>
        <v>martes</v>
      </c>
      <c r="F144" s="15">
        <f t="shared" si="4"/>
        <v>23</v>
      </c>
      <c r="G144" s="15" t="s">
        <v>23</v>
      </c>
      <c r="H144" s="3">
        <f>'AFI-F3'!$G$3</f>
        <v>45674</v>
      </c>
      <c r="I144" s="18">
        <f>'AFI-F3'!B9</f>
        <v>46014</v>
      </c>
      <c r="J144" s="18">
        <f>'AFI-F3'!C9</f>
        <v>44273674</v>
      </c>
      <c r="K144" s="18" t="str">
        <f>'AFI-F3'!D9</f>
        <v>Ivan Salsavilca Faustino</v>
      </c>
      <c r="L144" s="18" t="str">
        <f>'AFI-F3'!E9</f>
        <v>ivansalsavilca@gmail.com</v>
      </c>
      <c r="M144" s="18" t="str">
        <f>'AFI-F3'!F9</f>
        <v/>
      </c>
      <c r="N144" s="18" t="str">
        <f>'AFI-F3'!G9</f>
        <v/>
      </c>
      <c r="O144" s="18" t="str">
        <f>'AFI-F3'!H9</f>
        <v>x</v>
      </c>
      <c r="P144" s="18" t="str">
        <f>'AFI-F3'!I9</f>
        <v>x</v>
      </c>
      <c r="Q144" s="18">
        <f>'AFI-F3'!J9</f>
        <v>380</v>
      </c>
      <c r="R144" s="18" t="str">
        <f>'AFI-F3'!K9</f>
        <v/>
      </c>
      <c r="S144" s="18" t="str">
        <f>'AFI-F3'!L9</f>
        <v>PAGO</v>
      </c>
      <c r="T144" s="18" t="str">
        <f>'AFI-F3'!M9</f>
        <v>YAPE JL</v>
      </c>
      <c r="U144" s="18">
        <f>'AFI-F3'!N9</f>
        <v>380</v>
      </c>
      <c r="V144" s="18" t="str">
        <f>'AFI-F3'!O9</f>
        <v/>
      </c>
      <c r="W144" s="18" t="str">
        <f>'AFI-F3'!P9</f>
        <v>Katherine</v>
      </c>
      <c r="X144" s="18">
        <f>'AFI-F3'!Q9</f>
        <v>380</v>
      </c>
      <c r="Y144" s="1"/>
      <c r="Z144" s="1"/>
      <c r="AA144" s="1"/>
    </row>
    <row r="145">
      <c r="A145" s="1"/>
      <c r="B145" s="14">
        <f t="shared" si="7"/>
        <v>6</v>
      </c>
      <c r="C145" s="15" t="str">
        <f t="shared" si="1"/>
        <v>enero</v>
      </c>
      <c r="D145" s="15">
        <f t="shared" si="2"/>
        <v>1</v>
      </c>
      <c r="E145" s="16" t="str">
        <f t="shared" si="3"/>
        <v>viernes</v>
      </c>
      <c r="F145" s="15">
        <f t="shared" si="4"/>
        <v>2</v>
      </c>
      <c r="G145" s="15" t="s">
        <v>23</v>
      </c>
      <c r="H145" s="3">
        <f>'AFI-F3'!$G$3</f>
        <v>45674</v>
      </c>
      <c r="I145" s="18">
        <f>'AFI-F3'!B10</f>
        <v>46024</v>
      </c>
      <c r="J145" s="18">
        <f>'AFI-F3'!C10</f>
        <v>77059170</v>
      </c>
      <c r="K145" s="18" t="str">
        <f>'AFI-F3'!D10</f>
        <v>Nicolas Gámez </v>
      </c>
      <c r="L145" s="18" t="str">
        <f>'AFI-F3'!E10</f>
        <v>Nicogamez1008@gmail.com</v>
      </c>
      <c r="M145" s="18" t="str">
        <f>'AFI-F3'!F10</f>
        <v>Chorrillos</v>
      </c>
      <c r="N145" s="18" t="str">
        <f>'AFI-F3'!G10</f>
        <v>924 714 156</v>
      </c>
      <c r="O145" s="18" t="str">
        <f>'AFI-F3'!H10</f>
        <v>X</v>
      </c>
      <c r="P145" s="18" t="str">
        <f>'AFI-F3'!I10</f>
        <v>x</v>
      </c>
      <c r="Q145" s="18">
        <f>'AFI-F3'!J10</f>
        <v>220</v>
      </c>
      <c r="R145" s="18">
        <f>'AFI-F3'!K10</f>
        <v>160</v>
      </c>
      <c r="S145" s="18" t="str">
        <f>'AFI-F3'!L10</f>
        <v>COBR</v>
      </c>
      <c r="T145" s="18" t="str">
        <f>'AFI-F3'!M10</f>
        <v>PLIN JL</v>
      </c>
      <c r="U145" s="18">
        <f>'AFI-F3'!N10</f>
        <v>220</v>
      </c>
      <c r="V145" s="18">
        <f>'AFI-F3'!O10</f>
        <v>160</v>
      </c>
      <c r="W145" s="18" t="str">
        <f>'AFI-F3'!P10</f>
        <v>Sofia</v>
      </c>
      <c r="X145" s="18">
        <f>'AFI-F3'!Q10</f>
        <v>380</v>
      </c>
      <c r="Y145" s="1"/>
      <c r="Z145" s="1"/>
      <c r="AA145" s="1"/>
    </row>
    <row r="146">
      <c r="A146" s="1"/>
      <c r="B146" s="14">
        <f t="shared" si="7"/>
        <v>7</v>
      </c>
      <c r="C146" s="15" t="str">
        <f t="shared" si="1"/>
        <v>enero</v>
      </c>
      <c r="D146" s="15">
        <f t="shared" si="2"/>
        <v>2</v>
      </c>
      <c r="E146" s="16" t="str">
        <f t="shared" si="3"/>
        <v>lunes</v>
      </c>
      <c r="F146" s="15">
        <f t="shared" si="4"/>
        <v>5</v>
      </c>
      <c r="G146" s="15" t="s">
        <v>23</v>
      </c>
      <c r="H146" s="3">
        <f>'AFI-F3'!$G$3</f>
        <v>45674</v>
      </c>
      <c r="I146" s="18">
        <f>'AFI-F3'!B11</f>
        <v>46027</v>
      </c>
      <c r="J146" s="18">
        <f>'AFI-F3'!C11</f>
        <v>42126105</v>
      </c>
      <c r="K146" s="18" t="str">
        <f>'AFI-F3'!D11</f>
        <v>Manuel Buendia</v>
      </c>
      <c r="L146" s="18" t="str">
        <f>'AFI-F3'!E11</f>
        <v>Mbuendia4@gmail.com</v>
      </c>
      <c r="M146" s="18" t="str">
        <f>'AFI-F3'!F11</f>
        <v>CHACLACAYO</v>
      </c>
      <c r="N146" s="18" t="str">
        <f>'AFI-F3'!G11</f>
        <v>961 082 768</v>
      </c>
      <c r="O146" s="18" t="str">
        <f>'AFI-F3'!H11</f>
        <v>X</v>
      </c>
      <c r="P146" s="18" t="str">
        <f>'AFI-F3'!I11</f>
        <v>X</v>
      </c>
      <c r="Q146" s="18">
        <f>'AFI-F3'!J11</f>
        <v>175</v>
      </c>
      <c r="R146" s="18">
        <f>'AFI-F3'!K11</f>
        <v>175</v>
      </c>
      <c r="S146" s="18" t="str">
        <f>'AFI-F3'!L11</f>
        <v>COBR</v>
      </c>
      <c r="T146" s="18" t="str">
        <f>'AFI-F3'!M11</f>
        <v>BCP EPP</v>
      </c>
      <c r="U146" s="18">
        <f>'AFI-F3'!N11</f>
        <v>175</v>
      </c>
      <c r="V146" s="18">
        <f>'AFI-F3'!O11</f>
        <v>175</v>
      </c>
      <c r="W146" s="18" t="str">
        <f>'AFI-F3'!P11</f>
        <v>Yadhira</v>
      </c>
      <c r="X146" s="18">
        <f>'AFI-F3'!Q11</f>
        <v>350</v>
      </c>
      <c r="Y146" s="1"/>
      <c r="Z146" s="1"/>
      <c r="AA146" s="1"/>
    </row>
    <row r="147">
      <c r="A147" s="1"/>
      <c r="B147" s="14">
        <f t="shared" si="7"/>
        <v>8</v>
      </c>
      <c r="C147" s="15" t="str">
        <f t="shared" si="1"/>
        <v>enero</v>
      </c>
      <c r="D147" s="15">
        <f t="shared" si="2"/>
        <v>2</v>
      </c>
      <c r="E147" s="16" t="str">
        <f t="shared" si="3"/>
        <v>lunes</v>
      </c>
      <c r="F147" s="15">
        <f t="shared" si="4"/>
        <v>5</v>
      </c>
      <c r="G147" s="15" t="s">
        <v>23</v>
      </c>
      <c r="H147" s="3">
        <f>'AFI-F3'!$G$3</f>
        <v>45674</v>
      </c>
      <c r="I147" s="18">
        <f>'AFI-F3'!B12</f>
        <v>46027</v>
      </c>
      <c r="J147" s="18">
        <f>'AFI-F3'!C12</f>
        <v>41758472</v>
      </c>
      <c r="K147" s="18" t="str">
        <f>'AFI-F3'!D12</f>
        <v>Liselle Prieto</v>
      </c>
      <c r="L147" s="18" t="str">
        <f>'AFI-F3'!E12</f>
        <v>Lisibuendia28@gmail.com</v>
      </c>
      <c r="M147" s="18" t="str">
        <f>'AFI-F3'!F12</f>
        <v>CHACLACAYO</v>
      </c>
      <c r="N147" s="18" t="str">
        <f>'AFI-F3'!G12</f>
        <v>961 082 768</v>
      </c>
      <c r="O147" s="18" t="str">
        <f>'AFI-F3'!H12</f>
        <v>X</v>
      </c>
      <c r="P147" s="18" t="str">
        <f>'AFI-F3'!I12</f>
        <v>X</v>
      </c>
      <c r="Q147" s="18">
        <f>'AFI-F3'!J12</f>
        <v>175</v>
      </c>
      <c r="R147" s="18">
        <f>'AFI-F3'!K12</f>
        <v>175</v>
      </c>
      <c r="S147" s="18" t="str">
        <f>'AFI-F3'!L12</f>
        <v>COBR</v>
      </c>
      <c r="T147" s="18" t="str">
        <f>'AFI-F3'!M12</f>
        <v>BCP EPP</v>
      </c>
      <c r="U147" s="18">
        <f>'AFI-F3'!N12</f>
        <v>175</v>
      </c>
      <c r="V147" s="18">
        <f>'AFI-F3'!O12</f>
        <v>175</v>
      </c>
      <c r="W147" s="18" t="str">
        <f>'AFI-F3'!P12</f>
        <v>Yadhira</v>
      </c>
      <c r="X147" s="18">
        <f>'AFI-F3'!Q12</f>
        <v>350</v>
      </c>
      <c r="Y147" s="1"/>
      <c r="Z147" s="1"/>
      <c r="AA147" s="1"/>
    </row>
    <row r="148">
      <c r="A148" s="1"/>
      <c r="B148" s="14">
        <f t="shared" si="7"/>
        <v>9</v>
      </c>
      <c r="C148" s="15" t="str">
        <f t="shared" si="1"/>
        <v>diciembre</v>
      </c>
      <c r="D148" s="15">
        <f t="shared" si="2"/>
        <v>51</v>
      </c>
      <c r="E148" s="16" t="str">
        <f t="shared" si="3"/>
        <v>lunes</v>
      </c>
      <c r="F148" s="15">
        <f t="shared" si="4"/>
        <v>15</v>
      </c>
      <c r="G148" s="15" t="s">
        <v>23</v>
      </c>
      <c r="H148" s="3">
        <f>'AFI-F3'!$G$3</f>
        <v>45674</v>
      </c>
      <c r="I148" s="18">
        <f>'AFI-F3'!B13</f>
        <v>46006</v>
      </c>
      <c r="J148" s="18">
        <f>'AFI-F3'!C13</f>
        <v>10734077</v>
      </c>
      <c r="K148" s="18" t="str">
        <f>'AFI-F3'!D13</f>
        <v>Sandro León Anfossi</v>
      </c>
      <c r="L148" s="18" t="str">
        <f>'AFI-F3'!E13</f>
        <v>luciapari87@outlook.com</v>
      </c>
      <c r="M148" s="18" t="str">
        <f>'AFI-F3'!F13</f>
        <v>SURCO</v>
      </c>
      <c r="N148" s="18" t="str">
        <f>'AFI-F3'!G13</f>
        <v>957 799 157</v>
      </c>
      <c r="O148" s="18" t="str">
        <f>'AFI-F3'!H13</f>
        <v>X</v>
      </c>
      <c r="P148" s="18" t="str">
        <f>'AFI-F3'!I13</f>
        <v/>
      </c>
      <c r="Q148" s="18">
        <f>'AFI-F3'!J13</f>
        <v>0</v>
      </c>
      <c r="R148" s="18" t="str">
        <f>'AFI-F3'!K13</f>
        <v/>
      </c>
      <c r="S148" s="18" t="str">
        <f>'AFI-F3'!L13</f>
        <v/>
      </c>
      <c r="T148" s="18" t="str">
        <f>'AFI-F3'!M13</f>
        <v/>
      </c>
      <c r="U148" s="18">
        <f>'AFI-F3'!N13</f>
        <v>0</v>
      </c>
      <c r="V148" s="18" t="str">
        <f>'AFI-F3'!O13</f>
        <v/>
      </c>
      <c r="W148" s="18" t="str">
        <f>'AFI-F3'!P13</f>
        <v>Yadhira</v>
      </c>
      <c r="X148" s="18">
        <f>'AFI-F3'!Q13</f>
        <v>0</v>
      </c>
      <c r="Y148" s="1"/>
      <c r="Z148" s="1"/>
      <c r="AA148" s="1"/>
    </row>
    <row r="149">
      <c r="A149" s="1"/>
      <c r="B149" s="14">
        <f t="shared" si="7"/>
        <v>10</v>
      </c>
      <c r="C149" s="15" t="str">
        <f t="shared" si="1"/>
        <v>enero</v>
      </c>
      <c r="D149" s="15">
        <f t="shared" si="2"/>
        <v>2</v>
      </c>
      <c r="E149" s="16" t="str">
        <f t="shared" si="3"/>
        <v>martes</v>
      </c>
      <c r="F149" s="15">
        <f t="shared" si="4"/>
        <v>6</v>
      </c>
      <c r="G149" s="15" t="s">
        <v>23</v>
      </c>
      <c r="H149" s="3">
        <f>'AFI-F3'!$G$3</f>
        <v>45674</v>
      </c>
      <c r="I149" s="18">
        <f>'AFI-F3'!B14</f>
        <v>46028</v>
      </c>
      <c r="J149" s="18">
        <f>'AFI-F3'!C14</f>
        <v>41570562</v>
      </c>
      <c r="K149" s="18" t="str">
        <f>'AFI-F3'!D14</f>
        <v>Willy rabanal calderon</v>
      </c>
      <c r="L149" s="18" t="str">
        <f>'AFI-F3'!E14</f>
        <v>Rabanalwilly@gmail.com</v>
      </c>
      <c r="M149" s="18" t="str">
        <f>'AFI-F3'!F14</f>
        <v>Callao</v>
      </c>
      <c r="N149" s="18" t="str">
        <f>'AFI-F3'!G14</f>
        <v>991 049 152</v>
      </c>
      <c r="O149" s="18" t="str">
        <f>'AFI-F3'!H14</f>
        <v>x</v>
      </c>
      <c r="P149" s="18" t="str">
        <f>'AFI-F3'!I14</f>
        <v>x</v>
      </c>
      <c r="Q149" s="18">
        <f>'AFI-F3'!J14</f>
        <v>190</v>
      </c>
      <c r="R149" s="18">
        <f>'AFI-F3'!K14</f>
        <v>190</v>
      </c>
      <c r="S149" s="18" t="str">
        <f>'AFI-F3'!L14</f>
        <v>COBR</v>
      </c>
      <c r="T149" s="18" t="str">
        <f>'AFI-F3'!M14</f>
        <v>BCP JL</v>
      </c>
      <c r="U149" s="18">
        <f>'AFI-F3'!N14</f>
        <v>190</v>
      </c>
      <c r="V149" s="18">
        <f>'AFI-F3'!O14</f>
        <v>190</v>
      </c>
      <c r="W149" s="18" t="str">
        <f>'AFI-F3'!P14</f>
        <v>Gabriela</v>
      </c>
      <c r="X149" s="18">
        <f>'AFI-F3'!Q14</f>
        <v>380</v>
      </c>
      <c r="Y149" s="1"/>
      <c r="Z149" s="1"/>
      <c r="AA149" s="1"/>
    </row>
    <row r="150">
      <c r="A150" s="1"/>
      <c r="B150" s="14">
        <f t="shared" si="7"/>
        <v>11</v>
      </c>
      <c r="C150" s="15" t="str">
        <f t="shared" si="1"/>
        <v>enero</v>
      </c>
      <c r="D150" s="15">
        <f t="shared" si="2"/>
        <v>2</v>
      </c>
      <c r="E150" s="16" t="str">
        <f t="shared" si="3"/>
        <v>martes</v>
      </c>
      <c r="F150" s="15">
        <f t="shared" si="4"/>
        <v>6</v>
      </c>
      <c r="G150" s="15" t="s">
        <v>23</v>
      </c>
      <c r="H150" s="3">
        <f>'AFI-F3'!$G$3</f>
        <v>45674</v>
      </c>
      <c r="I150" s="18">
        <f>'AFI-F3'!B15</f>
        <v>46028</v>
      </c>
      <c r="J150" s="18">
        <f>'AFI-F3'!C15</f>
        <v>48129640</v>
      </c>
      <c r="K150" s="18" t="str">
        <f>'AFI-F3'!D15</f>
        <v>Bryan Ochoa Salas</v>
      </c>
      <c r="L150" s="18" t="str">
        <f>'AFI-F3'!E15</f>
        <v>bochoa@pucp.pe</v>
      </c>
      <c r="M150" s="18" t="str">
        <f>'AFI-F3'!F15</f>
        <v>Breña</v>
      </c>
      <c r="N150" s="18" t="str">
        <f>'AFI-F3'!G15</f>
        <v>917 880 991</v>
      </c>
      <c r="O150" s="18" t="str">
        <f>'AFI-F3'!H15</f>
        <v>x</v>
      </c>
      <c r="P150" s="18" t="str">
        <f>'AFI-F3'!I15</f>
        <v/>
      </c>
      <c r="Q150" s="18">
        <f>'AFI-F3'!J15</f>
        <v>175</v>
      </c>
      <c r="R150" s="18" t="str">
        <f>'AFI-F3'!K15</f>
        <v/>
      </c>
      <c r="S150" s="18" t="str">
        <f>'AFI-F3'!L15</f>
        <v>PAGO</v>
      </c>
      <c r="T150" s="18" t="str">
        <f>'AFI-F3'!M15</f>
        <v>YAPE JL</v>
      </c>
      <c r="U150" s="18">
        <f>'AFI-F3'!N15</f>
        <v>175</v>
      </c>
      <c r="V150" s="18" t="str">
        <f>'AFI-F3'!O15</f>
        <v/>
      </c>
      <c r="W150" s="18" t="str">
        <f>'AFI-F3'!P15</f>
        <v>Gabriela</v>
      </c>
      <c r="X150" s="18">
        <f>'AFI-F3'!Q15</f>
        <v>175</v>
      </c>
      <c r="Y150" s="1"/>
      <c r="Z150" s="1"/>
      <c r="AA150" s="1"/>
    </row>
    <row r="151">
      <c r="A151" s="1"/>
      <c r="B151" s="14">
        <f t="shared" si="7"/>
        <v>12</v>
      </c>
      <c r="C151" s="15" t="str">
        <f t="shared" si="1"/>
        <v>enero</v>
      </c>
      <c r="D151" s="15">
        <f t="shared" si="2"/>
        <v>2</v>
      </c>
      <c r="E151" s="16" t="str">
        <f t="shared" si="3"/>
        <v>martes</v>
      </c>
      <c r="F151" s="15">
        <f t="shared" si="4"/>
        <v>6</v>
      </c>
      <c r="G151" s="15" t="s">
        <v>23</v>
      </c>
      <c r="H151" s="3">
        <f>'AFI-F3'!$G$3</f>
        <v>45674</v>
      </c>
      <c r="I151" s="18">
        <f>'AFI-F3'!B16</f>
        <v>46028</v>
      </c>
      <c r="J151" s="18">
        <f>'AFI-F3'!C16</f>
        <v>70605782</v>
      </c>
      <c r="K151" s="18" t="str">
        <f>'AFI-F3'!D16</f>
        <v>Néstor Walter Villegas Macedo</v>
      </c>
      <c r="L151" s="18" t="str">
        <f>'AFI-F3'!E16</f>
        <v>nestor_vm1994@hotmail.com</v>
      </c>
      <c r="M151" s="18" t="str">
        <f>'AFI-F3'!F16</f>
        <v>Lince</v>
      </c>
      <c r="N151" s="18" t="str">
        <f>'AFI-F3'!G16</f>
        <v>917 880 991</v>
      </c>
      <c r="O151" s="18" t="str">
        <f>'AFI-F3'!H16</f>
        <v>x</v>
      </c>
      <c r="P151" s="18" t="str">
        <f>'AFI-F3'!I16</f>
        <v/>
      </c>
      <c r="Q151" s="18">
        <f>'AFI-F3'!J16</f>
        <v>175</v>
      </c>
      <c r="R151" s="18" t="str">
        <f>'AFI-F3'!K16</f>
        <v/>
      </c>
      <c r="S151" s="18" t="str">
        <f>'AFI-F3'!L16</f>
        <v>PAGO</v>
      </c>
      <c r="T151" s="18" t="str">
        <f>'AFI-F3'!M16</f>
        <v>YAPE JL</v>
      </c>
      <c r="U151" s="18">
        <f>'AFI-F3'!N16</f>
        <v>175</v>
      </c>
      <c r="V151" s="18" t="str">
        <f>'AFI-F3'!O16</f>
        <v/>
      </c>
      <c r="W151" s="18" t="str">
        <f>'AFI-F3'!P16</f>
        <v>Gabriela</v>
      </c>
      <c r="X151" s="18">
        <f>'AFI-F3'!Q16</f>
        <v>175</v>
      </c>
      <c r="Y151" s="1"/>
      <c r="Z151" s="1"/>
      <c r="AA151" s="1"/>
    </row>
    <row r="152">
      <c r="A152" s="1"/>
      <c r="B152" s="14">
        <f t="shared" si="7"/>
        <v>13</v>
      </c>
      <c r="C152" s="15" t="str">
        <f t="shared" si="1"/>
        <v>enero</v>
      </c>
      <c r="D152" s="15">
        <f t="shared" si="2"/>
        <v>2</v>
      </c>
      <c r="E152" s="16" t="str">
        <f t="shared" si="3"/>
        <v>martes</v>
      </c>
      <c r="F152" s="15">
        <f t="shared" si="4"/>
        <v>6</v>
      </c>
      <c r="G152" s="15" t="s">
        <v>23</v>
      </c>
      <c r="H152" s="3">
        <f>'AFI-F3'!$G$3</f>
        <v>45674</v>
      </c>
      <c r="I152" s="18">
        <f>'AFI-F3'!B17</f>
        <v>46028</v>
      </c>
      <c r="J152" s="18">
        <f>'AFI-F3'!C17</f>
        <v>40298292</v>
      </c>
      <c r="K152" s="18" t="str">
        <f>'AFI-F3'!D17</f>
        <v>Carlos Cuadra Macedo</v>
      </c>
      <c r="L152" s="18" t="str">
        <f>'AFI-F3'!E17</f>
        <v>carlonchocuadra@gmail.com</v>
      </c>
      <c r="M152" s="18" t="str">
        <f>'AFI-F3'!F17</f>
        <v>Lince</v>
      </c>
      <c r="N152" s="18" t="str">
        <f>'AFI-F3'!G17</f>
        <v>917 880 991</v>
      </c>
      <c r="O152" s="18" t="str">
        <f>'AFI-F3'!H17</f>
        <v>x</v>
      </c>
      <c r="P152" s="18" t="str">
        <f>'AFI-F3'!I17</f>
        <v/>
      </c>
      <c r="Q152" s="18">
        <f>'AFI-F3'!J17</f>
        <v>175</v>
      </c>
      <c r="R152" s="18" t="str">
        <f>'AFI-F3'!K17</f>
        <v/>
      </c>
      <c r="S152" s="18" t="str">
        <f>'AFI-F3'!L17</f>
        <v>PAGO</v>
      </c>
      <c r="T152" s="18" t="str">
        <f>'AFI-F3'!M17</f>
        <v>YAPE JL</v>
      </c>
      <c r="U152" s="18">
        <f>'AFI-F3'!N17</f>
        <v>175</v>
      </c>
      <c r="V152" s="18" t="str">
        <f>'AFI-F3'!O17</f>
        <v/>
      </c>
      <c r="W152" s="18" t="str">
        <f>'AFI-F3'!P17</f>
        <v>Gabriela</v>
      </c>
      <c r="X152" s="18">
        <f>'AFI-F3'!Q17</f>
        <v>175</v>
      </c>
      <c r="Y152" s="1"/>
      <c r="Z152" s="1"/>
      <c r="AA152" s="1"/>
    </row>
    <row r="153">
      <c r="A153" s="1"/>
      <c r="B153" s="14">
        <f t="shared" si="7"/>
        <v>14</v>
      </c>
      <c r="C153" s="15" t="str">
        <f t="shared" si="1"/>
        <v>enero</v>
      </c>
      <c r="D153" s="15">
        <f t="shared" si="2"/>
        <v>2</v>
      </c>
      <c r="E153" s="16" t="str">
        <f t="shared" si="3"/>
        <v>martes</v>
      </c>
      <c r="F153" s="15">
        <f t="shared" si="4"/>
        <v>6</v>
      </c>
      <c r="G153" s="15" t="s">
        <v>23</v>
      </c>
      <c r="H153" s="3">
        <f>'AFI-F3'!$G$3</f>
        <v>45674</v>
      </c>
      <c r="I153" s="18">
        <f>'AFI-F3'!B18</f>
        <v>46028</v>
      </c>
      <c r="J153" s="18">
        <f>'AFI-F3'!C18</f>
        <v>70437688</v>
      </c>
      <c r="K153" s="18" t="str">
        <f>'AFI-F3'!D18</f>
        <v>Franco Daniel Delzo Cuyubamba</v>
      </c>
      <c r="L153" s="28" t="str">
        <f>'AFI-F3'!E18</f>
        <v>Delzofranco@gmail.com</v>
      </c>
      <c r="M153" s="18" t="str">
        <f>'AFI-F3'!F18</f>
        <v>San Miguel </v>
      </c>
      <c r="N153" s="18" t="str">
        <f>'AFI-F3'!G18</f>
        <v>917 880 991</v>
      </c>
      <c r="O153" s="18" t="str">
        <f>'AFI-F3'!H18</f>
        <v>x</v>
      </c>
      <c r="P153" s="18" t="str">
        <f>'AFI-F3'!I18</f>
        <v/>
      </c>
      <c r="Q153" s="18">
        <f>'AFI-F3'!J18</f>
        <v>175</v>
      </c>
      <c r="R153" s="18" t="str">
        <f>'AFI-F3'!K18</f>
        <v/>
      </c>
      <c r="S153" s="18" t="str">
        <f>'AFI-F3'!L18</f>
        <v>PAGO</v>
      </c>
      <c r="T153" s="18" t="str">
        <f>'AFI-F3'!M18</f>
        <v>YAPE JL</v>
      </c>
      <c r="U153" s="18">
        <f>'AFI-F3'!N18</f>
        <v>175</v>
      </c>
      <c r="V153" s="18" t="str">
        <f>'AFI-F3'!O18</f>
        <v/>
      </c>
      <c r="W153" s="18" t="str">
        <f>'AFI-F3'!P18</f>
        <v>Gabriela</v>
      </c>
      <c r="X153" s="18">
        <f>'AFI-F3'!Q18</f>
        <v>175</v>
      </c>
      <c r="Y153" s="1"/>
      <c r="Z153" s="1"/>
      <c r="AA153" s="1"/>
    </row>
    <row r="154">
      <c r="A154" s="1"/>
      <c r="B154" s="14">
        <f t="shared" si="7"/>
        <v>15</v>
      </c>
      <c r="C154" s="15" t="str">
        <f t="shared" si="1"/>
        <v>enero</v>
      </c>
      <c r="D154" s="15">
        <f t="shared" si="2"/>
        <v>2</v>
      </c>
      <c r="E154" s="16" t="str">
        <f t="shared" si="3"/>
        <v>lunes</v>
      </c>
      <c r="F154" s="15">
        <f t="shared" si="4"/>
        <v>5</v>
      </c>
      <c r="G154" s="15" t="s">
        <v>23</v>
      </c>
      <c r="H154" s="3">
        <f>'AFI-F3'!$G$3</f>
        <v>45674</v>
      </c>
      <c r="I154" s="18">
        <f>'AFI-F3'!B19</f>
        <v>46027</v>
      </c>
      <c r="J154" s="18">
        <f>'AFI-F3'!C19</f>
        <v>46123466</v>
      </c>
      <c r="K154" s="18" t="str">
        <f>'AFI-F3'!D19</f>
        <v>Pilar coveñas Ramos</v>
      </c>
      <c r="L154" s="18" t="str">
        <f>'AFI-F3'!E19</f>
        <v>naturaquimi@gmail.com</v>
      </c>
      <c r="M154" s="18" t="str">
        <f>'AFI-F3'!F19</f>
        <v>SMP</v>
      </c>
      <c r="N154" s="18" t="str">
        <f>'AFI-F3'!G19</f>
        <v>965 713 303</v>
      </c>
      <c r="O154" s="18" t="str">
        <f>'AFI-F3'!H19</f>
        <v/>
      </c>
      <c r="P154" s="18" t="str">
        <f>'AFI-F3'!I19</f>
        <v>X</v>
      </c>
      <c r="Q154" s="18">
        <f>'AFI-F3'!J19</f>
        <v>0</v>
      </c>
      <c r="R154" s="18" t="str">
        <f>'AFI-F3'!K19</f>
        <v/>
      </c>
      <c r="S154" s="18" t="str">
        <f>'AFI-F3'!L19</f>
        <v>PAGO</v>
      </c>
      <c r="T154" s="18" t="str">
        <f>'AFI-F3'!M19</f>
        <v>YAPE JL</v>
      </c>
      <c r="U154" s="18" t="str">
        <f>'AFI-F3'!N19</f>
        <v/>
      </c>
      <c r="V154" s="18" t="str">
        <f>'AFI-F3'!O19</f>
        <v/>
      </c>
      <c r="W154" s="18" t="str">
        <f>'AFI-F3'!P19</f>
        <v>Yadhira</v>
      </c>
      <c r="X154" s="18">
        <f>'AFI-F3'!Q19</f>
        <v>0</v>
      </c>
      <c r="Y154" s="1"/>
      <c r="Z154" s="1"/>
      <c r="AA154" s="1"/>
    </row>
    <row r="155">
      <c r="A155" s="1"/>
      <c r="B155" s="14">
        <f t="shared" si="7"/>
        <v>16</v>
      </c>
      <c r="C155" s="15" t="str">
        <f t="shared" si="1"/>
        <v>enero</v>
      </c>
      <c r="D155" s="15">
        <f t="shared" si="2"/>
        <v>2</v>
      </c>
      <c r="E155" s="16" t="str">
        <f t="shared" si="3"/>
        <v>jueves</v>
      </c>
      <c r="F155" s="15">
        <f t="shared" si="4"/>
        <v>8</v>
      </c>
      <c r="G155" s="15" t="s">
        <v>23</v>
      </c>
      <c r="H155" s="3">
        <f>'AFI-F3'!$G$3</f>
        <v>45674</v>
      </c>
      <c r="I155" s="18">
        <f>'AFI-F3'!B20</f>
        <v>46030</v>
      </c>
      <c r="J155" s="18">
        <f>'AFI-F3'!C20</f>
        <v>46063723</v>
      </c>
      <c r="K155" s="18" t="str">
        <f>'AFI-F3'!D20</f>
        <v>carlos ore yufre</v>
      </c>
      <c r="L155" s="28" t="str">
        <f>'AFI-F3'!E20</f>
        <v>carlosyufre29@gmail.com</v>
      </c>
      <c r="M155" s="18" t="str">
        <f>'AFI-F3'!F20</f>
        <v>los olivos</v>
      </c>
      <c r="N155" s="18">
        <f>'AFI-F3'!G20</f>
        <v>948350215</v>
      </c>
      <c r="O155" s="18" t="str">
        <f>'AFI-F3'!H20</f>
        <v>x</v>
      </c>
      <c r="P155" s="18" t="str">
        <f>'AFI-F3'!I20</f>
        <v/>
      </c>
      <c r="Q155" s="18">
        <f>'AFI-F3'!J20</f>
        <v>190</v>
      </c>
      <c r="R155" s="18">
        <f>'AFI-F3'!K20</f>
        <v>190</v>
      </c>
      <c r="S155" s="18" t="str">
        <f>'AFI-F3'!L20</f>
        <v>COBR</v>
      </c>
      <c r="T155" s="18" t="str">
        <f>'AFI-F3'!M20</f>
        <v>YAPE JL</v>
      </c>
      <c r="U155" s="18">
        <f>'AFI-F3'!N20</f>
        <v>190</v>
      </c>
      <c r="V155" s="18">
        <f>'AFI-F3'!O20</f>
        <v>190</v>
      </c>
      <c r="W155" s="18" t="str">
        <f>'AFI-F3'!P20</f>
        <v>Sofia</v>
      </c>
      <c r="X155" s="18">
        <f>'AFI-F3'!Q20</f>
        <v>380</v>
      </c>
      <c r="Y155" s="1"/>
      <c r="Z155" s="1"/>
      <c r="AA155" s="1"/>
    </row>
    <row r="156">
      <c r="A156" s="1"/>
      <c r="B156" s="14">
        <f t="shared" si="7"/>
        <v>17</v>
      </c>
      <c r="C156" s="15" t="str">
        <f t="shared" si="1"/>
        <v>enero</v>
      </c>
      <c r="D156" s="15">
        <f t="shared" si="2"/>
        <v>2</v>
      </c>
      <c r="E156" s="16" t="str">
        <f t="shared" si="3"/>
        <v>miércoles</v>
      </c>
      <c r="F156" s="15">
        <f t="shared" si="4"/>
        <v>7</v>
      </c>
      <c r="G156" s="15" t="s">
        <v>23</v>
      </c>
      <c r="H156" s="3">
        <f>'AFI-F3'!$G$3</f>
        <v>45674</v>
      </c>
      <c r="I156" s="18">
        <f>'AFI-F3'!B21</f>
        <v>46029</v>
      </c>
      <c r="J156" s="18">
        <f>'AFI-F3'!C21</f>
        <v>73563073</v>
      </c>
      <c r="K156" s="18" t="str">
        <f>'AFI-F3'!D21</f>
        <v>Jesús Amir Huaccho Hidalgo
</v>
      </c>
      <c r="L156" s="28" t="str">
        <f>'AFI-F3'!E21</f>
        <v>ruthm_hidalgo@hotmail.com</v>
      </c>
      <c r="M156" s="18" t="str">
        <f>'AFI-F3'!F21</f>
        <v>SURCO</v>
      </c>
      <c r="N156" s="18" t="str">
        <f>'AFI-F3'!G21</f>
        <v>996 757 353</v>
      </c>
      <c r="O156" s="18" t="str">
        <f>'AFI-F3'!H21</f>
        <v/>
      </c>
      <c r="P156" s="18" t="str">
        <f>'AFI-F3'!I21</f>
        <v>X</v>
      </c>
      <c r="Q156" s="18">
        <f>'AFI-F3'!J21</f>
        <v>190</v>
      </c>
      <c r="R156" s="18" t="str">
        <f>'AFI-F3'!K21</f>
        <v/>
      </c>
      <c r="S156" s="18" t="str">
        <f>'AFI-F3'!L21</f>
        <v>PAGO</v>
      </c>
      <c r="T156" s="18" t="str">
        <f>'AFI-F3'!M21</f>
        <v>YAPE JL</v>
      </c>
      <c r="U156" s="18">
        <f>'AFI-F3'!N21</f>
        <v>190</v>
      </c>
      <c r="V156" s="18" t="str">
        <f>'AFI-F3'!O21</f>
        <v/>
      </c>
      <c r="W156" s="18" t="str">
        <f>'AFI-F3'!P21</f>
        <v>Yadhira</v>
      </c>
      <c r="X156" s="18">
        <f>'AFI-F3'!Q21</f>
        <v>190</v>
      </c>
      <c r="Y156" s="1"/>
      <c r="Z156" s="1"/>
      <c r="AA156" s="1"/>
    </row>
    <row r="157">
      <c r="A157" s="1"/>
      <c r="B157" s="14">
        <f t="shared" si="7"/>
        <v>18</v>
      </c>
      <c r="C157" s="15" t="str">
        <f t="shared" si="1"/>
        <v>enero</v>
      </c>
      <c r="D157" s="15">
        <f t="shared" si="2"/>
        <v>2</v>
      </c>
      <c r="E157" s="16" t="str">
        <f t="shared" si="3"/>
        <v>viernes</v>
      </c>
      <c r="F157" s="15">
        <f t="shared" si="4"/>
        <v>9</v>
      </c>
      <c r="G157" s="15" t="s">
        <v>23</v>
      </c>
      <c r="H157" s="3">
        <f>'AFI-F3'!$G$3</f>
        <v>45674</v>
      </c>
      <c r="I157" s="18">
        <f>'AFI-F3'!B22</f>
        <v>46031</v>
      </c>
      <c r="J157" s="18">
        <f>'AFI-F3'!C22</f>
        <v>74743912</v>
      </c>
      <c r="K157" s="18" t="str">
        <f>'AFI-F3'!D22</f>
        <v>Marco Antonio Escobar Nolazco </v>
      </c>
      <c r="L157" s="18" t="str">
        <f>'AFI-F3'!E22</f>
        <v>escobar010201@gmail.com</v>
      </c>
      <c r="M157" s="18" t="str">
        <f>'AFI-F3'!F22</f>
        <v>VES</v>
      </c>
      <c r="N157" s="18" t="str">
        <f>'AFI-F3'!G22</f>
        <v>926 468 622</v>
      </c>
      <c r="O157" s="18" t="str">
        <f>'AFI-F3'!H22</f>
        <v>X</v>
      </c>
      <c r="P157" s="18" t="str">
        <f>'AFI-F3'!I22</f>
        <v>X</v>
      </c>
      <c r="Q157" s="18">
        <f>'AFI-F3'!J22</f>
        <v>180</v>
      </c>
      <c r="R157" s="18">
        <f>'AFI-F3'!K22</f>
        <v>180</v>
      </c>
      <c r="S157" s="18" t="str">
        <f>'AFI-F3'!L22</f>
        <v>PAGO</v>
      </c>
      <c r="T157" s="18" t="str">
        <f>'AFI-F3'!M22</f>
        <v>BBVA JL</v>
      </c>
      <c r="U157" s="18">
        <f>'AFI-F3'!N22</f>
        <v>180</v>
      </c>
      <c r="V157" s="18">
        <f>'AFI-F3'!O22</f>
        <v>180</v>
      </c>
      <c r="W157" s="18" t="str">
        <f>'AFI-F3'!P22</f>
        <v>Yadhira</v>
      </c>
      <c r="X157" s="18">
        <f>'AFI-F3'!Q22</f>
        <v>360</v>
      </c>
      <c r="Y157" s="1"/>
      <c r="Z157" s="1"/>
      <c r="AA157" s="1"/>
    </row>
    <row r="158">
      <c r="A158" s="1"/>
      <c r="B158" s="14">
        <f t="shared" si="7"/>
        <v>19</v>
      </c>
      <c r="C158" s="15" t="str">
        <f t="shared" si="1"/>
        <v>enero</v>
      </c>
      <c r="D158" s="15">
        <f t="shared" si="2"/>
        <v>2</v>
      </c>
      <c r="E158" s="16" t="str">
        <f t="shared" si="3"/>
        <v>viernes</v>
      </c>
      <c r="F158" s="15">
        <f t="shared" si="4"/>
        <v>9</v>
      </c>
      <c r="G158" s="15" t="s">
        <v>23</v>
      </c>
      <c r="H158" s="3">
        <f>'AFI-F3'!$G$3</f>
        <v>45674</v>
      </c>
      <c r="I158" s="18">
        <f>'AFI-F3'!B23</f>
        <v>46031</v>
      </c>
      <c r="J158" s="18">
        <f>'AFI-F3'!C23</f>
        <v>41552489</v>
      </c>
      <c r="K158" s="18" t="str">
        <f>'AFI-F3'!D23</f>
        <v>David Sánchez Calle</v>
      </c>
      <c r="L158" s="18" t="str">
        <f>'AFI-F3'!E23</f>
        <v>davsan82@hotmail.com</v>
      </c>
      <c r="M158" s="18" t="str">
        <f>'AFI-F3'!F23</f>
        <v>ATE</v>
      </c>
      <c r="N158" s="18" t="str">
        <f>'AFI-F3'!G23</f>
        <v>973 110 496</v>
      </c>
      <c r="O158" s="18" t="str">
        <f>'AFI-F3'!H23</f>
        <v/>
      </c>
      <c r="P158" s="18" t="str">
        <f>'AFI-F3'!I23</f>
        <v>X</v>
      </c>
      <c r="Q158" s="18">
        <f>'AFI-F3'!J23</f>
        <v>180</v>
      </c>
      <c r="R158" s="18" t="str">
        <f>'AFI-F3'!K23</f>
        <v/>
      </c>
      <c r="S158" s="18" t="str">
        <f>'AFI-F3'!L23</f>
        <v>PAGO</v>
      </c>
      <c r="T158" s="18" t="str">
        <f>'AFI-F3'!M23</f>
        <v>BCP EPP</v>
      </c>
      <c r="U158" s="18">
        <f>'AFI-F3'!N23</f>
        <v>180</v>
      </c>
      <c r="V158" s="18" t="str">
        <f>'AFI-F3'!O23</f>
        <v/>
      </c>
      <c r="W158" s="18" t="str">
        <f>'AFI-F3'!P23</f>
        <v>Yadhira</v>
      </c>
      <c r="X158" s="18">
        <f>'AFI-F3'!Q23</f>
        <v>180</v>
      </c>
      <c r="Y158" s="1"/>
      <c r="Z158" s="1"/>
      <c r="AA158" s="1"/>
    </row>
    <row r="159">
      <c r="A159" s="1"/>
      <c r="B159" s="14">
        <f t="shared" si="7"/>
        <v>20</v>
      </c>
      <c r="C159" s="15" t="str">
        <f t="shared" si="1"/>
        <v>enero</v>
      </c>
      <c r="D159" s="15">
        <f t="shared" si="2"/>
        <v>2</v>
      </c>
      <c r="E159" s="16" t="str">
        <f t="shared" si="3"/>
        <v>viernes</v>
      </c>
      <c r="F159" s="15">
        <f t="shared" si="4"/>
        <v>9</v>
      </c>
      <c r="G159" s="15" t="s">
        <v>23</v>
      </c>
      <c r="H159" s="3">
        <f>'AFI-F3'!$G$3</f>
        <v>45674</v>
      </c>
      <c r="I159" s="18">
        <f>'AFI-F3'!B24</f>
        <v>46031</v>
      </c>
      <c r="J159" s="18">
        <f>'AFI-F3'!C24</f>
        <v>41878729</v>
      </c>
      <c r="K159" s="18" t="str">
        <f>'AFI-F3'!D24</f>
        <v>Carmen Casana López</v>
      </c>
      <c r="L159" s="18" t="str">
        <f>'AFI-F3'!E24</f>
        <v>crcl83@hotmail.com</v>
      </c>
      <c r="M159" s="18" t="str">
        <f>'AFI-F3'!F24</f>
        <v>ATE</v>
      </c>
      <c r="N159" s="18" t="str">
        <f>'AFI-F3'!G24</f>
        <v>973 110 496</v>
      </c>
      <c r="O159" s="18" t="str">
        <f>'AFI-F3'!H24</f>
        <v/>
      </c>
      <c r="P159" s="18" t="str">
        <f>'AFI-F3'!I24</f>
        <v>X</v>
      </c>
      <c r="Q159" s="18">
        <f>'AFI-F3'!J24</f>
        <v>180</v>
      </c>
      <c r="R159" s="18" t="str">
        <f>'AFI-F3'!K24</f>
        <v/>
      </c>
      <c r="S159" s="18" t="str">
        <f>'AFI-F3'!L24</f>
        <v>PAGO</v>
      </c>
      <c r="T159" s="18" t="str">
        <f>'AFI-F3'!M24</f>
        <v>BCP EPP</v>
      </c>
      <c r="U159" s="18">
        <f>'AFI-F3'!N24</f>
        <v>180</v>
      </c>
      <c r="V159" s="18" t="str">
        <f>'AFI-F3'!O24</f>
        <v/>
      </c>
      <c r="W159" s="18" t="str">
        <f>'AFI-F3'!P24</f>
        <v>Yadhira</v>
      </c>
      <c r="X159" s="18">
        <f>'AFI-F3'!Q24</f>
        <v>180</v>
      </c>
      <c r="Y159" s="1"/>
      <c r="Z159" s="1"/>
      <c r="AA159" s="1"/>
    </row>
    <row r="160">
      <c r="A160" s="1"/>
      <c r="B160" s="14">
        <f t="shared" si="7"/>
        <v>21</v>
      </c>
      <c r="C160" s="15" t="str">
        <f t="shared" si="1"/>
        <v>enero</v>
      </c>
      <c r="D160" s="15">
        <f t="shared" si="2"/>
        <v>2</v>
      </c>
      <c r="E160" s="16" t="str">
        <f t="shared" si="3"/>
        <v>viernes</v>
      </c>
      <c r="F160" s="15">
        <f t="shared" si="4"/>
        <v>9</v>
      </c>
      <c r="G160" s="15" t="s">
        <v>23</v>
      </c>
      <c r="H160" s="3">
        <f>'AFI-F3'!$G$3</f>
        <v>45674</v>
      </c>
      <c r="I160" s="18">
        <f>'AFI-F3'!B25</f>
        <v>46031</v>
      </c>
      <c r="J160" s="18">
        <f>'AFI-F3'!C25</f>
        <v>79820823</v>
      </c>
      <c r="K160" s="18" t="str">
        <f>'AFI-F3'!D25</f>
        <v>Mariano Sánchez Casana</v>
      </c>
      <c r="L160" s="18" t="str">
        <f>'AFI-F3'!E25</f>
        <v>davsan82@gmail.com</v>
      </c>
      <c r="M160" s="18" t="str">
        <f>'AFI-F3'!F25</f>
        <v>ATE</v>
      </c>
      <c r="N160" s="18" t="str">
        <f>'AFI-F3'!G25</f>
        <v>973 110 496</v>
      </c>
      <c r="O160" s="18" t="str">
        <f>'AFI-F3'!H25</f>
        <v/>
      </c>
      <c r="P160" s="18" t="str">
        <f>'AFI-F3'!I25</f>
        <v>X</v>
      </c>
      <c r="Q160" s="18">
        <f>'AFI-F3'!J25</f>
        <v>100</v>
      </c>
      <c r="R160" s="18" t="str">
        <f>'AFI-F3'!K25</f>
        <v/>
      </c>
      <c r="S160" s="18" t="str">
        <f>'AFI-F3'!L25</f>
        <v>PAGO</v>
      </c>
      <c r="T160" s="18" t="str">
        <f>'AFI-F3'!M25</f>
        <v>BCP EPP</v>
      </c>
      <c r="U160" s="18">
        <f>'AFI-F3'!N25</f>
        <v>100</v>
      </c>
      <c r="V160" s="18" t="str">
        <f>'AFI-F3'!O25</f>
        <v/>
      </c>
      <c r="W160" s="18" t="str">
        <f>'AFI-F3'!P25</f>
        <v>Yadhira</v>
      </c>
      <c r="X160" s="18">
        <f>'AFI-F3'!Q25</f>
        <v>100</v>
      </c>
      <c r="Y160" s="1"/>
      <c r="Z160" s="1"/>
      <c r="AA160" s="1"/>
    </row>
    <row r="161">
      <c r="A161" s="1"/>
      <c r="B161" s="14">
        <f t="shared" si="7"/>
        <v>22</v>
      </c>
      <c r="C161" s="15" t="str">
        <f t="shared" si="1"/>
        <v>enero</v>
      </c>
      <c r="D161" s="15">
        <f t="shared" si="2"/>
        <v>2</v>
      </c>
      <c r="E161" s="16" t="str">
        <f t="shared" si="3"/>
        <v>sábado</v>
      </c>
      <c r="F161" s="15">
        <f t="shared" si="4"/>
        <v>10</v>
      </c>
      <c r="G161" s="15" t="s">
        <v>23</v>
      </c>
      <c r="H161" s="3">
        <f>'AFI-F3'!$G$3</f>
        <v>45674</v>
      </c>
      <c r="I161" s="18">
        <f>'AFI-F3'!B26</f>
        <v>46032</v>
      </c>
      <c r="J161" s="18">
        <f>'AFI-F3'!C26</f>
        <v>40371144</v>
      </c>
      <c r="K161" s="18" t="str">
        <f>'AFI-F3'!D26</f>
        <v>Pavel N. Paredes Diaz</v>
      </c>
      <c r="L161" s="28" t="str">
        <f>'AFI-F3'!E26</f>
        <v>Pavelpadiaz@gmail.com</v>
      </c>
      <c r="M161" s="18" t="str">
        <f>'AFI-F3'!F26</f>
        <v>Pisco</v>
      </c>
      <c r="N161" s="18" t="str">
        <f>'AFI-F3'!G26</f>
        <v>969 732 961</v>
      </c>
      <c r="O161" s="18" t="str">
        <f>'AFI-F3'!H26</f>
        <v>X</v>
      </c>
      <c r="P161" s="18" t="str">
        <f>'AFI-F3'!I26</f>
        <v>X</v>
      </c>
      <c r="Q161" s="18">
        <f>'AFI-F3'!J26</f>
        <v>380</v>
      </c>
      <c r="R161" s="18" t="str">
        <f>'AFI-F3'!K26</f>
        <v/>
      </c>
      <c r="S161" s="18" t="str">
        <f>'AFI-F3'!L26</f>
        <v>PAGO</v>
      </c>
      <c r="T161" s="18" t="str">
        <f>'AFI-F3'!M26</f>
        <v>BCP JL</v>
      </c>
      <c r="U161" s="18">
        <f>'AFI-F3'!N26</f>
        <v>380</v>
      </c>
      <c r="V161" s="18" t="str">
        <f>'AFI-F3'!O26</f>
        <v/>
      </c>
      <c r="W161" s="18" t="str">
        <f>'AFI-F3'!P26</f>
        <v>Gabriela</v>
      </c>
      <c r="X161" s="18">
        <f>'AFI-F3'!Q26</f>
        <v>380</v>
      </c>
      <c r="Y161" s="1"/>
      <c r="Z161" s="1"/>
      <c r="AA161" s="1"/>
    </row>
    <row r="162">
      <c r="A162" s="1"/>
      <c r="B162" s="14">
        <f t="shared" si="7"/>
        <v>23</v>
      </c>
      <c r="C162" s="15" t="str">
        <f t="shared" si="1"/>
        <v>enero</v>
      </c>
      <c r="D162" s="15">
        <f t="shared" si="2"/>
        <v>2</v>
      </c>
      <c r="E162" s="16" t="str">
        <f t="shared" si="3"/>
        <v>jueves</v>
      </c>
      <c r="F162" s="15">
        <f t="shared" si="4"/>
        <v>8</v>
      </c>
      <c r="G162" s="15" t="s">
        <v>23</v>
      </c>
      <c r="H162" s="3">
        <f>'AFI-F3'!$G$3</f>
        <v>45674</v>
      </c>
      <c r="I162" s="18">
        <f>'AFI-F3'!B27</f>
        <v>46030</v>
      </c>
      <c r="J162" s="18">
        <f>'AFI-F3'!C27</f>
        <v>42161125</v>
      </c>
      <c r="K162" s="18" t="str">
        <f>'AFI-F3'!D27</f>
        <v>Luis Alberto cavero alvites</v>
      </c>
      <c r="L162" s="18" t="str">
        <f>'AFI-F3'!E27</f>
        <v/>
      </c>
      <c r="M162" s="18" t="str">
        <f>'AFI-F3'!F27</f>
        <v/>
      </c>
      <c r="N162" s="18" t="str">
        <f>'AFI-F3'!G27</f>
        <v/>
      </c>
      <c r="O162" s="18" t="str">
        <f>'AFI-F3'!H27</f>
        <v>x</v>
      </c>
      <c r="P162" s="18" t="str">
        <f>'AFI-F3'!I27</f>
        <v>x</v>
      </c>
      <c r="Q162" s="18">
        <f>'AFI-F3'!J27</f>
        <v>190</v>
      </c>
      <c r="R162" s="18">
        <f>'AFI-F3'!K27</f>
        <v>190</v>
      </c>
      <c r="S162" s="18" t="str">
        <f>'AFI-F3'!L27</f>
        <v>COBR</v>
      </c>
      <c r="T162" s="18" t="str">
        <f>'AFI-F3'!M27</f>
        <v>YAPE JL</v>
      </c>
      <c r="U162" s="18">
        <f>'AFI-F3'!N27</f>
        <v>190</v>
      </c>
      <c r="V162" s="18">
        <f>'AFI-F3'!O27</f>
        <v>190</v>
      </c>
      <c r="W162" s="18" t="str">
        <f>'AFI-F3'!P27</f>
        <v>Katherine</v>
      </c>
      <c r="X162" s="18">
        <f>'AFI-F3'!Q27</f>
        <v>380</v>
      </c>
      <c r="Y162" s="1"/>
      <c r="Z162" s="1"/>
      <c r="AA162" s="1"/>
    </row>
    <row r="163">
      <c r="A163" s="1"/>
      <c r="B163" s="14">
        <f t="shared" si="7"/>
        <v>24</v>
      </c>
      <c r="C163" s="15" t="str">
        <f t="shared" si="1"/>
        <v>enero</v>
      </c>
      <c r="D163" s="15">
        <f t="shared" si="2"/>
        <v>2</v>
      </c>
      <c r="E163" s="16" t="str">
        <f t="shared" si="3"/>
        <v>sábado</v>
      </c>
      <c r="F163" s="15">
        <f t="shared" si="4"/>
        <v>10</v>
      </c>
      <c r="G163" s="15" t="s">
        <v>23</v>
      </c>
      <c r="H163" s="3">
        <f>'AFI-F3'!$G$3</f>
        <v>45674</v>
      </c>
      <c r="I163" s="18">
        <f>'AFI-F3'!B28</f>
        <v>46032</v>
      </c>
      <c r="J163" s="18">
        <f>'AFI-F3'!C28</f>
        <v>23600914</v>
      </c>
      <c r="K163" s="18" t="str">
        <f>'AFI-F3'!D28</f>
        <v>Edgar Lenin Hernandez Ore</v>
      </c>
      <c r="L163" s="18" t="str">
        <f>'AFI-F3'!E28</f>
        <v/>
      </c>
      <c r="M163" s="18" t="str">
        <f>'AFI-F3'!F28</f>
        <v/>
      </c>
      <c r="N163" s="18" t="str">
        <f>'AFI-F3'!G28</f>
        <v/>
      </c>
      <c r="O163" s="18" t="str">
        <f>'AFI-F3'!H28</f>
        <v/>
      </c>
      <c r="P163" s="18" t="str">
        <f>'AFI-F3'!I28</f>
        <v>x</v>
      </c>
      <c r="Q163" s="18">
        <f>'AFI-F3'!J28</f>
        <v>220</v>
      </c>
      <c r="R163" s="18" t="str">
        <f>'AFI-F3'!K28</f>
        <v/>
      </c>
      <c r="S163" s="18" t="str">
        <f>'AFI-F3'!L28</f>
        <v>PAGO</v>
      </c>
      <c r="T163" s="18" t="str">
        <f>'AFI-F3'!M28</f>
        <v>YAPE JL</v>
      </c>
      <c r="U163" s="18">
        <f>'AFI-F3'!N28</f>
        <v>220</v>
      </c>
      <c r="V163" s="18" t="str">
        <f>'AFI-F3'!O28</f>
        <v/>
      </c>
      <c r="W163" s="18" t="str">
        <f>'AFI-F3'!P28</f>
        <v>Katherine</v>
      </c>
      <c r="X163" s="18">
        <f>'AFI-F3'!Q28</f>
        <v>220</v>
      </c>
      <c r="Y163" s="1"/>
      <c r="Z163" s="1"/>
      <c r="AA163" s="1"/>
    </row>
    <row r="164">
      <c r="A164" s="1"/>
      <c r="B164" s="14">
        <f t="shared" si="7"/>
        <v>25</v>
      </c>
      <c r="C164" s="15" t="str">
        <f t="shared" si="1"/>
        <v>enero</v>
      </c>
      <c r="D164" s="15">
        <f t="shared" si="2"/>
        <v>2</v>
      </c>
      <c r="E164" s="16" t="str">
        <f t="shared" si="3"/>
        <v>sábado</v>
      </c>
      <c r="F164" s="15">
        <f t="shared" si="4"/>
        <v>10</v>
      </c>
      <c r="G164" s="15" t="s">
        <v>23</v>
      </c>
      <c r="H164" s="3">
        <f>'AFI-F3'!$G$3</f>
        <v>45674</v>
      </c>
      <c r="I164" s="18">
        <f>'AFI-F3'!B29</f>
        <v>46032</v>
      </c>
      <c r="J164" s="18">
        <f>'AFI-F3'!C29</f>
        <v>44204321</v>
      </c>
      <c r="K164" s="18" t="str">
        <f>'AFI-F3'!D29</f>
        <v>Gustavo Córdova nieto</v>
      </c>
      <c r="L164" s="18" t="str">
        <f>'AFI-F3'!E29</f>
        <v>gustavocordova2015@gmail.com</v>
      </c>
      <c r="M164" s="18" t="str">
        <f>'AFI-F3'!F29</f>
        <v>SJL</v>
      </c>
      <c r="N164" s="18" t="str">
        <f>'AFI-F3'!G29</f>
        <v>912 909 308</v>
      </c>
      <c r="O164" s="18" t="str">
        <f>'AFI-F3'!H29</f>
        <v>X</v>
      </c>
      <c r="P164" s="18" t="str">
        <f>'AFI-F3'!I29</f>
        <v/>
      </c>
      <c r="Q164" s="18">
        <f>'AFI-F3'!J29</f>
        <v>100</v>
      </c>
      <c r="R164" s="18">
        <f>'AFI-F3'!K29</f>
        <v>100</v>
      </c>
      <c r="S164" s="18" t="str">
        <f>'AFI-F3'!L29</f>
        <v>PAGO</v>
      </c>
      <c r="T164" s="18" t="str">
        <f>'AFI-F3'!M29</f>
        <v>YAPE JL</v>
      </c>
      <c r="U164" s="18">
        <f>'AFI-F3'!N29</f>
        <v>100</v>
      </c>
      <c r="V164" s="18">
        <f>'AFI-F3'!O29</f>
        <v>100</v>
      </c>
      <c r="W164" s="18" t="str">
        <f>'AFI-F3'!P29</f>
        <v>Yadhira</v>
      </c>
      <c r="X164" s="18">
        <f>'AFI-F3'!Q29</f>
        <v>200</v>
      </c>
      <c r="Y164" s="1"/>
      <c r="Z164" s="1"/>
      <c r="AA164" s="1"/>
    </row>
    <row r="165">
      <c r="A165" s="1"/>
      <c r="B165" s="14">
        <f t="shared" si="7"/>
        <v>26</v>
      </c>
      <c r="C165" s="15" t="str">
        <f t="shared" si="1"/>
        <v>enero</v>
      </c>
      <c r="D165" s="15">
        <f t="shared" si="2"/>
        <v>3</v>
      </c>
      <c r="E165" s="16" t="str">
        <f t="shared" si="3"/>
        <v>domingo</v>
      </c>
      <c r="F165" s="15">
        <f t="shared" si="4"/>
        <v>11</v>
      </c>
      <c r="G165" s="15" t="s">
        <v>23</v>
      </c>
      <c r="H165" s="3">
        <f>'AFI-F3'!$G$3</f>
        <v>45674</v>
      </c>
      <c r="I165" s="18">
        <f>'AFI-F3'!B30</f>
        <v>46033</v>
      </c>
      <c r="J165" s="18" t="str">
        <f>'AFI-F3'!C30</f>
        <v/>
      </c>
      <c r="K165" s="18" t="str">
        <f>'AFI-F3'!D30</f>
        <v>JOSUE DEL VALLE</v>
      </c>
      <c r="L165" s="18" t="str">
        <f>'AFI-F3'!E30</f>
        <v/>
      </c>
      <c r="M165" s="18" t="str">
        <f>'AFI-F3'!F30</f>
        <v/>
      </c>
      <c r="N165" s="18" t="str">
        <f>'AFI-F3'!G30</f>
        <v/>
      </c>
      <c r="O165" s="18" t="str">
        <f>'AFI-F3'!H30</f>
        <v>X</v>
      </c>
      <c r="P165" s="18" t="str">
        <f>'AFI-F3'!I30</f>
        <v/>
      </c>
      <c r="Q165" s="18">
        <f>'AFI-F3'!J30</f>
        <v>0</v>
      </c>
      <c r="R165" s="18" t="str">
        <f>'AFI-F3'!K30</f>
        <v/>
      </c>
      <c r="S165" s="18" t="str">
        <f>'AFI-F3'!L30</f>
        <v>PAGO</v>
      </c>
      <c r="T165" s="18" t="str">
        <f>'AFI-F3'!M30</f>
        <v>YAPE JL</v>
      </c>
      <c r="U165" s="18">
        <f>'AFI-F3'!N30</f>
        <v>0</v>
      </c>
      <c r="V165" s="18" t="str">
        <f>'AFI-F3'!O30</f>
        <v/>
      </c>
      <c r="W165" s="18" t="str">
        <f>'AFI-F3'!P30</f>
        <v>JL</v>
      </c>
      <c r="X165" s="18">
        <f>'AFI-F3'!Q30</f>
        <v>0</v>
      </c>
      <c r="Y165" s="1"/>
      <c r="Z165" s="1"/>
      <c r="AA165" s="1"/>
    </row>
    <row r="166">
      <c r="A166" s="1"/>
      <c r="B166" s="14">
        <f t="shared" si="7"/>
        <v>27</v>
      </c>
      <c r="C166" s="15" t="str">
        <f t="shared" si="1"/>
        <v>enero</v>
      </c>
      <c r="D166" s="15">
        <f t="shared" si="2"/>
        <v>3</v>
      </c>
      <c r="E166" s="16" t="str">
        <f t="shared" si="3"/>
        <v>lunes</v>
      </c>
      <c r="F166" s="15">
        <f t="shared" si="4"/>
        <v>12</v>
      </c>
      <c r="G166" s="15" t="s">
        <v>23</v>
      </c>
      <c r="H166" s="3">
        <f>'AFI-F3'!$G$3</f>
        <v>45674</v>
      </c>
      <c r="I166" s="18">
        <f>'AFI-F3'!B31</f>
        <v>46034</v>
      </c>
      <c r="J166" s="18" t="str">
        <f>'AFI-F3'!C31</f>
        <v>06967251</v>
      </c>
      <c r="K166" s="18" t="str">
        <f>'AFI-F3'!D31</f>
        <v> Aldo Viacava Nájera</v>
      </c>
      <c r="L166" s="18" t="str">
        <f>'AFI-F3'!E31</f>
        <v>aldoviacava@msn.com</v>
      </c>
      <c r="M166" s="18" t="str">
        <f>'AFI-F3'!F31</f>
        <v>SAN ISIDRO</v>
      </c>
      <c r="N166" s="18" t="str">
        <f>'AFI-F3'!G31</f>
        <v>999 207 109</v>
      </c>
      <c r="O166" s="18" t="str">
        <f>'AFI-F3'!H31</f>
        <v>X</v>
      </c>
      <c r="P166" s="18" t="str">
        <f>'AFI-F3'!I31</f>
        <v/>
      </c>
      <c r="Q166" s="18">
        <f>'AFI-F3'!J31</f>
        <v>180</v>
      </c>
      <c r="R166" s="18" t="str">
        <f>'AFI-F3'!K31</f>
        <v/>
      </c>
      <c r="S166" s="18" t="str">
        <f>'AFI-F3'!L31</f>
        <v>PAGO</v>
      </c>
      <c r="T166" s="18" t="str">
        <f>'AFI-F3'!M31</f>
        <v>YAPE JL</v>
      </c>
      <c r="U166" s="18">
        <f>'AFI-F3'!N31</f>
        <v>180</v>
      </c>
      <c r="V166" s="18" t="str">
        <f>'AFI-F3'!O31</f>
        <v/>
      </c>
      <c r="W166" s="18" t="str">
        <f>'AFI-F3'!P31</f>
        <v>Yadhira</v>
      </c>
      <c r="X166" s="18">
        <f>'AFI-F3'!Q31</f>
        <v>180</v>
      </c>
      <c r="Y166" s="1"/>
      <c r="Z166" s="1"/>
      <c r="AA166" s="1"/>
    </row>
    <row r="167">
      <c r="A167" s="1"/>
      <c r="B167" s="14">
        <f t="shared" si="7"/>
        <v>28</v>
      </c>
      <c r="C167" s="15" t="str">
        <f t="shared" si="1"/>
        <v>enero</v>
      </c>
      <c r="D167" s="15">
        <f t="shared" si="2"/>
        <v>3</v>
      </c>
      <c r="E167" s="16" t="str">
        <f t="shared" si="3"/>
        <v>lunes</v>
      </c>
      <c r="F167" s="15">
        <f t="shared" si="4"/>
        <v>12</v>
      </c>
      <c r="G167" s="15" t="s">
        <v>23</v>
      </c>
      <c r="H167" s="3">
        <f>'AFI-F3'!$G$3</f>
        <v>45674</v>
      </c>
      <c r="I167" s="18">
        <f>'AFI-F3'!B32</f>
        <v>46034</v>
      </c>
      <c r="J167" s="18">
        <f>'AFI-F3'!C32</f>
        <v>74565573</v>
      </c>
      <c r="K167" s="18" t="str">
        <f>'AFI-F3'!D32</f>
        <v>Aldo Renzo Viacaa Benavides</v>
      </c>
      <c r="L167" s="18" t="str">
        <f>'AFI-F3'!E32</f>
        <v>aldoviacava00@outlook.com</v>
      </c>
      <c r="M167" s="18" t="str">
        <f>'AFI-F3'!F32</f>
        <v>SAN ISIDRO</v>
      </c>
      <c r="N167" s="18" t="str">
        <f>'AFI-F3'!G32</f>
        <v>999 207 109</v>
      </c>
      <c r="O167" s="18" t="str">
        <f>'AFI-F3'!H32</f>
        <v>X</v>
      </c>
      <c r="P167" s="18" t="str">
        <f>'AFI-F3'!I32</f>
        <v/>
      </c>
      <c r="Q167" s="18">
        <f>'AFI-F3'!J32</f>
        <v>180</v>
      </c>
      <c r="R167" s="18" t="str">
        <f>'AFI-F3'!K32</f>
        <v/>
      </c>
      <c r="S167" s="18" t="str">
        <f>'AFI-F3'!L32</f>
        <v>PAGO</v>
      </c>
      <c r="T167" s="18" t="str">
        <f>'AFI-F3'!M32</f>
        <v>YAPE JL</v>
      </c>
      <c r="U167" s="18">
        <f>'AFI-F3'!N32</f>
        <v>180</v>
      </c>
      <c r="V167" s="18" t="str">
        <f>'AFI-F3'!O32</f>
        <v/>
      </c>
      <c r="W167" s="18" t="str">
        <f>'AFI-F3'!P32</f>
        <v>Yadhira</v>
      </c>
      <c r="X167" s="18">
        <f>'AFI-F3'!Q32</f>
        <v>180</v>
      </c>
      <c r="Y167" s="1"/>
      <c r="Z167" s="1"/>
      <c r="AA167" s="1"/>
    </row>
    <row r="168">
      <c r="A168" s="1"/>
      <c r="B168" s="14">
        <f t="shared" si="7"/>
        <v>29</v>
      </c>
      <c r="C168" s="15" t="str">
        <f t="shared" si="1"/>
        <v>enero</v>
      </c>
      <c r="D168" s="15">
        <f t="shared" si="2"/>
        <v>3</v>
      </c>
      <c r="E168" s="16" t="str">
        <f t="shared" si="3"/>
        <v>lunes</v>
      </c>
      <c r="F168" s="15">
        <f t="shared" si="4"/>
        <v>12</v>
      </c>
      <c r="G168" s="15" t="s">
        <v>23</v>
      </c>
      <c r="H168" s="3">
        <f>'AFI-F3'!$G$3</f>
        <v>45674</v>
      </c>
      <c r="I168" s="18">
        <f>'AFI-F3'!B33</f>
        <v>46034</v>
      </c>
      <c r="J168" s="18" t="str">
        <f>'AFI-F3'!C33</f>
        <v>09033925</v>
      </c>
      <c r="K168" s="18" t="str">
        <f>'AFI-F3'!D33</f>
        <v>EDGAR PANDURO</v>
      </c>
      <c r="L168" s="18" t="str">
        <f>'AFI-F3'!E33</f>
        <v>ELPY1967@GMAIL.COM</v>
      </c>
      <c r="M168" s="18" t="str">
        <f>'AFI-F3'!F33</f>
        <v>CAÑETE</v>
      </c>
      <c r="N168" s="18" t="str">
        <f>'AFI-F3'!G33</f>
        <v>943 368 377</v>
      </c>
      <c r="O168" s="18" t="str">
        <f>'AFI-F3'!H33</f>
        <v/>
      </c>
      <c r="P168" s="18" t="str">
        <f>'AFI-F3'!I33</f>
        <v>X</v>
      </c>
      <c r="Q168" s="18">
        <f>'AFI-F3'!J33</f>
        <v>100</v>
      </c>
      <c r="R168" s="18">
        <f>'AFI-F3'!K33</f>
        <v>100</v>
      </c>
      <c r="S168" s="18" t="str">
        <f>'AFI-F3'!L33</f>
        <v>COBR</v>
      </c>
      <c r="T168" s="18" t="str">
        <f>'AFI-F3'!M33</f>
        <v>YAPE JL</v>
      </c>
      <c r="U168" s="18">
        <f>'AFI-F3'!N33</f>
        <v>100</v>
      </c>
      <c r="V168" s="18">
        <f>'AFI-F3'!O33</f>
        <v>100</v>
      </c>
      <c r="W168" s="18" t="str">
        <f>'AFI-F3'!P33</f>
        <v>Greici</v>
      </c>
      <c r="X168" s="18">
        <f>'AFI-F3'!Q33</f>
        <v>200</v>
      </c>
      <c r="Y168" s="1"/>
      <c r="Z168" s="1"/>
      <c r="AA168" s="1"/>
    </row>
    <row r="169">
      <c r="A169" s="1"/>
      <c r="B169" s="14">
        <f t="shared" si="7"/>
        <v>30</v>
      </c>
      <c r="C169" s="15" t="str">
        <f t="shared" si="1"/>
        <v>enero</v>
      </c>
      <c r="D169" s="15">
        <f t="shared" si="2"/>
        <v>3</v>
      </c>
      <c r="E169" s="16" t="str">
        <f t="shared" si="3"/>
        <v>lunes</v>
      </c>
      <c r="F169" s="15">
        <f t="shared" si="4"/>
        <v>12</v>
      </c>
      <c r="G169" s="15" t="s">
        <v>23</v>
      </c>
      <c r="H169" s="3">
        <f>'AFI-F3'!$G$3</f>
        <v>45674</v>
      </c>
      <c r="I169" s="18">
        <f>'AFI-F3'!B34</f>
        <v>46034</v>
      </c>
      <c r="J169" s="18">
        <f>'AFI-F3'!C34</f>
        <v>70342491</v>
      </c>
      <c r="K169" s="18" t="str">
        <f>'AFI-F3'!D34</f>
        <v>Jandir Rivera Quispe</v>
      </c>
      <c r="L169" s="18" t="str">
        <f>'AFI-F3'!E34</f>
        <v>jandir.rivera10@gmail.com</v>
      </c>
      <c r="M169" s="18" t="str">
        <f>'AFI-F3'!F34</f>
        <v>San Bartolo</v>
      </c>
      <c r="N169" s="18">
        <f>'AFI-F3'!G34</f>
        <v>987552563</v>
      </c>
      <c r="O169" s="18" t="str">
        <f>'AFI-F3'!H34</f>
        <v>X</v>
      </c>
      <c r="P169" s="18" t="str">
        <f>'AFI-F3'!I34</f>
        <v/>
      </c>
      <c r="Q169" s="18">
        <f>'AFI-F3'!J34</f>
        <v>180</v>
      </c>
      <c r="R169" s="18">
        <f>'AFI-F3'!K34</f>
        <v>180</v>
      </c>
      <c r="S169" s="18" t="str">
        <f>'AFI-F3'!L34</f>
        <v>COBR</v>
      </c>
      <c r="T169" s="18" t="str">
        <f>'AFI-F3'!M34</f>
        <v>MERC-PAG</v>
      </c>
      <c r="U169" s="18">
        <f>'AFI-F3'!N34</f>
        <v>180</v>
      </c>
      <c r="V169" s="18">
        <f>'AFI-F3'!O34</f>
        <v>165</v>
      </c>
      <c r="W169" s="18" t="str">
        <f>'AFI-F3'!P34</f>
        <v>Sofia</v>
      </c>
      <c r="X169" s="18">
        <f>'AFI-F3'!Q34</f>
        <v>345</v>
      </c>
      <c r="Y169" s="1"/>
      <c r="Z169" s="1"/>
      <c r="AA169" s="1"/>
    </row>
    <row r="170">
      <c r="A170" s="1"/>
      <c r="B170" s="14">
        <f t="shared" si="7"/>
        <v>31</v>
      </c>
      <c r="C170" s="15" t="str">
        <f t="shared" si="1"/>
        <v>enero</v>
      </c>
      <c r="D170" s="15">
        <f t="shared" si="2"/>
        <v>3</v>
      </c>
      <c r="E170" s="16" t="str">
        <f t="shared" si="3"/>
        <v>lunes</v>
      </c>
      <c r="F170" s="15">
        <f t="shared" si="4"/>
        <v>12</v>
      </c>
      <c r="G170" s="15" t="s">
        <v>23</v>
      </c>
      <c r="H170" s="3">
        <f>'AFI-F3'!$G$3</f>
        <v>45674</v>
      </c>
      <c r="I170" s="18">
        <f>'AFI-F3'!B35</f>
        <v>46034</v>
      </c>
      <c r="J170" s="18">
        <f>'AFI-F3'!C35</f>
        <v>74711615</v>
      </c>
      <c r="K170" s="18" t="str">
        <f>'AFI-F3'!D35</f>
        <v>Edu Escobedo Yalico </v>
      </c>
      <c r="L170" s="18" t="str">
        <f>'AFI-F3'!E35</f>
        <v/>
      </c>
      <c r="M170" s="18" t="str">
        <f>'AFI-F3'!F35</f>
        <v/>
      </c>
      <c r="N170" s="18" t="str">
        <f>'AFI-F3'!G35</f>
        <v/>
      </c>
      <c r="O170" s="18" t="str">
        <f>'AFI-F3'!H35</f>
        <v>x</v>
      </c>
      <c r="P170" s="18" t="str">
        <f>'AFI-F3'!I35</f>
        <v>x</v>
      </c>
      <c r="Q170" s="18">
        <f>'AFI-F3'!J35</f>
        <v>350</v>
      </c>
      <c r="R170" s="18" t="str">
        <f>'AFI-F3'!K35</f>
        <v> </v>
      </c>
      <c r="S170" s="18" t="str">
        <f>'AFI-F3'!L35</f>
        <v>PAGO</v>
      </c>
      <c r="T170" s="18" t="str">
        <f>'AFI-F3'!M35</f>
        <v>YAPE JL</v>
      </c>
      <c r="U170" s="18">
        <f>'AFI-F3'!N35</f>
        <v>350</v>
      </c>
      <c r="V170" s="18" t="str">
        <f>'AFI-F3'!O35</f>
        <v/>
      </c>
      <c r="W170" s="18" t="str">
        <f>'AFI-F3'!P35</f>
        <v>Katherine</v>
      </c>
      <c r="X170" s="18">
        <f>'AFI-F3'!Q35</f>
        <v>350</v>
      </c>
      <c r="Y170" s="1"/>
      <c r="Z170" s="1"/>
      <c r="AA170" s="1"/>
    </row>
    <row r="171">
      <c r="A171" s="1"/>
      <c r="B171" s="14">
        <f t="shared" si="7"/>
        <v>32</v>
      </c>
      <c r="C171" s="15" t="str">
        <f t="shared" si="1"/>
        <v>enero</v>
      </c>
      <c r="D171" s="15">
        <f t="shared" si="2"/>
        <v>3</v>
      </c>
      <c r="E171" s="16" t="str">
        <f t="shared" si="3"/>
        <v>lunes</v>
      </c>
      <c r="F171" s="15">
        <f t="shared" si="4"/>
        <v>12</v>
      </c>
      <c r="G171" s="15" t="s">
        <v>23</v>
      </c>
      <c r="H171" s="3">
        <f>'AFI-F3'!$G$3</f>
        <v>45674</v>
      </c>
      <c r="I171" s="18">
        <f>'AFI-F3'!B36</f>
        <v>46034</v>
      </c>
      <c r="J171" s="18" t="str">
        <f>'AFI-F3'!C36</f>
        <v/>
      </c>
      <c r="K171" s="18" t="str">
        <f>'AFI-F3'!D36</f>
        <v>Fernanda Yalico Canchari</v>
      </c>
      <c r="L171" s="18" t="str">
        <f>'AFI-F3'!E36</f>
        <v/>
      </c>
      <c r="M171" s="18" t="str">
        <f>'AFI-F3'!F36</f>
        <v/>
      </c>
      <c r="N171" s="18" t="str">
        <f>'AFI-F3'!G36</f>
        <v/>
      </c>
      <c r="O171" s="18" t="str">
        <f>'AFI-F3'!H36</f>
        <v>x</v>
      </c>
      <c r="P171" s="18" t="str">
        <f>'AFI-F3'!I36</f>
        <v>x</v>
      </c>
      <c r="Q171" s="18">
        <f>'AFI-F3'!J36</f>
        <v>350</v>
      </c>
      <c r="R171" s="18" t="str">
        <f>'AFI-F3'!K36</f>
        <v/>
      </c>
      <c r="S171" s="18" t="str">
        <f>'AFI-F3'!L36</f>
        <v>PAGO</v>
      </c>
      <c r="T171" s="18" t="str">
        <f>'AFI-F3'!M36</f>
        <v>YAPE JL</v>
      </c>
      <c r="U171" s="18">
        <f>'AFI-F3'!N36</f>
        <v>350</v>
      </c>
      <c r="V171" s="18" t="str">
        <f>'AFI-F3'!O36</f>
        <v/>
      </c>
      <c r="W171" s="18" t="str">
        <f>'AFI-F3'!P36</f>
        <v>Katherine</v>
      </c>
      <c r="X171" s="18">
        <f>'AFI-F3'!Q36</f>
        <v>350</v>
      </c>
      <c r="Y171" s="1"/>
      <c r="Z171" s="1"/>
      <c r="AA171" s="1"/>
    </row>
    <row r="172">
      <c r="A172" s="1"/>
      <c r="B172" s="14">
        <f t="shared" si="7"/>
        <v>33</v>
      </c>
      <c r="C172" s="15" t="str">
        <f t="shared" si="1"/>
        <v>enero</v>
      </c>
      <c r="D172" s="15">
        <f t="shared" si="2"/>
        <v>2</v>
      </c>
      <c r="E172" s="16" t="str">
        <f t="shared" si="3"/>
        <v>sábado</v>
      </c>
      <c r="F172" s="15">
        <f t="shared" si="4"/>
        <v>10</v>
      </c>
      <c r="G172" s="15" t="s">
        <v>23</v>
      </c>
      <c r="H172" s="3">
        <f>'AFI-F3'!$G$3</f>
        <v>45674</v>
      </c>
      <c r="I172" s="18">
        <f>'AFI-F3'!B37</f>
        <v>46032</v>
      </c>
      <c r="J172" s="18" t="str">
        <f>'AFI-F3'!C37</f>
        <v/>
      </c>
      <c r="K172" s="18" t="str">
        <f>'AFI-F3'!D37</f>
        <v>Nico Suárez Loayza</v>
      </c>
      <c r="L172" s="18" t="str">
        <f>'AFI-F3'!E37</f>
        <v/>
      </c>
      <c r="M172" s="18" t="str">
        <f>'AFI-F3'!F37</f>
        <v/>
      </c>
      <c r="N172" s="18" t="str">
        <f>'AFI-F3'!G37</f>
        <v/>
      </c>
      <c r="O172" s="18" t="str">
        <f>'AFI-F3'!H37</f>
        <v>x</v>
      </c>
      <c r="P172" s="18" t="str">
        <f>'AFI-F3'!I37</f>
        <v>x</v>
      </c>
      <c r="Q172" s="18">
        <f>'AFI-F3'!J37</f>
        <v>200</v>
      </c>
      <c r="R172" s="18">
        <f>'AFI-F3'!K37</f>
        <v>180</v>
      </c>
      <c r="S172" s="18" t="str">
        <f>'AFI-F3'!L37</f>
        <v>COBR</v>
      </c>
      <c r="T172" s="18" t="str">
        <f>'AFI-F3'!M37</f>
        <v>YAPE JL</v>
      </c>
      <c r="U172" s="18">
        <f>'AFI-F3'!N37</f>
        <v>200</v>
      </c>
      <c r="V172" s="18">
        <f>'AFI-F3'!O37</f>
        <v>180</v>
      </c>
      <c r="W172" s="18" t="str">
        <f>'AFI-F3'!P37</f>
        <v>Katherine</v>
      </c>
      <c r="X172" s="18">
        <f>'AFI-F3'!Q37</f>
        <v>380</v>
      </c>
      <c r="Y172" s="1"/>
      <c r="Z172" s="1"/>
      <c r="AA172" s="1"/>
    </row>
    <row r="173">
      <c r="A173" s="1"/>
      <c r="B173" s="14">
        <f t="shared" si="7"/>
        <v>34</v>
      </c>
      <c r="C173" s="15" t="str">
        <f t="shared" si="1"/>
        <v>diciembre</v>
      </c>
      <c r="D173" s="15">
        <f t="shared" si="2"/>
        <v>52</v>
      </c>
      <c r="E173" s="16" t="str">
        <f t="shared" si="3"/>
        <v>sábado</v>
      </c>
      <c r="F173" s="15">
        <f t="shared" si="4"/>
        <v>30</v>
      </c>
      <c r="G173" s="15" t="s">
        <v>23</v>
      </c>
      <c r="H173" s="3">
        <f>'AFI-F3'!$G$3</f>
        <v>45674</v>
      </c>
      <c r="I173" s="18" t="str">
        <f>'AFI-F3'!B38</f>
        <v/>
      </c>
      <c r="J173" s="18" t="str">
        <f>'AFI-F3'!C38</f>
        <v/>
      </c>
      <c r="K173" s="18" t="str">
        <f>'AFI-F3'!D38</f>
        <v/>
      </c>
      <c r="L173" s="18" t="str">
        <f>'AFI-F3'!E38</f>
        <v/>
      </c>
      <c r="M173" s="18" t="str">
        <f>'AFI-F3'!F38</f>
        <v/>
      </c>
      <c r="N173" s="18" t="str">
        <f>'AFI-F3'!G38</f>
        <v/>
      </c>
      <c r="O173" s="18" t="str">
        <f>'AFI-F3'!H38</f>
        <v/>
      </c>
      <c r="P173" s="18" t="str">
        <f>'AFI-F3'!I38</f>
        <v/>
      </c>
      <c r="Q173" s="18" t="str">
        <f>'AFI-F3'!J38</f>
        <v/>
      </c>
      <c r="R173" s="18" t="str">
        <f>'AFI-F3'!K38</f>
        <v/>
      </c>
      <c r="S173" s="18" t="str">
        <f>'AFI-F3'!L38</f>
        <v/>
      </c>
      <c r="T173" s="18" t="str">
        <f>'AFI-F3'!M38</f>
        <v/>
      </c>
      <c r="U173" s="18">
        <f>'AFI-F3'!N38</f>
        <v>0</v>
      </c>
      <c r="V173" s="18" t="str">
        <f>'AFI-F3'!O38</f>
        <v/>
      </c>
      <c r="W173" s="18" t="str">
        <f>'AFI-F3'!P38</f>
        <v>Greici</v>
      </c>
      <c r="X173" s="18">
        <f>'AFI-F3'!Q38</f>
        <v>0</v>
      </c>
      <c r="Y173" s="1"/>
      <c r="Z173" s="1"/>
      <c r="AA173" s="1"/>
    </row>
    <row r="174">
      <c r="A174" s="1"/>
      <c r="B174" s="14">
        <f t="shared" si="7"/>
        <v>35</v>
      </c>
      <c r="C174" s="15" t="str">
        <f t="shared" si="1"/>
        <v>enero</v>
      </c>
      <c r="D174" s="15">
        <f t="shared" si="2"/>
        <v>3</v>
      </c>
      <c r="E174" s="16" t="str">
        <f t="shared" si="3"/>
        <v>lunes</v>
      </c>
      <c r="F174" s="15">
        <f t="shared" si="4"/>
        <v>12</v>
      </c>
      <c r="G174" s="15" t="s">
        <v>23</v>
      </c>
      <c r="H174" s="3">
        <f>'AFI-F3'!$G$3</f>
        <v>45674</v>
      </c>
      <c r="I174" s="18">
        <f>'AFI-F3'!B39</f>
        <v>46034</v>
      </c>
      <c r="J174" s="18">
        <f>'AFI-F3'!C39</f>
        <v>48194840</v>
      </c>
      <c r="K174" s="18" t="str">
        <f>'AFI-F3'!D39</f>
        <v>Fritz puente</v>
      </c>
      <c r="L174" s="18" t="str">
        <f>'AFI-F3'!E39</f>
        <v>fritz_jairo@hotmail .com</v>
      </c>
      <c r="M174" s="18" t="str">
        <f>'AFI-F3'!F39</f>
        <v>Los olivos</v>
      </c>
      <c r="N174" s="18" t="str">
        <f>'AFI-F3'!G39</f>
        <v> 966 505 141</v>
      </c>
      <c r="O174" s="18" t="str">
        <f>'AFI-F3'!H39</f>
        <v>X</v>
      </c>
      <c r="P174" s="18" t="str">
        <f>'AFI-F3'!I39</f>
        <v/>
      </c>
      <c r="Q174" s="18">
        <f>'AFI-F3'!J39</f>
        <v>100</v>
      </c>
      <c r="R174" s="18">
        <f>'AFI-F3'!K39</f>
        <v>100</v>
      </c>
      <c r="S174" s="18" t="str">
        <f>'AFI-F3'!L39</f>
        <v>COBR</v>
      </c>
      <c r="T174" s="18" t="str">
        <f>'AFI-F3'!M39</f>
        <v>YAPE JL</v>
      </c>
      <c r="U174" s="18">
        <f>'AFI-F3'!N39</f>
        <v>100</v>
      </c>
      <c r="V174" s="18">
        <f>'AFI-F3'!O39</f>
        <v>100</v>
      </c>
      <c r="W174" s="18" t="str">
        <f>'AFI-F3'!P39</f>
        <v>Sofia</v>
      </c>
      <c r="X174" s="18">
        <f>'AFI-F3'!Q39</f>
        <v>200</v>
      </c>
      <c r="Y174" s="1"/>
      <c r="Z174" s="1"/>
      <c r="AA174" s="1"/>
    </row>
    <row r="175">
      <c r="A175" s="1"/>
      <c r="B175" s="14">
        <f t="shared" si="7"/>
        <v>36</v>
      </c>
      <c r="C175" s="15" t="str">
        <f t="shared" si="1"/>
        <v>enero</v>
      </c>
      <c r="D175" s="15">
        <f t="shared" si="2"/>
        <v>1</v>
      </c>
      <c r="E175" s="16" t="str">
        <f t="shared" si="3"/>
        <v>viernes</v>
      </c>
      <c r="F175" s="15">
        <f t="shared" si="4"/>
        <v>2</v>
      </c>
      <c r="G175" s="15" t="s">
        <v>23</v>
      </c>
      <c r="H175" s="3">
        <f>'AFI-F3'!$G$3</f>
        <v>45674</v>
      </c>
      <c r="I175" s="18">
        <f>'AFI-F3'!B40</f>
        <v>46024</v>
      </c>
      <c r="J175" s="18" t="str">
        <f>'AFI-F3'!C40</f>
        <v/>
      </c>
      <c r="K175" s="18" t="str">
        <f>'AFI-F3'!D40</f>
        <v>Aaron Castillo</v>
      </c>
      <c r="L175" s="18" t="str">
        <f>'AFI-F3'!E40</f>
        <v/>
      </c>
      <c r="M175" s="18" t="str">
        <f>'AFI-F3'!F40</f>
        <v/>
      </c>
      <c r="N175" s="18" t="str">
        <f>'AFI-F3'!G40</f>
        <v/>
      </c>
      <c r="O175" s="18" t="str">
        <f>'AFI-F3'!H40</f>
        <v/>
      </c>
      <c r="P175" s="18" t="str">
        <f>'AFI-F3'!I40</f>
        <v>x</v>
      </c>
      <c r="Q175" s="18">
        <f>'AFI-F3'!J40</f>
        <v>190</v>
      </c>
      <c r="R175" s="18" t="str">
        <f>'AFI-F3'!K40</f>
        <v/>
      </c>
      <c r="S175" s="18" t="str">
        <f>'AFI-F3'!L40</f>
        <v>PAGO</v>
      </c>
      <c r="T175" s="18" t="str">
        <f>'AFI-F3'!M40</f>
        <v>YAPE JL</v>
      </c>
      <c r="U175" s="18">
        <f>'AFI-F3'!N40</f>
        <v>190</v>
      </c>
      <c r="V175" s="18" t="str">
        <f>'AFI-F3'!O40</f>
        <v/>
      </c>
      <c r="W175" s="18" t="str">
        <f>'AFI-F3'!P40</f>
        <v>Katherine</v>
      </c>
      <c r="X175" s="18">
        <f>'AFI-F3'!Q40</f>
        <v>190</v>
      </c>
      <c r="Y175" s="1"/>
      <c r="Z175" s="1"/>
      <c r="AA175" s="1"/>
    </row>
    <row r="176">
      <c r="A176" s="1"/>
      <c r="B176" s="14">
        <f t="shared" si="7"/>
        <v>37</v>
      </c>
      <c r="C176" s="15" t="str">
        <f t="shared" si="1"/>
        <v>enero</v>
      </c>
      <c r="D176" s="15">
        <f t="shared" si="2"/>
        <v>1</v>
      </c>
      <c r="E176" s="16" t="str">
        <f t="shared" si="3"/>
        <v>viernes</v>
      </c>
      <c r="F176" s="15">
        <f t="shared" si="4"/>
        <v>2</v>
      </c>
      <c r="G176" s="15" t="s">
        <v>23</v>
      </c>
      <c r="H176" s="3">
        <f>'AFI-F3'!$G$3</f>
        <v>45674</v>
      </c>
      <c r="I176" s="18">
        <f>'AFI-F3'!B41</f>
        <v>46024</v>
      </c>
      <c r="J176" s="18" t="str">
        <f>'AFI-F3'!C41</f>
        <v/>
      </c>
      <c r="K176" s="18" t="str">
        <f>'AFI-F3'!D41</f>
        <v>Aaron Castillo</v>
      </c>
      <c r="L176" s="18" t="str">
        <f>'AFI-F3'!E41</f>
        <v/>
      </c>
      <c r="M176" s="18" t="str">
        <f>'AFI-F3'!F41</f>
        <v/>
      </c>
      <c r="N176" s="18" t="str">
        <f>'AFI-F3'!G41</f>
        <v/>
      </c>
      <c r="O176" s="18" t="str">
        <f>'AFI-F3'!H41</f>
        <v/>
      </c>
      <c r="P176" s="18" t="str">
        <f>'AFI-F3'!I41</f>
        <v>x</v>
      </c>
      <c r="Q176" s="18">
        <f>'AFI-F3'!J41</f>
        <v>190</v>
      </c>
      <c r="R176" s="18" t="str">
        <f>'AFI-F3'!K41</f>
        <v/>
      </c>
      <c r="S176" s="18" t="str">
        <f>'AFI-F3'!L41</f>
        <v>PAGO</v>
      </c>
      <c r="T176" s="18" t="str">
        <f>'AFI-F3'!M41</f>
        <v>YAPE JL</v>
      </c>
      <c r="U176" s="18">
        <f>'AFI-F3'!N41</f>
        <v>190</v>
      </c>
      <c r="V176" s="18" t="str">
        <f>'AFI-F3'!O41</f>
        <v/>
      </c>
      <c r="W176" s="18" t="str">
        <f>'AFI-F3'!P41</f>
        <v>Katherine</v>
      </c>
      <c r="X176" s="18">
        <f>'AFI-F3'!Q41</f>
        <v>190</v>
      </c>
      <c r="Y176" s="1"/>
      <c r="Z176" s="1"/>
      <c r="AA176" s="1"/>
    </row>
    <row r="177">
      <c r="A177" s="1"/>
      <c r="B177" s="14">
        <f t="shared" si="7"/>
        <v>38</v>
      </c>
      <c r="C177" s="15" t="str">
        <f t="shared" si="1"/>
        <v>enero</v>
      </c>
      <c r="D177" s="15">
        <f t="shared" si="2"/>
        <v>3</v>
      </c>
      <c r="E177" s="16" t="str">
        <f t="shared" si="3"/>
        <v>martes</v>
      </c>
      <c r="F177" s="15">
        <f t="shared" si="4"/>
        <v>13</v>
      </c>
      <c r="G177" s="15" t="s">
        <v>23</v>
      </c>
      <c r="H177" s="3">
        <f>'AFI-F3'!$G$3</f>
        <v>45674</v>
      </c>
      <c r="I177" s="18">
        <f>'AFI-F3'!B42</f>
        <v>46035</v>
      </c>
      <c r="J177" s="18">
        <f>'AFI-F3'!C42</f>
        <v>47575960</v>
      </c>
      <c r="K177" s="18" t="str">
        <f>'AFI-F3'!D42</f>
        <v>Abdul Kazan Espinoza Guerra</v>
      </c>
      <c r="L177" s="18" t="str">
        <f>'AFI-F3'!E42</f>
        <v>Ka.carmed@gmail.com</v>
      </c>
      <c r="M177" s="18" t="str">
        <f>'AFI-F3'!F42</f>
        <v>RIMAC</v>
      </c>
      <c r="N177" s="18" t="str">
        <f>'AFI-F3'!G42</f>
        <v>970 345 673</v>
      </c>
      <c r="O177" s="18" t="str">
        <f>'AFI-F3'!H42</f>
        <v>X</v>
      </c>
      <c r="P177" s="18" t="str">
        <f>'AFI-F3'!I42</f>
        <v/>
      </c>
      <c r="Q177" s="18">
        <f>'AFI-F3'!J42</f>
        <v>190</v>
      </c>
      <c r="R177" s="18" t="str">
        <f>'AFI-F3'!K42</f>
        <v/>
      </c>
      <c r="S177" s="18" t="str">
        <f>'AFI-F3'!L42</f>
        <v>PAGO</v>
      </c>
      <c r="T177" s="18" t="str">
        <f>'AFI-F3'!M42</f>
        <v>YAPE JL</v>
      </c>
      <c r="U177" s="18">
        <f>'AFI-F3'!N42</f>
        <v>190</v>
      </c>
      <c r="V177" s="18" t="str">
        <f>'AFI-F3'!O42</f>
        <v/>
      </c>
      <c r="W177" s="18" t="str">
        <f>'AFI-F3'!P42</f>
        <v>Yadhira</v>
      </c>
      <c r="X177" s="18">
        <f>'AFI-F3'!Q42</f>
        <v>190</v>
      </c>
      <c r="Y177" s="1"/>
      <c r="Z177" s="1"/>
      <c r="AA177" s="1"/>
    </row>
    <row r="178">
      <c r="A178" s="1"/>
      <c r="B178" s="14">
        <f t="shared" si="7"/>
        <v>39</v>
      </c>
      <c r="C178" s="15" t="str">
        <f t="shared" si="1"/>
        <v>enero</v>
      </c>
      <c r="D178" s="15">
        <f t="shared" si="2"/>
        <v>3</v>
      </c>
      <c r="E178" s="16" t="str">
        <f t="shared" si="3"/>
        <v>martes</v>
      </c>
      <c r="F178" s="15">
        <f t="shared" si="4"/>
        <v>13</v>
      </c>
      <c r="G178" s="15" t="s">
        <v>23</v>
      </c>
      <c r="H178" s="3">
        <f>'AFI-F3'!$G$3</f>
        <v>45674</v>
      </c>
      <c r="I178" s="18">
        <f>'AFI-F3'!B43</f>
        <v>46035</v>
      </c>
      <c r="J178" s="18">
        <f>'AFI-F3'!C43</f>
        <v>72774551</v>
      </c>
      <c r="K178" s="18" t="str">
        <f>'AFI-F3'!D43</f>
        <v>Camila Alexandra Vega Tocto</v>
      </c>
      <c r="L178" s="18" t="str">
        <f>'AFI-F3'!E43</f>
        <v>camilavegatocto2102@gmail.com</v>
      </c>
      <c r="M178" s="18" t="str">
        <f>'AFI-F3'!F43</f>
        <v>SURQUILLO</v>
      </c>
      <c r="N178" s="18" t="str">
        <f>'AFI-F3'!G43</f>
        <v>979 898 493</v>
      </c>
      <c r="O178" s="18" t="str">
        <f>'AFI-F3'!H43</f>
        <v>X</v>
      </c>
      <c r="P178" s="18" t="str">
        <f>'AFI-F3'!I43</f>
        <v/>
      </c>
      <c r="Q178" s="18">
        <f>'AFI-F3'!J43</f>
        <v>180</v>
      </c>
      <c r="R178" s="18" t="str">
        <f>'AFI-F3'!K43</f>
        <v/>
      </c>
      <c r="S178" s="18" t="str">
        <f>'AFI-F3'!L43</f>
        <v>PAGO</v>
      </c>
      <c r="T178" s="18" t="str">
        <f>'AFI-F3'!M43</f>
        <v>YAPE JL</v>
      </c>
      <c r="U178" s="18">
        <f>'AFI-F3'!N43</f>
        <v>180</v>
      </c>
      <c r="V178" s="18" t="str">
        <f>'AFI-F3'!O43</f>
        <v/>
      </c>
      <c r="W178" s="18" t="str">
        <f>'AFI-F3'!P43</f>
        <v>Yadhira</v>
      </c>
      <c r="X178" s="18">
        <f>'AFI-F3'!Q43</f>
        <v>180</v>
      </c>
      <c r="Y178" s="1"/>
      <c r="Z178" s="1"/>
      <c r="AA178" s="1"/>
    </row>
    <row r="179">
      <c r="A179" s="1"/>
      <c r="B179" s="14">
        <f t="shared" si="7"/>
        <v>40</v>
      </c>
      <c r="C179" s="15" t="str">
        <f t="shared" si="1"/>
        <v>enero</v>
      </c>
      <c r="D179" s="15">
        <f t="shared" si="2"/>
        <v>3</v>
      </c>
      <c r="E179" s="16" t="str">
        <f t="shared" si="3"/>
        <v>martes</v>
      </c>
      <c r="F179" s="15">
        <f t="shared" si="4"/>
        <v>13</v>
      </c>
      <c r="G179" s="15" t="s">
        <v>23</v>
      </c>
      <c r="H179" s="3">
        <f>'AFI-F3'!$G$3</f>
        <v>45674</v>
      </c>
      <c r="I179" s="18">
        <f>'AFI-F3'!B44</f>
        <v>46035</v>
      </c>
      <c r="J179" s="18">
        <f>'AFI-F3'!C44</f>
        <v>61066668</v>
      </c>
      <c r="K179" s="18" t="str">
        <f>'AFI-F3'!D44</f>
        <v>Juan Alfonso Vega Tocto</v>
      </c>
      <c r="L179" s="29" t="str">
        <f>'AFI-F3'!E44</f>
        <v>juanvt667@gmail.com</v>
      </c>
      <c r="M179" s="18" t="str">
        <f>'AFI-F3'!F44</f>
        <v>SURQUILLO</v>
      </c>
      <c r="N179" s="18" t="str">
        <f>'AFI-F3'!G44</f>
        <v>979 898 493</v>
      </c>
      <c r="O179" s="18" t="str">
        <f>'AFI-F3'!H44</f>
        <v>X</v>
      </c>
      <c r="P179" s="18" t="str">
        <f>'AFI-F3'!I44</f>
        <v/>
      </c>
      <c r="Q179" s="18">
        <f>'AFI-F3'!J44</f>
        <v>180</v>
      </c>
      <c r="R179" s="18" t="str">
        <f>'AFI-F3'!K44</f>
        <v/>
      </c>
      <c r="S179" s="18" t="str">
        <f>'AFI-F3'!L44</f>
        <v>PAGO</v>
      </c>
      <c r="T179" s="18" t="str">
        <f>'AFI-F3'!M44</f>
        <v>YAPE JL</v>
      </c>
      <c r="U179" s="18">
        <f>'AFI-F3'!N44</f>
        <v>180</v>
      </c>
      <c r="V179" s="18" t="str">
        <f>'AFI-F3'!O44</f>
        <v/>
      </c>
      <c r="W179" s="18" t="str">
        <f>'AFI-F3'!P44</f>
        <v>Yadhira</v>
      </c>
      <c r="X179" s="18">
        <f>'AFI-F3'!Q44</f>
        <v>180</v>
      </c>
      <c r="Y179" s="1"/>
      <c r="Z179" s="1"/>
      <c r="AA179" s="1"/>
    </row>
    <row r="180">
      <c r="A180" s="1"/>
      <c r="B180" s="14">
        <f t="shared" si="7"/>
        <v>41</v>
      </c>
      <c r="C180" s="15" t="str">
        <f t="shared" si="1"/>
        <v>enero</v>
      </c>
      <c r="D180" s="15">
        <f t="shared" si="2"/>
        <v>3</v>
      </c>
      <c r="E180" s="16" t="str">
        <f t="shared" si="3"/>
        <v>martes</v>
      </c>
      <c r="F180" s="15">
        <f t="shared" si="4"/>
        <v>13</v>
      </c>
      <c r="G180" s="15" t="s">
        <v>23</v>
      </c>
      <c r="H180" s="3">
        <f>'AFI-F3'!$G$3</f>
        <v>45674</v>
      </c>
      <c r="I180" s="18">
        <f>'AFI-F3'!B45</f>
        <v>46035</v>
      </c>
      <c r="J180" s="18">
        <f>'AFI-F3'!C45</f>
        <v>42516080</v>
      </c>
      <c r="K180" s="18" t="str">
        <f>'AFI-F3'!D45</f>
        <v>     Danny Simon Gonzales</v>
      </c>
      <c r="L180" s="18" t="str">
        <f>'AFI-F3'!E45</f>
        <v/>
      </c>
      <c r="M180" s="18" t="str">
        <f>'AFI-F3'!F45</f>
        <v/>
      </c>
      <c r="N180" s="18" t="str">
        <f>'AFI-F3'!G45</f>
        <v/>
      </c>
      <c r="O180" s="18" t="str">
        <f>'AFI-F3'!H45</f>
        <v>x</v>
      </c>
      <c r="P180" s="18" t="str">
        <f>'AFI-F3'!I45</f>
        <v/>
      </c>
      <c r="Q180" s="18">
        <f>'AFI-F3'!J45</f>
        <v>190</v>
      </c>
      <c r="R180" s="18" t="str">
        <f>'AFI-F3'!K45</f>
        <v/>
      </c>
      <c r="S180" s="18" t="str">
        <f>'AFI-F3'!L45</f>
        <v>PAGO</v>
      </c>
      <c r="T180" s="18" t="str">
        <f>'AFI-F3'!M45</f>
        <v>YAPE JL</v>
      </c>
      <c r="U180" s="18">
        <f>'AFI-F3'!N45</f>
        <v>190</v>
      </c>
      <c r="V180" s="18" t="str">
        <f>'AFI-F3'!O45</f>
        <v/>
      </c>
      <c r="W180" s="18" t="str">
        <f>'AFI-F3'!P45</f>
        <v>Katherine</v>
      </c>
      <c r="X180" s="18">
        <f>'AFI-F3'!Q45</f>
        <v>190</v>
      </c>
      <c r="Y180" s="1"/>
      <c r="Z180" s="1"/>
      <c r="AA180" s="1"/>
    </row>
    <row r="181">
      <c r="A181" s="1"/>
      <c r="B181" s="14">
        <f t="shared" si="7"/>
        <v>42</v>
      </c>
      <c r="C181" s="15" t="str">
        <f t="shared" si="1"/>
        <v>enero</v>
      </c>
      <c r="D181" s="15">
        <f t="shared" si="2"/>
        <v>3</v>
      </c>
      <c r="E181" s="16" t="str">
        <f t="shared" si="3"/>
        <v>martes</v>
      </c>
      <c r="F181" s="15">
        <f t="shared" si="4"/>
        <v>13</v>
      </c>
      <c r="G181" s="15" t="s">
        <v>23</v>
      </c>
      <c r="H181" s="3">
        <f>'AFI-F3'!$G$3</f>
        <v>45674</v>
      </c>
      <c r="I181" s="18">
        <f>'AFI-F3'!B46</f>
        <v>46035</v>
      </c>
      <c r="J181" s="18">
        <f>'AFI-F3'!C46</f>
        <v>41052490</v>
      </c>
      <c r="K181" s="18" t="str">
        <f>'AFI-F3'!D46</f>
        <v>   Ronald Guerrero Romero</v>
      </c>
      <c r="L181" s="18" t="str">
        <f>'AFI-F3'!E46</f>
        <v/>
      </c>
      <c r="M181" s="18" t="str">
        <f>'AFI-F3'!F46</f>
        <v/>
      </c>
      <c r="N181" s="18" t="str">
        <f>'AFI-F3'!G46</f>
        <v/>
      </c>
      <c r="O181" s="18" t="str">
        <f>'AFI-F3'!H46</f>
        <v>x</v>
      </c>
      <c r="P181" s="18" t="str">
        <f>'AFI-F3'!I46</f>
        <v/>
      </c>
      <c r="Q181" s="18">
        <f>'AFI-F3'!J46</f>
        <v>190</v>
      </c>
      <c r="R181" s="18" t="str">
        <f>'AFI-F3'!K46</f>
        <v/>
      </c>
      <c r="S181" s="18" t="str">
        <f>'AFI-F3'!L46</f>
        <v>PAGO</v>
      </c>
      <c r="T181" s="18" t="str">
        <f>'AFI-F3'!M46</f>
        <v>YAPE JL</v>
      </c>
      <c r="U181" s="18">
        <f>'AFI-F3'!N46</f>
        <v>190</v>
      </c>
      <c r="V181" s="18" t="str">
        <f>'AFI-F3'!O46</f>
        <v/>
      </c>
      <c r="W181" s="18" t="str">
        <f>'AFI-F3'!P46</f>
        <v>Katherine</v>
      </c>
      <c r="X181" s="18">
        <f>'AFI-F3'!Q46</f>
        <v>190</v>
      </c>
      <c r="Y181" s="1"/>
      <c r="Z181" s="1"/>
      <c r="AA181" s="1"/>
    </row>
    <row r="182">
      <c r="A182" s="1"/>
      <c r="B182" s="14">
        <f t="shared" si="7"/>
        <v>43</v>
      </c>
      <c r="C182" s="15" t="str">
        <f t="shared" si="1"/>
        <v>enero</v>
      </c>
      <c r="D182" s="15">
        <f t="shared" si="2"/>
        <v>3</v>
      </c>
      <c r="E182" s="16" t="str">
        <f t="shared" si="3"/>
        <v>martes</v>
      </c>
      <c r="F182" s="15">
        <f t="shared" si="4"/>
        <v>13</v>
      </c>
      <c r="G182" s="15" t="s">
        <v>23</v>
      </c>
      <c r="H182" s="3">
        <f>'AFI-F3'!$G$3</f>
        <v>45674</v>
      </c>
      <c r="I182" s="18">
        <f>'AFI-F3'!B47</f>
        <v>46035</v>
      </c>
      <c r="J182" s="18">
        <f>'AFI-F3'!C47</f>
        <v>10302642</v>
      </c>
      <c r="K182" s="18" t="str">
        <f>'AFI-F3'!D47</f>
        <v>Nestor Hugo Caceres Rosa
</v>
      </c>
      <c r="L182" s="18" t="str">
        <f>'AFI-F3'!E47</f>
        <v>caceresnestor869@gmail.com</v>
      </c>
      <c r="M182" s="18" t="str">
        <f>'AFI-F3'!F47</f>
        <v>SURCO</v>
      </c>
      <c r="N182" s="18" t="str">
        <f>'AFI-F3'!G47</f>
        <v>952 880 580</v>
      </c>
      <c r="O182" s="18" t="str">
        <f>'AFI-F3'!H47</f>
        <v/>
      </c>
      <c r="P182" s="18" t="str">
        <f>'AFI-F3'!I47</f>
        <v>X</v>
      </c>
      <c r="Q182" s="18">
        <f>'AFI-F3'!J47</f>
        <v>100</v>
      </c>
      <c r="R182" s="18">
        <f>'AFI-F3'!K47</f>
        <v>100</v>
      </c>
      <c r="S182" s="18" t="str">
        <f>'AFI-F3'!L47</f>
        <v>COBR</v>
      </c>
      <c r="T182" s="18" t="str">
        <f>'AFI-F3'!M47</f>
        <v>YAPE JL</v>
      </c>
      <c r="U182" s="18">
        <f>'AFI-F3'!N47</f>
        <v>100</v>
      </c>
      <c r="V182" s="18">
        <f>'AFI-F3'!O47</f>
        <v>100</v>
      </c>
      <c r="W182" s="18" t="str">
        <f>'AFI-F3'!P47</f>
        <v>Yadhira</v>
      </c>
      <c r="X182" s="18">
        <f>'AFI-F3'!Q47</f>
        <v>200</v>
      </c>
      <c r="Y182" s="1"/>
      <c r="Z182" s="1"/>
      <c r="AA182" s="1"/>
    </row>
    <row r="183">
      <c r="A183" s="1"/>
      <c r="B183" s="14">
        <f t="shared" si="7"/>
        <v>44</v>
      </c>
      <c r="C183" s="15" t="str">
        <f t="shared" si="1"/>
        <v>enero</v>
      </c>
      <c r="D183" s="15">
        <f t="shared" si="2"/>
        <v>3</v>
      </c>
      <c r="E183" s="16" t="str">
        <f t="shared" si="3"/>
        <v>martes</v>
      </c>
      <c r="F183" s="15">
        <f t="shared" si="4"/>
        <v>13</v>
      </c>
      <c r="G183" s="15" t="s">
        <v>23</v>
      </c>
      <c r="H183" s="3">
        <f>'AFI-F3'!$G$3</f>
        <v>45674</v>
      </c>
      <c r="I183" s="18">
        <f>'AFI-F3'!B48</f>
        <v>46035</v>
      </c>
      <c r="J183" s="18" t="str">
        <f>'AFI-F3'!C48</f>
        <v>⁠48272392</v>
      </c>
      <c r="K183" s="18" t="str">
        <f>'AFI-F3'!D48</f>
        <v>Samir Edu fiestas huamanchumo</v>
      </c>
      <c r="L183" s="18" t="str">
        <f>'AFI-F3'!E48</f>
        <v>samir010512@gmail.com</v>
      </c>
      <c r="M183" s="18" t="str">
        <f>'AFI-F3'!F48</f>
        <v/>
      </c>
      <c r="N183" s="18" t="str">
        <f>'AFI-F3'!G48</f>
        <v/>
      </c>
      <c r="O183" s="18" t="str">
        <f>'AFI-F3'!H48</f>
        <v>x</v>
      </c>
      <c r="P183" s="18" t="str">
        <f>'AFI-F3'!I48</f>
        <v>x</v>
      </c>
      <c r="Q183" s="18">
        <f>'AFI-F3'!J48</f>
        <v>360</v>
      </c>
      <c r="R183" s="18" t="str">
        <f>'AFI-F3'!K48</f>
        <v/>
      </c>
      <c r="S183" s="18" t="str">
        <f>'AFI-F3'!L48</f>
        <v>PAGO</v>
      </c>
      <c r="T183" s="18" t="str">
        <f>'AFI-F3'!M48</f>
        <v>YAPE JL</v>
      </c>
      <c r="U183" s="18">
        <f>'AFI-F3'!N48</f>
        <v>360</v>
      </c>
      <c r="V183" s="18" t="str">
        <f>'AFI-F3'!O48</f>
        <v/>
      </c>
      <c r="W183" s="18" t="str">
        <f>'AFI-F3'!P48</f>
        <v>Katherine</v>
      </c>
      <c r="X183" s="18">
        <f>'AFI-F3'!Q48</f>
        <v>360</v>
      </c>
      <c r="Y183" s="1"/>
      <c r="Z183" s="1"/>
      <c r="AA183" s="1"/>
    </row>
    <row r="184">
      <c r="A184" s="1"/>
      <c r="B184" s="14">
        <f t="shared" si="7"/>
        <v>45</v>
      </c>
      <c r="C184" s="15" t="str">
        <f t="shared" si="1"/>
        <v>enero</v>
      </c>
      <c r="D184" s="15">
        <f t="shared" si="2"/>
        <v>3</v>
      </c>
      <c r="E184" s="16" t="str">
        <f t="shared" si="3"/>
        <v>martes</v>
      </c>
      <c r="F184" s="15">
        <f t="shared" si="4"/>
        <v>13</v>
      </c>
      <c r="G184" s="15" t="s">
        <v>23</v>
      </c>
      <c r="H184" s="3">
        <f>'AFI-F3'!$G$3</f>
        <v>45674</v>
      </c>
      <c r="I184" s="18">
        <f>'AFI-F3'!B49</f>
        <v>46035</v>
      </c>
      <c r="J184" s="18">
        <f>'AFI-F3'!C49</f>
        <v>73136673</v>
      </c>
      <c r="K184" s="18" t="str">
        <f>'AFI-F3'!D49</f>
        <v>Samuel pariona</v>
      </c>
      <c r="L184" s="18" t="str">
        <f>'AFI-F3'!E49</f>
        <v>Samuel.pariona@urp.edu.pe</v>
      </c>
      <c r="M184" s="18" t="str">
        <f>'AFI-F3'!F49</f>
        <v>Lince</v>
      </c>
      <c r="N184" s="18" t="str">
        <f>'AFI-F3'!G49</f>
        <v/>
      </c>
      <c r="O184" s="18" t="str">
        <f>'AFI-F3'!H49</f>
        <v/>
      </c>
      <c r="P184" s="18" t="str">
        <f>'AFI-F3'!I49</f>
        <v>x</v>
      </c>
      <c r="Q184" s="18">
        <f>'AFI-F3'!J49</f>
        <v>190</v>
      </c>
      <c r="R184" s="18" t="str">
        <f>'AFI-F3'!K49</f>
        <v/>
      </c>
      <c r="S184" s="18" t="str">
        <f>'AFI-F3'!L49</f>
        <v>PAGO</v>
      </c>
      <c r="T184" s="18" t="str">
        <f>'AFI-F3'!M49</f>
        <v/>
      </c>
      <c r="U184" s="18">
        <f>'AFI-F3'!N49</f>
        <v>190</v>
      </c>
      <c r="V184" s="18" t="str">
        <f>'AFI-F3'!O49</f>
        <v/>
      </c>
      <c r="W184" s="18" t="str">
        <f>'AFI-F3'!P49</f>
        <v>Gabriela</v>
      </c>
      <c r="X184" s="18">
        <f>'AFI-F3'!Q49</f>
        <v>190</v>
      </c>
      <c r="Y184" s="1"/>
      <c r="Z184" s="1"/>
      <c r="AA184" s="1"/>
    </row>
    <row r="185">
      <c r="A185" s="1"/>
      <c r="B185" s="14">
        <f t="shared" si="7"/>
        <v>46</v>
      </c>
      <c r="C185" s="15" t="str">
        <f t="shared" si="1"/>
        <v>enero</v>
      </c>
      <c r="D185" s="15">
        <f t="shared" si="2"/>
        <v>3</v>
      </c>
      <c r="E185" s="16" t="str">
        <f t="shared" si="3"/>
        <v>martes</v>
      </c>
      <c r="F185" s="15">
        <f t="shared" si="4"/>
        <v>13</v>
      </c>
      <c r="G185" s="15" t="s">
        <v>23</v>
      </c>
      <c r="H185" s="3">
        <f>'AFI-F3'!$G$3</f>
        <v>45674</v>
      </c>
      <c r="I185" s="18">
        <f>'AFI-F3'!B50</f>
        <v>46035</v>
      </c>
      <c r="J185" s="18">
        <f>'AFI-F3'!C50</f>
        <v>73136674</v>
      </c>
      <c r="K185" s="18" t="str">
        <f>'AFI-F3'!D50</f>
        <v>Edwin pariona</v>
      </c>
      <c r="L185" s="18" t="str">
        <f>'AFI-F3'!E50</f>
        <v>Samuel.pariona@urp.edu.pe</v>
      </c>
      <c r="M185" s="18" t="str">
        <f>'AFI-F3'!F50</f>
        <v>San Miguel</v>
      </c>
      <c r="N185" s="18" t="str">
        <f>'AFI-F3'!G50</f>
        <v/>
      </c>
      <c r="O185" s="18" t="str">
        <f>'AFI-F3'!H50</f>
        <v/>
      </c>
      <c r="P185" s="18" t="str">
        <f>'AFI-F3'!I50</f>
        <v>x</v>
      </c>
      <c r="Q185" s="18">
        <f>'AFI-F3'!J50</f>
        <v>190</v>
      </c>
      <c r="R185" s="18" t="str">
        <f>'AFI-F3'!K50</f>
        <v/>
      </c>
      <c r="S185" s="18" t="str">
        <f>'AFI-F3'!L50</f>
        <v>PAGO</v>
      </c>
      <c r="T185" s="18" t="str">
        <f>'AFI-F3'!M50</f>
        <v/>
      </c>
      <c r="U185" s="18">
        <f>'AFI-F3'!N50</f>
        <v>190</v>
      </c>
      <c r="V185" s="18" t="str">
        <f>'AFI-F3'!O50</f>
        <v/>
      </c>
      <c r="W185" s="18" t="str">
        <f>'AFI-F3'!P50</f>
        <v>Gabriela</v>
      </c>
      <c r="X185" s="18">
        <f>'AFI-F3'!Q50</f>
        <v>190</v>
      </c>
      <c r="Y185" s="1"/>
      <c r="Z185" s="1"/>
      <c r="AA185" s="1"/>
    </row>
    <row r="186">
      <c r="A186" s="1"/>
      <c r="B186" s="14">
        <f t="shared" si="7"/>
        <v>47</v>
      </c>
      <c r="C186" s="15" t="str">
        <f t="shared" si="1"/>
        <v>enero</v>
      </c>
      <c r="D186" s="15">
        <f t="shared" si="2"/>
        <v>3</v>
      </c>
      <c r="E186" s="16" t="str">
        <f t="shared" si="3"/>
        <v>miércoles</v>
      </c>
      <c r="F186" s="15">
        <f t="shared" si="4"/>
        <v>14</v>
      </c>
      <c r="G186" s="15" t="s">
        <v>23</v>
      </c>
      <c r="H186" s="3">
        <f>'AFI-F3'!$G$3</f>
        <v>45674</v>
      </c>
      <c r="I186" s="18">
        <f>'AFI-F3'!B51</f>
        <v>46036</v>
      </c>
      <c r="J186" s="18">
        <f>'AFI-F3'!C51</f>
        <v>21134360</v>
      </c>
      <c r="K186" s="18" t="str">
        <f>'AFI-F3'!D51</f>
        <v>Ricardo Pando Córdova</v>
      </c>
      <c r="L186" s="18" t="str">
        <f>'AFI-F3'!E51</f>
        <v/>
      </c>
      <c r="M186" s="18" t="str">
        <f>'AFI-F3'!F51</f>
        <v>lima</v>
      </c>
      <c r="N186" s="18" t="str">
        <f>'AFI-F3'!G51</f>
        <v/>
      </c>
      <c r="O186" s="18" t="str">
        <f>'AFI-F3'!H51</f>
        <v>x</v>
      </c>
      <c r="P186" s="18" t="str">
        <f>'AFI-F3'!I51</f>
        <v>x</v>
      </c>
      <c r="Q186" s="18">
        <f>'AFI-F3'!J51</f>
        <v>200</v>
      </c>
      <c r="R186" s="18">
        <f>'AFI-F3'!K51</f>
        <v>180</v>
      </c>
      <c r="S186" s="18" t="str">
        <f>'AFI-F3'!L51</f>
        <v>COBR</v>
      </c>
      <c r="T186" s="18" t="str">
        <f>'AFI-F3'!M51</f>
        <v>YAPE JL</v>
      </c>
      <c r="U186" s="18">
        <f>'AFI-F3'!N51</f>
        <v>200</v>
      </c>
      <c r="V186" s="18">
        <f>'AFI-F3'!O51</f>
        <v>180</v>
      </c>
      <c r="W186" s="18" t="str">
        <f>'AFI-F3'!P51</f>
        <v>Katherine</v>
      </c>
      <c r="X186" s="18">
        <f>'AFI-F3'!Q51</f>
        <v>380</v>
      </c>
      <c r="Y186" s="1"/>
      <c r="Z186" s="1"/>
      <c r="AA186" s="1"/>
    </row>
    <row r="187">
      <c r="A187" s="1"/>
      <c r="B187" s="14">
        <f t="shared" si="7"/>
        <v>48</v>
      </c>
      <c r="C187" s="15" t="str">
        <f t="shared" si="1"/>
        <v>enero</v>
      </c>
      <c r="D187" s="15">
        <f t="shared" si="2"/>
        <v>3</v>
      </c>
      <c r="E187" s="16" t="str">
        <f t="shared" si="3"/>
        <v>miércoles</v>
      </c>
      <c r="F187" s="15">
        <f t="shared" si="4"/>
        <v>14</v>
      </c>
      <c r="G187" s="15" t="s">
        <v>23</v>
      </c>
      <c r="H187" s="3">
        <f>'AFI-F3'!$G$3</f>
        <v>45674</v>
      </c>
      <c r="I187" s="18">
        <f>'AFI-F3'!B52</f>
        <v>46036</v>
      </c>
      <c r="J187" s="18">
        <f>'AFI-F3'!C52</f>
        <v>72616355</v>
      </c>
      <c r="K187" s="18" t="str">
        <f>'AFI-F3'!D52</f>
        <v>Mihel La Torre Alarcon</v>
      </c>
      <c r="L187" s="18" t="str">
        <f>'AFI-F3'!E52</f>
        <v>Latorremihel@gmail.com</v>
      </c>
      <c r="M187" s="18" t="str">
        <f>'AFI-F3'!F52</f>
        <v>SAN BORJA</v>
      </c>
      <c r="N187" s="18" t="str">
        <f>'AFI-F3'!G52</f>
        <v>932 340 383</v>
      </c>
      <c r="O187" s="18" t="str">
        <f>'AFI-F3'!H52</f>
        <v>X</v>
      </c>
      <c r="P187" s="18" t="str">
        <f>'AFI-F3'!I52</f>
        <v/>
      </c>
      <c r="Q187" s="18" t="str">
        <f>'AFI-F3'!J52</f>
        <v/>
      </c>
      <c r="R187" s="18" t="str">
        <f>'AFI-F3'!K52</f>
        <v/>
      </c>
      <c r="S187" s="18" t="str">
        <f>'AFI-F3'!L52</f>
        <v/>
      </c>
      <c r="T187" s="18" t="str">
        <f>'AFI-F3'!M52</f>
        <v/>
      </c>
      <c r="U187" s="18" t="str">
        <f>'AFI-F3'!N52</f>
        <v/>
      </c>
      <c r="V187" s="18" t="str">
        <f>'AFI-F3'!O52</f>
        <v/>
      </c>
      <c r="W187" s="18" t="str">
        <f>'AFI-F3'!P52</f>
        <v/>
      </c>
      <c r="X187" s="18">
        <f>'AFI-F3'!Q52</f>
        <v>0</v>
      </c>
      <c r="Y187" s="1"/>
      <c r="Z187" s="1"/>
      <c r="AA187" s="1"/>
    </row>
    <row r="188">
      <c r="A188" s="1"/>
      <c r="B188" s="14">
        <f t="shared" si="7"/>
        <v>49</v>
      </c>
      <c r="C188" s="15" t="str">
        <f t="shared" si="1"/>
        <v>enero</v>
      </c>
      <c r="D188" s="15">
        <f t="shared" si="2"/>
        <v>3</v>
      </c>
      <c r="E188" s="16" t="str">
        <f t="shared" si="3"/>
        <v>miércoles</v>
      </c>
      <c r="F188" s="15">
        <f t="shared" si="4"/>
        <v>14</v>
      </c>
      <c r="G188" s="15" t="s">
        <v>23</v>
      </c>
      <c r="H188" s="3">
        <f>'AFI-F3'!$G$3</f>
        <v>45674</v>
      </c>
      <c r="I188" s="18">
        <f>'AFI-F3'!B53</f>
        <v>46036</v>
      </c>
      <c r="J188" s="18">
        <f>'AFI-F3'!C53</f>
        <v>48131311</v>
      </c>
      <c r="K188" s="18" t="str">
        <f>'AFI-F3'!D53</f>
        <v>Rubí Jiménez picoy </v>
      </c>
      <c r="L188" s="18" t="str">
        <f>'AFI-F3'!E53</f>
        <v/>
      </c>
      <c r="M188" s="18" t="str">
        <f>'AFI-F3'!F53</f>
        <v/>
      </c>
      <c r="N188" s="18" t="str">
        <f>'AFI-F3'!G53</f>
        <v/>
      </c>
      <c r="O188" s="18" t="str">
        <f>'AFI-F3'!H53</f>
        <v>x</v>
      </c>
      <c r="P188" s="18" t="str">
        <f>'AFI-F3'!I53</f>
        <v>x</v>
      </c>
      <c r="Q188" s="18">
        <f>'AFI-F3'!J53</f>
        <v>150</v>
      </c>
      <c r="R188" s="18">
        <f>'AFI-F3'!K53</f>
        <v>210</v>
      </c>
      <c r="S188" s="18" t="str">
        <f>'AFI-F3'!L53</f>
        <v>COBR</v>
      </c>
      <c r="T188" s="18" t="str">
        <f>'AFI-F3'!M53</f>
        <v>YAPE JL</v>
      </c>
      <c r="U188" s="18">
        <f>'AFI-F3'!N53</f>
        <v>150</v>
      </c>
      <c r="V188" s="18">
        <f>'AFI-F3'!O53</f>
        <v>210</v>
      </c>
      <c r="W188" s="18" t="str">
        <f>'AFI-F3'!P53</f>
        <v>Katherine</v>
      </c>
      <c r="X188" s="18">
        <f>'AFI-F3'!Q53</f>
        <v>360</v>
      </c>
      <c r="Y188" s="1"/>
      <c r="Z188" s="1"/>
      <c r="AA188" s="1"/>
    </row>
    <row r="189">
      <c r="A189" s="1"/>
      <c r="B189" s="14">
        <f t="shared" si="7"/>
        <v>50</v>
      </c>
      <c r="C189" s="15" t="str">
        <f t="shared" si="1"/>
        <v>enero</v>
      </c>
      <c r="D189" s="15">
        <f t="shared" si="2"/>
        <v>3</v>
      </c>
      <c r="E189" s="16" t="str">
        <f t="shared" si="3"/>
        <v>miércoles</v>
      </c>
      <c r="F189" s="15">
        <f t="shared" si="4"/>
        <v>14</v>
      </c>
      <c r="G189" s="15" t="s">
        <v>23</v>
      </c>
      <c r="H189" s="3">
        <f>'AFI-F3'!$G$3</f>
        <v>45674</v>
      </c>
      <c r="I189" s="18">
        <f>'AFI-F3'!B54</f>
        <v>46036</v>
      </c>
      <c r="J189" s="18">
        <f>'AFI-F3'!C54</f>
        <v>22314008</v>
      </c>
      <c r="K189" s="18" t="str">
        <f>'AFI-F3'!D54</f>
        <v>Elias Campos Sanchez.</v>
      </c>
      <c r="L189" s="18" t="str">
        <f>'AFI-F3'!E54</f>
        <v/>
      </c>
      <c r="M189" s="18" t="str">
        <f>'AFI-F3'!F54</f>
        <v/>
      </c>
      <c r="N189" s="18" t="str">
        <f>'AFI-F3'!G54</f>
        <v/>
      </c>
      <c r="O189" s="18" t="str">
        <f>'AFI-F3'!H54</f>
        <v/>
      </c>
      <c r="P189" s="18" t="str">
        <f>'AFI-F3'!I54</f>
        <v>x</v>
      </c>
      <c r="Q189" s="18">
        <f>'AFI-F3'!J54</f>
        <v>150</v>
      </c>
      <c r="R189" s="18">
        <f>'AFI-F3'!K54</f>
        <v>300</v>
      </c>
      <c r="S189" s="18" t="str">
        <f>'AFI-F3'!L54</f>
        <v>COBR</v>
      </c>
      <c r="T189" s="18" t="str">
        <f>'AFI-F3'!M54</f>
        <v>YAPE JL</v>
      </c>
      <c r="U189" s="18">
        <f>'AFI-F3'!N54</f>
        <v>150</v>
      </c>
      <c r="V189" s="18">
        <f>'AFI-F3'!O54</f>
        <v>300</v>
      </c>
      <c r="W189" s="18" t="str">
        <f>'AFI-F3'!P54</f>
        <v>Katherine</v>
      </c>
      <c r="X189" s="18">
        <f>'AFI-F3'!Q54</f>
        <v>450</v>
      </c>
      <c r="Y189" s="1"/>
      <c r="Z189" s="1"/>
      <c r="AA189" s="1"/>
    </row>
    <row r="190">
      <c r="A190" s="1"/>
      <c r="B190" s="14">
        <f t="shared" si="7"/>
        <v>51</v>
      </c>
      <c r="C190" s="15" t="str">
        <f t="shared" si="1"/>
        <v>enero</v>
      </c>
      <c r="D190" s="15">
        <f t="shared" si="2"/>
        <v>3</v>
      </c>
      <c r="E190" s="16" t="str">
        <f t="shared" si="3"/>
        <v>jueves</v>
      </c>
      <c r="F190" s="15">
        <f t="shared" si="4"/>
        <v>15</v>
      </c>
      <c r="G190" s="15" t="s">
        <v>23</v>
      </c>
      <c r="H190" s="3">
        <f>'AFI-F3'!$G$3</f>
        <v>45674</v>
      </c>
      <c r="I190" s="18">
        <f>'AFI-F3'!B55</f>
        <v>46037</v>
      </c>
      <c r="J190" s="18">
        <f>'AFI-F3'!C55</f>
        <v>41590522</v>
      </c>
      <c r="K190" s="18" t="str">
        <f>'AFI-F3'!D55</f>
        <v>Joao Solís Talaverano </v>
      </c>
      <c r="L190" s="18" t="str">
        <f>'AFI-F3'!E55</f>
        <v>Spawn.st41@gmail.com </v>
      </c>
      <c r="M190" s="18" t="str">
        <f>'AFI-F3'!F55</f>
        <v>AYACUCHO</v>
      </c>
      <c r="N190" s="18" t="str">
        <f>'AFI-F3'!G55</f>
        <v>932 006 620</v>
      </c>
      <c r="O190" s="18" t="str">
        <f>'AFI-F3'!H55</f>
        <v/>
      </c>
      <c r="P190" s="18" t="str">
        <f>'AFI-F3'!I55</f>
        <v>X</v>
      </c>
      <c r="Q190" s="18">
        <f>'AFI-F3'!J55</f>
        <v>185</v>
      </c>
      <c r="R190" s="18">
        <f>'AFI-F3'!K55</f>
        <v>150</v>
      </c>
      <c r="S190" s="18" t="str">
        <f>'AFI-F3'!L55</f>
        <v>COBR</v>
      </c>
      <c r="T190" s="18" t="str">
        <f>'AFI-F3'!M55</f>
        <v>YAPE JL</v>
      </c>
      <c r="U190" s="18">
        <f>'AFI-F3'!N55</f>
        <v>185</v>
      </c>
      <c r="V190" s="18">
        <f>'AFI-F3'!O55</f>
        <v>150</v>
      </c>
      <c r="W190" s="18" t="str">
        <f>'AFI-F3'!P55</f>
        <v>Greici</v>
      </c>
      <c r="X190" s="18">
        <f>'AFI-F3'!Q55</f>
        <v>335</v>
      </c>
      <c r="Y190" s="1"/>
      <c r="Z190" s="1"/>
      <c r="AA190" s="1"/>
    </row>
    <row r="191">
      <c r="A191" s="1"/>
      <c r="B191" s="14">
        <f t="shared" si="7"/>
        <v>52</v>
      </c>
      <c r="C191" s="15" t="str">
        <f t="shared" si="1"/>
        <v>enero</v>
      </c>
      <c r="D191" s="15">
        <f t="shared" si="2"/>
        <v>3</v>
      </c>
      <c r="E191" s="16" t="str">
        <f t="shared" si="3"/>
        <v>jueves</v>
      </c>
      <c r="F191" s="15">
        <f t="shared" si="4"/>
        <v>15</v>
      </c>
      <c r="G191" s="15" t="s">
        <v>23</v>
      </c>
      <c r="H191" s="3">
        <f>'AFI-F3'!$G$3</f>
        <v>45674</v>
      </c>
      <c r="I191" s="18">
        <f>'AFI-F3'!B56</f>
        <v>46037</v>
      </c>
      <c r="J191" s="18">
        <f>'AFI-F3'!C56</f>
        <v>42689847</v>
      </c>
      <c r="K191" s="18" t="str">
        <f>'AFI-F3'!D56</f>
        <v>Cisneros Montes de Oca </v>
      </c>
      <c r="L191" s="18" t="str">
        <f>'AFI-F3'!E56</f>
        <v>sergio14_14@hotmail.com</v>
      </c>
      <c r="M191" s="18" t="str">
        <f>'AFI-F3'!F56</f>
        <v>AYACUCHO</v>
      </c>
      <c r="N191" s="18" t="str">
        <f>'AFI-F3'!G56</f>
        <v/>
      </c>
      <c r="O191" s="18" t="str">
        <f>'AFI-F3'!H56</f>
        <v/>
      </c>
      <c r="P191" s="18" t="str">
        <f>'AFI-F3'!I56</f>
        <v>X</v>
      </c>
      <c r="Q191" s="18">
        <f>'AFI-F3'!J56</f>
        <v>185</v>
      </c>
      <c r="R191" s="18">
        <f>'AFI-F3'!K56</f>
        <v>150</v>
      </c>
      <c r="S191" s="18" t="str">
        <f>'AFI-F3'!L56</f>
        <v>COBR</v>
      </c>
      <c r="T191" s="18" t="str">
        <f>'AFI-F3'!M56</f>
        <v>YAPE JL</v>
      </c>
      <c r="U191" s="18">
        <f>'AFI-F3'!N56</f>
        <v>185</v>
      </c>
      <c r="V191" s="18">
        <f>'AFI-F3'!O56</f>
        <v>150</v>
      </c>
      <c r="W191" s="18" t="str">
        <f>'AFI-F3'!P56</f>
        <v>Greici</v>
      </c>
      <c r="X191" s="18">
        <f>'AFI-F3'!Q56</f>
        <v>335</v>
      </c>
      <c r="Y191" s="1"/>
      <c r="Z191" s="1"/>
      <c r="AA191" s="1"/>
    </row>
    <row r="192">
      <c r="A192" s="1"/>
      <c r="B192" s="14">
        <f t="shared" si="7"/>
        <v>53</v>
      </c>
      <c r="C192" s="15" t="str">
        <f t="shared" si="1"/>
        <v>diciembre</v>
      </c>
      <c r="D192" s="15">
        <f t="shared" si="2"/>
        <v>52</v>
      </c>
      <c r="E192" s="16" t="str">
        <f t="shared" si="3"/>
        <v>sábado</v>
      </c>
      <c r="F192" s="15">
        <f t="shared" si="4"/>
        <v>30</v>
      </c>
      <c r="G192" s="15" t="s">
        <v>23</v>
      </c>
      <c r="H192" s="3">
        <f>'AFI-F3'!$G$3</f>
        <v>45674</v>
      </c>
      <c r="I192" s="18" t="str">
        <f>'AFI-F3'!B57</f>
        <v/>
      </c>
      <c r="J192" s="18" t="str">
        <f>'AFI-F3'!C57</f>
        <v/>
      </c>
      <c r="K192" s="18" t="str">
        <f>'AFI-F3'!D57</f>
        <v/>
      </c>
      <c r="L192" s="18" t="str">
        <f>'AFI-F3'!E57</f>
        <v/>
      </c>
      <c r="M192" s="18" t="str">
        <f>'AFI-F3'!F57</f>
        <v/>
      </c>
      <c r="N192" s="18" t="str">
        <f>'AFI-F3'!G57</f>
        <v/>
      </c>
      <c r="O192" s="18" t="str">
        <f>'AFI-F3'!H57</f>
        <v/>
      </c>
      <c r="P192" s="18" t="str">
        <f>'AFI-F3'!I57</f>
        <v/>
      </c>
      <c r="Q192" s="18" t="str">
        <f>'AFI-F3'!J57</f>
        <v/>
      </c>
      <c r="R192" s="18" t="str">
        <f>'AFI-F3'!K57</f>
        <v/>
      </c>
      <c r="S192" s="18" t="str">
        <f>'AFI-F3'!L57</f>
        <v/>
      </c>
      <c r="T192" s="18" t="str">
        <f>'AFI-F3'!M57</f>
        <v/>
      </c>
      <c r="U192" s="18" t="str">
        <f>'AFI-F3'!N57</f>
        <v/>
      </c>
      <c r="V192" s="18" t="str">
        <f>'AFI-F3'!O57</f>
        <v/>
      </c>
      <c r="W192" s="18" t="str">
        <f>'AFI-F3'!P57</f>
        <v/>
      </c>
      <c r="X192" s="18">
        <f>'AFI-F3'!Q57</f>
        <v>0</v>
      </c>
      <c r="Y192" s="1"/>
      <c r="Z192" s="1"/>
      <c r="AA192" s="1"/>
    </row>
    <row r="193">
      <c r="A193" s="1"/>
      <c r="B193" s="14">
        <f t="shared" si="7"/>
        <v>54</v>
      </c>
      <c r="C193" s="15" t="str">
        <f t="shared" si="1"/>
        <v>diciembre</v>
      </c>
      <c r="D193" s="15">
        <f t="shared" si="2"/>
        <v>52</v>
      </c>
      <c r="E193" s="16" t="str">
        <f t="shared" si="3"/>
        <v>sábado</v>
      </c>
      <c r="F193" s="15">
        <f t="shared" si="4"/>
        <v>30</v>
      </c>
      <c r="G193" s="15" t="s">
        <v>23</v>
      </c>
      <c r="H193" s="3">
        <f>'AFI-F3'!$G$3</f>
        <v>45674</v>
      </c>
      <c r="I193" s="18" t="str">
        <f>'AFI-F3'!B58</f>
        <v/>
      </c>
      <c r="J193" s="18" t="str">
        <f>'AFI-F3'!C58</f>
        <v/>
      </c>
      <c r="K193" s="18" t="str">
        <f>'AFI-F3'!D58</f>
        <v/>
      </c>
      <c r="L193" s="18" t="str">
        <f>'AFI-F3'!E58</f>
        <v/>
      </c>
      <c r="M193" s="18" t="str">
        <f>'AFI-F3'!F58</f>
        <v/>
      </c>
      <c r="N193" s="18" t="str">
        <f>'AFI-F3'!G58</f>
        <v/>
      </c>
      <c r="O193" s="18" t="str">
        <f>'AFI-F3'!H58</f>
        <v/>
      </c>
      <c r="P193" s="18" t="str">
        <f>'AFI-F3'!I58</f>
        <v/>
      </c>
      <c r="Q193" s="18" t="str">
        <f>'AFI-F3'!J58</f>
        <v/>
      </c>
      <c r="R193" s="18" t="str">
        <f>'AFI-F3'!K58</f>
        <v/>
      </c>
      <c r="S193" s="18" t="str">
        <f>'AFI-F3'!L58</f>
        <v/>
      </c>
      <c r="T193" s="18" t="str">
        <f>'AFI-F3'!M58</f>
        <v/>
      </c>
      <c r="U193" s="18" t="str">
        <f>'AFI-F3'!N58</f>
        <v/>
      </c>
      <c r="V193" s="18" t="str">
        <f>'AFI-F3'!O58</f>
        <v/>
      </c>
      <c r="W193" s="18" t="str">
        <f>'AFI-F3'!P58</f>
        <v/>
      </c>
      <c r="X193" s="18">
        <f>'AFI-F3'!Q58</f>
        <v>0</v>
      </c>
      <c r="Y193" s="1"/>
      <c r="Z193" s="1"/>
      <c r="AA193" s="1"/>
    </row>
    <row r="194">
      <c r="A194" s="1"/>
      <c r="B194" s="14">
        <f t="shared" si="7"/>
        <v>55</v>
      </c>
      <c r="C194" s="15" t="str">
        <f t="shared" si="1"/>
        <v>diciembre</v>
      </c>
      <c r="D194" s="15">
        <f t="shared" si="2"/>
        <v>52</v>
      </c>
      <c r="E194" s="16" t="str">
        <f t="shared" si="3"/>
        <v>sábado</v>
      </c>
      <c r="F194" s="15">
        <f t="shared" si="4"/>
        <v>30</v>
      </c>
      <c r="G194" s="15" t="s">
        <v>23</v>
      </c>
      <c r="H194" s="3">
        <f>'AFI-F3'!$G$3</f>
        <v>45674</v>
      </c>
      <c r="I194" s="18" t="str">
        <f>'AFI-F3'!B59</f>
        <v/>
      </c>
      <c r="J194" s="18" t="str">
        <f>'AFI-F3'!C59</f>
        <v/>
      </c>
      <c r="K194" s="18" t="str">
        <f>'AFI-F3'!D59</f>
        <v/>
      </c>
      <c r="L194" s="18" t="str">
        <f>'AFI-F3'!E59</f>
        <v/>
      </c>
      <c r="M194" s="18" t="str">
        <f>'AFI-F3'!F59</f>
        <v/>
      </c>
      <c r="N194" s="18" t="str">
        <f>'AFI-F3'!G59</f>
        <v/>
      </c>
      <c r="O194" s="18" t="str">
        <f>'AFI-F3'!H59</f>
        <v/>
      </c>
      <c r="P194" s="18" t="str">
        <f>'AFI-F3'!I59</f>
        <v/>
      </c>
      <c r="Q194" s="18" t="str">
        <f>'AFI-F3'!J59</f>
        <v/>
      </c>
      <c r="R194" s="18" t="str">
        <f>'AFI-F3'!K59</f>
        <v/>
      </c>
      <c r="S194" s="18" t="str">
        <f>'AFI-F3'!L59</f>
        <v/>
      </c>
      <c r="T194" s="18" t="str">
        <f>'AFI-F3'!M59</f>
        <v/>
      </c>
      <c r="U194" s="18" t="str">
        <f>'AFI-F3'!N59</f>
        <v/>
      </c>
      <c r="V194" s="18" t="str">
        <f>'AFI-F3'!O59</f>
        <v/>
      </c>
      <c r="W194" s="18" t="str">
        <f>'AFI-F3'!P59</f>
        <v/>
      </c>
      <c r="X194" s="18">
        <f>'AFI-F3'!Q59</f>
        <v>0</v>
      </c>
      <c r="Y194" s="1"/>
      <c r="Z194" s="1"/>
      <c r="AA194" s="1"/>
    </row>
    <row r="195">
      <c r="A195" s="1"/>
      <c r="B195" s="14">
        <f t="shared" si="7"/>
        <v>56</v>
      </c>
      <c r="C195" s="15" t="str">
        <f t="shared" si="1"/>
        <v>diciembre</v>
      </c>
      <c r="D195" s="15">
        <f t="shared" si="2"/>
        <v>52</v>
      </c>
      <c r="E195" s="16" t="str">
        <f t="shared" si="3"/>
        <v>sábado</v>
      </c>
      <c r="F195" s="15">
        <f t="shared" si="4"/>
        <v>30</v>
      </c>
      <c r="G195" s="15" t="s">
        <v>23</v>
      </c>
      <c r="H195" s="3">
        <f>'AFI-F3'!$G$3</f>
        <v>45674</v>
      </c>
      <c r="I195" s="18" t="str">
        <f>'AFI-F3'!B60</f>
        <v/>
      </c>
      <c r="J195" s="18" t="str">
        <f>'AFI-F3'!C60</f>
        <v/>
      </c>
      <c r="K195" s="18" t="str">
        <f>'AFI-F3'!D60</f>
        <v/>
      </c>
      <c r="L195" s="18" t="str">
        <f>'AFI-F3'!E60</f>
        <v/>
      </c>
      <c r="M195" s="18" t="str">
        <f>'AFI-F3'!F60</f>
        <v/>
      </c>
      <c r="N195" s="18" t="str">
        <f>'AFI-F3'!G60</f>
        <v/>
      </c>
      <c r="O195" s="18" t="str">
        <f>'AFI-F3'!H60</f>
        <v/>
      </c>
      <c r="P195" s="18" t="str">
        <f>'AFI-F3'!I60</f>
        <v/>
      </c>
      <c r="Q195" s="18" t="str">
        <f>'AFI-F3'!J60</f>
        <v/>
      </c>
      <c r="R195" s="18" t="str">
        <f>'AFI-F3'!K60</f>
        <v/>
      </c>
      <c r="S195" s="18" t="str">
        <f>'AFI-F3'!L60</f>
        <v/>
      </c>
      <c r="T195" s="18" t="str">
        <f>'AFI-F3'!M60</f>
        <v/>
      </c>
      <c r="U195" s="18" t="str">
        <f>'AFI-F3'!N60</f>
        <v/>
      </c>
      <c r="V195" s="18" t="str">
        <f>'AFI-F3'!O60</f>
        <v/>
      </c>
      <c r="W195" s="18" t="str">
        <f>'AFI-F3'!P60</f>
        <v/>
      </c>
      <c r="X195" s="18">
        <f>'AFI-F3'!Q60</f>
        <v>0</v>
      </c>
      <c r="Y195" s="1"/>
      <c r="Z195" s="1"/>
      <c r="AA195" s="1"/>
    </row>
    <row r="196">
      <c r="A196" s="1"/>
      <c r="B196" s="14">
        <f t="shared" si="7"/>
        <v>57</v>
      </c>
      <c r="C196" s="15" t="str">
        <f t="shared" si="1"/>
        <v>diciembre</v>
      </c>
      <c r="D196" s="15">
        <f t="shared" si="2"/>
        <v>52</v>
      </c>
      <c r="E196" s="16" t="str">
        <f t="shared" si="3"/>
        <v>sábado</v>
      </c>
      <c r="F196" s="15">
        <f t="shared" si="4"/>
        <v>30</v>
      </c>
      <c r="G196" s="15" t="s">
        <v>23</v>
      </c>
      <c r="H196" s="3">
        <f>'AFI-F3'!$G$3</f>
        <v>45674</v>
      </c>
      <c r="I196" s="18" t="str">
        <f>'AFI-F3'!B61</f>
        <v/>
      </c>
      <c r="J196" s="18" t="str">
        <f>'AFI-F3'!C61</f>
        <v/>
      </c>
      <c r="K196" s="18" t="str">
        <f>'AFI-F3'!D61</f>
        <v/>
      </c>
      <c r="L196" s="18" t="str">
        <f>'AFI-F3'!E61</f>
        <v/>
      </c>
      <c r="M196" s="18" t="str">
        <f>'AFI-F3'!F61</f>
        <v/>
      </c>
      <c r="N196" s="18" t="str">
        <f>'AFI-F3'!G61</f>
        <v/>
      </c>
      <c r="O196" s="18" t="str">
        <f>'AFI-F3'!H61</f>
        <v/>
      </c>
      <c r="P196" s="18" t="str">
        <f>'AFI-F3'!I61</f>
        <v/>
      </c>
      <c r="Q196" s="18" t="str">
        <f>'AFI-F3'!J61</f>
        <v/>
      </c>
      <c r="R196" s="18" t="str">
        <f>'AFI-F3'!K61</f>
        <v/>
      </c>
      <c r="S196" s="18" t="str">
        <f>'AFI-F3'!L61</f>
        <v/>
      </c>
      <c r="T196" s="18" t="str">
        <f>'AFI-F3'!M61</f>
        <v/>
      </c>
      <c r="U196" s="18" t="str">
        <f>'AFI-F3'!N61</f>
        <v/>
      </c>
      <c r="V196" s="18" t="str">
        <f>'AFI-F3'!O61</f>
        <v/>
      </c>
      <c r="W196" s="18" t="str">
        <f>'AFI-F3'!P61</f>
        <v/>
      </c>
      <c r="X196" s="18">
        <f>'AFI-F3'!Q61</f>
        <v>0</v>
      </c>
      <c r="Y196" s="1"/>
      <c r="Z196" s="1"/>
      <c r="AA196" s="1"/>
    </row>
    <row r="197">
      <c r="A197" s="1"/>
      <c r="B197" s="14">
        <f t="shared" si="7"/>
        <v>58</v>
      </c>
      <c r="C197" s="15" t="str">
        <f t="shared" si="1"/>
        <v>diciembre</v>
      </c>
      <c r="D197" s="15">
        <f t="shared" si="2"/>
        <v>52</v>
      </c>
      <c r="E197" s="16" t="str">
        <f t="shared" si="3"/>
        <v>sábado</v>
      </c>
      <c r="F197" s="15">
        <f t="shared" si="4"/>
        <v>30</v>
      </c>
      <c r="G197" s="15" t="s">
        <v>23</v>
      </c>
      <c r="H197" s="3">
        <f>'AFI-F3'!$G$3</f>
        <v>45674</v>
      </c>
      <c r="I197" s="18" t="str">
        <f>'AFI-F3'!B62</f>
        <v/>
      </c>
      <c r="J197" s="18" t="str">
        <f>'AFI-F3'!C62</f>
        <v/>
      </c>
      <c r="K197" s="18" t="str">
        <f>'AFI-F3'!D62</f>
        <v/>
      </c>
      <c r="L197" s="18" t="str">
        <f>'AFI-F3'!E62</f>
        <v/>
      </c>
      <c r="M197" s="18" t="str">
        <f>'AFI-F3'!F62</f>
        <v/>
      </c>
      <c r="N197" s="18" t="str">
        <f>'AFI-F3'!G62</f>
        <v/>
      </c>
      <c r="O197" s="18" t="str">
        <f>'AFI-F3'!H62</f>
        <v/>
      </c>
      <c r="P197" s="18" t="str">
        <f>'AFI-F3'!I62</f>
        <v/>
      </c>
      <c r="Q197" s="18" t="str">
        <f>'AFI-F3'!J62</f>
        <v/>
      </c>
      <c r="R197" s="18" t="str">
        <f>'AFI-F3'!K62</f>
        <v/>
      </c>
      <c r="S197" s="18" t="str">
        <f>'AFI-F3'!L62</f>
        <v/>
      </c>
      <c r="T197" s="18" t="str">
        <f>'AFI-F3'!M62</f>
        <v/>
      </c>
      <c r="U197" s="18" t="str">
        <f>'AFI-F3'!N62</f>
        <v/>
      </c>
      <c r="V197" s="18" t="str">
        <f>'AFI-F3'!O62</f>
        <v/>
      </c>
      <c r="W197" s="18" t="str">
        <f>'AFI-F3'!P62</f>
        <v/>
      </c>
      <c r="X197" s="18">
        <f>'AFI-F3'!Q62</f>
        <v>0</v>
      </c>
      <c r="Y197" s="1"/>
      <c r="Z197" s="1"/>
      <c r="AA197" s="1"/>
    </row>
    <row r="198">
      <c r="A198" s="1"/>
      <c r="B198" s="14">
        <f t="shared" si="7"/>
        <v>59</v>
      </c>
      <c r="C198" s="15" t="str">
        <f t="shared" si="1"/>
        <v>diciembre</v>
      </c>
      <c r="D198" s="15">
        <f t="shared" si="2"/>
        <v>52</v>
      </c>
      <c r="E198" s="16" t="str">
        <f t="shared" si="3"/>
        <v>sábado</v>
      </c>
      <c r="F198" s="15">
        <f t="shared" si="4"/>
        <v>30</v>
      </c>
      <c r="G198" s="15" t="s">
        <v>23</v>
      </c>
      <c r="H198" s="3">
        <f>'AFI-F3'!$G$3</f>
        <v>45674</v>
      </c>
      <c r="I198" s="18" t="str">
        <f>'AFI-F3'!B63</f>
        <v/>
      </c>
      <c r="J198" s="18" t="str">
        <f>'AFI-F3'!C63</f>
        <v/>
      </c>
      <c r="K198" s="18" t="str">
        <f>'AFI-F3'!D63</f>
        <v/>
      </c>
      <c r="L198" s="18" t="str">
        <f>'AFI-F3'!E63</f>
        <v/>
      </c>
      <c r="M198" s="18" t="str">
        <f>'AFI-F3'!F63</f>
        <v/>
      </c>
      <c r="N198" s="18" t="str">
        <f>'AFI-F3'!G63</f>
        <v/>
      </c>
      <c r="O198" s="18" t="str">
        <f>'AFI-F3'!H63</f>
        <v/>
      </c>
      <c r="P198" s="18" t="str">
        <f>'AFI-F3'!I63</f>
        <v/>
      </c>
      <c r="Q198" s="18" t="str">
        <f>'AFI-F3'!J63</f>
        <v/>
      </c>
      <c r="R198" s="18" t="str">
        <f>'AFI-F3'!K63</f>
        <v/>
      </c>
      <c r="S198" s="18" t="str">
        <f>'AFI-F3'!L63</f>
        <v/>
      </c>
      <c r="T198" s="18" t="str">
        <f>'AFI-F3'!M63</f>
        <v/>
      </c>
      <c r="U198" s="18" t="str">
        <f>'AFI-F3'!N63</f>
        <v/>
      </c>
      <c r="V198" s="18" t="str">
        <f>'AFI-F3'!O63</f>
        <v/>
      </c>
      <c r="W198" s="18" t="str">
        <f>'AFI-F3'!P63</f>
        <v/>
      </c>
      <c r="X198" s="18">
        <f>'AFI-F3'!Q63</f>
        <v>0</v>
      </c>
      <c r="Y198" s="1"/>
      <c r="Z198" s="1"/>
      <c r="AA198" s="1"/>
    </row>
    <row r="199">
      <c r="A199" s="1"/>
      <c r="B199" s="14">
        <f t="shared" si="7"/>
        <v>60</v>
      </c>
      <c r="C199" s="15" t="str">
        <f t="shared" si="1"/>
        <v>diciembre</v>
      </c>
      <c r="D199" s="15">
        <f t="shared" si="2"/>
        <v>52</v>
      </c>
      <c r="E199" s="16" t="str">
        <f t="shared" si="3"/>
        <v>sábado</v>
      </c>
      <c r="F199" s="15">
        <f t="shared" si="4"/>
        <v>30</v>
      </c>
      <c r="G199" s="15" t="s">
        <v>23</v>
      </c>
      <c r="H199" s="3">
        <f>'AFI-F3'!$G$3</f>
        <v>45674</v>
      </c>
      <c r="I199" s="18" t="str">
        <f>'AFI-F3'!B64</f>
        <v/>
      </c>
      <c r="J199" s="18" t="str">
        <f>'AFI-F3'!C64</f>
        <v/>
      </c>
      <c r="K199" s="18" t="str">
        <f>'AFI-F3'!D64</f>
        <v/>
      </c>
      <c r="L199" s="18" t="str">
        <f>'AFI-F3'!E64</f>
        <v/>
      </c>
      <c r="M199" s="18" t="str">
        <f>'AFI-F3'!F64</f>
        <v/>
      </c>
      <c r="N199" s="18" t="str">
        <f>'AFI-F3'!G64</f>
        <v/>
      </c>
      <c r="O199" s="18" t="str">
        <f>'AFI-F3'!H64</f>
        <v/>
      </c>
      <c r="P199" s="18" t="str">
        <f>'AFI-F3'!I64</f>
        <v/>
      </c>
      <c r="Q199" s="18" t="str">
        <f>'AFI-F3'!J64</f>
        <v/>
      </c>
      <c r="R199" s="18" t="str">
        <f>'AFI-F3'!K64</f>
        <v/>
      </c>
      <c r="S199" s="18" t="str">
        <f>'AFI-F3'!L64</f>
        <v/>
      </c>
      <c r="T199" s="18" t="str">
        <f>'AFI-F3'!M64</f>
        <v/>
      </c>
      <c r="U199" s="18" t="str">
        <f>'AFI-F3'!N64</f>
        <v/>
      </c>
      <c r="V199" s="18" t="str">
        <f>'AFI-F3'!O64</f>
        <v/>
      </c>
      <c r="W199" s="18" t="str">
        <f>'AFI-F3'!P64</f>
        <v/>
      </c>
      <c r="X199" s="18">
        <f>'AFI-F3'!Q64</f>
        <v>0</v>
      </c>
      <c r="Y199" s="1"/>
      <c r="Z199" s="1"/>
      <c r="AA199" s="1"/>
    </row>
    <row r="200">
      <c r="A200" s="1"/>
      <c r="B200" s="14">
        <f t="shared" si="7"/>
        <v>61</v>
      </c>
      <c r="C200" s="15" t="str">
        <f t="shared" si="1"/>
        <v>diciembre</v>
      </c>
      <c r="D200" s="15">
        <f t="shared" si="2"/>
        <v>52</v>
      </c>
      <c r="E200" s="16" t="str">
        <f t="shared" si="3"/>
        <v>sábado</v>
      </c>
      <c r="F200" s="15">
        <f t="shared" si="4"/>
        <v>30</v>
      </c>
      <c r="G200" s="15" t="s">
        <v>23</v>
      </c>
      <c r="H200" s="3">
        <f>'AFI-F3'!$G$3</f>
        <v>45674</v>
      </c>
      <c r="I200" s="18" t="str">
        <f>'AFI-F3'!B65</f>
        <v/>
      </c>
      <c r="J200" s="18" t="str">
        <f>'AFI-F3'!C65</f>
        <v/>
      </c>
      <c r="K200" s="18" t="str">
        <f>'AFI-F3'!D65</f>
        <v/>
      </c>
      <c r="L200" s="18" t="str">
        <f>'AFI-F3'!E65</f>
        <v/>
      </c>
      <c r="M200" s="18" t="str">
        <f>'AFI-F3'!F65</f>
        <v/>
      </c>
      <c r="N200" s="18" t="str">
        <f>'AFI-F3'!G65</f>
        <v/>
      </c>
      <c r="O200" s="18" t="str">
        <f>'AFI-F3'!H65</f>
        <v/>
      </c>
      <c r="P200" s="18" t="str">
        <f>'AFI-F3'!I65</f>
        <v/>
      </c>
      <c r="Q200" s="18" t="str">
        <f>'AFI-F3'!J65</f>
        <v/>
      </c>
      <c r="R200" s="18" t="str">
        <f>'AFI-F3'!K65</f>
        <v/>
      </c>
      <c r="S200" s="18" t="str">
        <f>'AFI-F3'!L65</f>
        <v/>
      </c>
      <c r="T200" s="18" t="str">
        <f>'AFI-F3'!M65</f>
        <v/>
      </c>
      <c r="U200" s="18" t="str">
        <f>'AFI-F3'!N65</f>
        <v/>
      </c>
      <c r="V200" s="18" t="str">
        <f>'AFI-F3'!O65</f>
        <v/>
      </c>
      <c r="W200" s="18" t="str">
        <f>'AFI-F3'!P65</f>
        <v/>
      </c>
      <c r="X200" s="18">
        <f>'AFI-F3'!Q65</f>
        <v>0</v>
      </c>
      <c r="Y200" s="1"/>
      <c r="Z200" s="1"/>
      <c r="AA200" s="1"/>
    </row>
    <row r="201">
      <c r="A201" s="1"/>
      <c r="B201" s="14">
        <f t="shared" si="7"/>
        <v>62</v>
      </c>
      <c r="C201" s="15" t="str">
        <f t="shared" si="1"/>
        <v>diciembre</v>
      </c>
      <c r="D201" s="15">
        <f t="shared" si="2"/>
        <v>52</v>
      </c>
      <c r="E201" s="16" t="str">
        <f t="shared" si="3"/>
        <v>sábado</v>
      </c>
      <c r="F201" s="15">
        <f t="shared" si="4"/>
        <v>30</v>
      </c>
      <c r="G201" s="15" t="s">
        <v>23</v>
      </c>
      <c r="H201" s="3">
        <f>'AFI-F3'!$G$3</f>
        <v>45674</v>
      </c>
      <c r="I201" s="18" t="str">
        <f>'AFI-F3'!B66</f>
        <v/>
      </c>
      <c r="J201" s="18" t="str">
        <f>'AFI-F3'!C66</f>
        <v/>
      </c>
      <c r="K201" s="18" t="str">
        <f>'AFI-F3'!D66</f>
        <v/>
      </c>
      <c r="L201" s="18" t="str">
        <f>'AFI-F3'!E66</f>
        <v/>
      </c>
      <c r="M201" s="18" t="str">
        <f>'AFI-F3'!F66</f>
        <v/>
      </c>
      <c r="N201" s="18" t="str">
        <f>'AFI-F3'!G66</f>
        <v/>
      </c>
      <c r="O201" s="18" t="str">
        <f>'AFI-F3'!H66</f>
        <v/>
      </c>
      <c r="P201" s="18" t="str">
        <f>'AFI-F3'!I66</f>
        <v/>
      </c>
      <c r="Q201" s="18" t="str">
        <f>'AFI-F3'!J66</f>
        <v/>
      </c>
      <c r="R201" s="18" t="str">
        <f>'AFI-F3'!K66</f>
        <v/>
      </c>
      <c r="S201" s="18" t="str">
        <f>'AFI-F3'!L66</f>
        <v/>
      </c>
      <c r="T201" s="18" t="str">
        <f>'AFI-F3'!M66</f>
        <v/>
      </c>
      <c r="U201" s="18" t="str">
        <f>'AFI-F3'!N66</f>
        <v/>
      </c>
      <c r="V201" s="18" t="str">
        <f>'AFI-F3'!O66</f>
        <v/>
      </c>
      <c r="W201" s="18" t="str">
        <f>'AFI-F3'!P66</f>
        <v/>
      </c>
      <c r="X201" s="18">
        <f>'AFI-F3'!Q66</f>
        <v>0</v>
      </c>
      <c r="Y201" s="1"/>
      <c r="Z201" s="1"/>
      <c r="AA201" s="1"/>
    </row>
    <row r="202">
      <c r="A202" s="1"/>
      <c r="B202" s="14">
        <f t="shared" si="7"/>
        <v>63</v>
      </c>
      <c r="C202" s="15" t="str">
        <f t="shared" si="1"/>
        <v>diciembre</v>
      </c>
      <c r="D202" s="15">
        <f t="shared" si="2"/>
        <v>52</v>
      </c>
      <c r="E202" s="16" t="str">
        <f t="shared" si="3"/>
        <v>sábado</v>
      </c>
      <c r="F202" s="15">
        <f t="shared" si="4"/>
        <v>30</v>
      </c>
      <c r="G202" s="15" t="s">
        <v>23</v>
      </c>
      <c r="H202" s="3">
        <f>'AFI-F3'!$G$3</f>
        <v>45674</v>
      </c>
      <c r="I202" s="18" t="str">
        <f>'AFI-F3'!B67</f>
        <v/>
      </c>
      <c r="J202" s="18" t="str">
        <f>'AFI-F3'!C67</f>
        <v/>
      </c>
      <c r="K202" s="18" t="str">
        <f>'AFI-F3'!D67</f>
        <v/>
      </c>
      <c r="L202" s="18" t="str">
        <f>'AFI-F3'!E67</f>
        <v/>
      </c>
      <c r="M202" s="18" t="str">
        <f>'AFI-F3'!F67</f>
        <v/>
      </c>
      <c r="N202" s="18" t="str">
        <f>'AFI-F3'!G67</f>
        <v/>
      </c>
      <c r="O202" s="18" t="str">
        <f>'AFI-F3'!H67</f>
        <v/>
      </c>
      <c r="P202" s="18" t="str">
        <f>'AFI-F3'!I67</f>
        <v/>
      </c>
      <c r="Q202" s="18" t="str">
        <f>'AFI-F3'!J67</f>
        <v/>
      </c>
      <c r="R202" s="18" t="str">
        <f>'AFI-F3'!K67</f>
        <v/>
      </c>
      <c r="S202" s="18" t="str">
        <f>'AFI-F3'!L67</f>
        <v/>
      </c>
      <c r="T202" s="18" t="str">
        <f>'AFI-F3'!M67</f>
        <v/>
      </c>
      <c r="U202" s="18" t="str">
        <f>'AFI-F3'!N67</f>
        <v/>
      </c>
      <c r="V202" s="18" t="str">
        <f>'AFI-F3'!O67</f>
        <v/>
      </c>
      <c r="W202" s="18" t="str">
        <f>'AFI-F3'!P67</f>
        <v/>
      </c>
      <c r="X202" s="18">
        <f>'AFI-F3'!Q67</f>
        <v>0</v>
      </c>
      <c r="Y202" s="1"/>
      <c r="Z202" s="1"/>
      <c r="AA202" s="1"/>
    </row>
    <row r="203">
      <c r="A203" s="1"/>
      <c r="B203" s="14">
        <f t="shared" si="7"/>
        <v>64</v>
      </c>
      <c r="C203" s="15" t="str">
        <f t="shared" si="1"/>
        <v>diciembre</v>
      </c>
      <c r="D203" s="15">
        <f t="shared" si="2"/>
        <v>52</v>
      </c>
      <c r="E203" s="16" t="str">
        <f t="shared" si="3"/>
        <v>sábado</v>
      </c>
      <c r="F203" s="15">
        <f t="shared" si="4"/>
        <v>30</v>
      </c>
      <c r="G203" s="15" t="s">
        <v>23</v>
      </c>
      <c r="H203" s="3">
        <f>'AFI-F3'!$G$3</f>
        <v>45674</v>
      </c>
      <c r="I203" s="18" t="str">
        <f>'AFI-F3'!B68</f>
        <v/>
      </c>
      <c r="J203" s="18" t="str">
        <f>'AFI-F3'!C68</f>
        <v/>
      </c>
      <c r="K203" s="18" t="str">
        <f>'AFI-F3'!D68</f>
        <v/>
      </c>
      <c r="L203" s="18" t="str">
        <f>'AFI-F3'!E68</f>
        <v/>
      </c>
      <c r="M203" s="18" t="str">
        <f>'AFI-F3'!F68</f>
        <v/>
      </c>
      <c r="N203" s="18" t="str">
        <f>'AFI-F3'!G68</f>
        <v/>
      </c>
      <c r="O203" s="18" t="str">
        <f>'AFI-F3'!H68</f>
        <v/>
      </c>
      <c r="P203" s="18" t="str">
        <f>'AFI-F3'!I68</f>
        <v/>
      </c>
      <c r="Q203" s="18" t="str">
        <f>'AFI-F3'!J68</f>
        <v/>
      </c>
      <c r="R203" s="18" t="str">
        <f>'AFI-F3'!K68</f>
        <v/>
      </c>
      <c r="S203" s="18" t="str">
        <f>'AFI-F3'!L68</f>
        <v/>
      </c>
      <c r="T203" s="18" t="str">
        <f>'AFI-F3'!M68</f>
        <v/>
      </c>
      <c r="U203" s="18" t="str">
        <f>'AFI-F3'!N68</f>
        <v/>
      </c>
      <c r="V203" s="18" t="str">
        <f>'AFI-F3'!O68</f>
        <v/>
      </c>
      <c r="W203" s="18" t="str">
        <f>'AFI-F3'!P68</f>
        <v/>
      </c>
      <c r="X203" s="18">
        <f>'AFI-F3'!Q68</f>
        <v>0</v>
      </c>
      <c r="Y203" s="1"/>
      <c r="Z203" s="1"/>
      <c r="AA203" s="1"/>
    </row>
    <row r="204">
      <c r="A204" s="1"/>
      <c r="B204" s="14">
        <f t="shared" si="7"/>
        <v>65</v>
      </c>
      <c r="C204" s="15" t="str">
        <f t="shared" si="1"/>
        <v>diciembre</v>
      </c>
      <c r="D204" s="15">
        <f t="shared" si="2"/>
        <v>52</v>
      </c>
      <c r="E204" s="16" t="str">
        <f t="shared" si="3"/>
        <v>sábado</v>
      </c>
      <c r="F204" s="15">
        <f t="shared" si="4"/>
        <v>30</v>
      </c>
      <c r="G204" s="15" t="s">
        <v>23</v>
      </c>
      <c r="H204" s="3">
        <f>'AFI-F3'!$G$3</f>
        <v>45674</v>
      </c>
      <c r="I204" s="18" t="str">
        <f>'AFI-F3'!B69</f>
        <v/>
      </c>
      <c r="J204" s="18" t="str">
        <f>'AFI-F3'!C69</f>
        <v/>
      </c>
      <c r="K204" s="18" t="str">
        <f>'AFI-F3'!D69</f>
        <v/>
      </c>
      <c r="L204" s="18" t="str">
        <f>'AFI-F3'!E69</f>
        <v/>
      </c>
      <c r="M204" s="18" t="str">
        <f>'AFI-F3'!F69</f>
        <v/>
      </c>
      <c r="N204" s="18" t="str">
        <f>'AFI-F3'!G69</f>
        <v/>
      </c>
      <c r="O204" s="18" t="str">
        <f>'AFI-F3'!H69</f>
        <v/>
      </c>
      <c r="P204" s="18" t="str">
        <f>'AFI-F3'!I69</f>
        <v/>
      </c>
      <c r="Q204" s="18" t="str">
        <f>'AFI-F3'!J69</f>
        <v/>
      </c>
      <c r="R204" s="18" t="str">
        <f>'AFI-F3'!K69</f>
        <v/>
      </c>
      <c r="S204" s="18" t="str">
        <f>'AFI-F3'!L69</f>
        <v/>
      </c>
      <c r="T204" s="18" t="str">
        <f>'AFI-F3'!M69</f>
        <v/>
      </c>
      <c r="U204" s="18" t="str">
        <f>'AFI-F3'!N69</f>
        <v/>
      </c>
      <c r="V204" s="18" t="str">
        <f>'AFI-F3'!O69</f>
        <v/>
      </c>
      <c r="W204" s="18" t="str">
        <f>'AFI-F3'!P69</f>
        <v/>
      </c>
      <c r="X204" s="18">
        <f>'AFI-F3'!Q69</f>
        <v>0</v>
      </c>
      <c r="Y204" s="1"/>
      <c r="Z204" s="1"/>
      <c r="AA204" s="1"/>
    </row>
    <row r="205">
      <c r="A205" s="1"/>
      <c r="B205" s="14">
        <f t="shared" si="7"/>
        <v>66</v>
      </c>
      <c r="C205" s="15" t="str">
        <f t="shared" si="1"/>
        <v>diciembre</v>
      </c>
      <c r="D205" s="15">
        <f t="shared" si="2"/>
        <v>52</v>
      </c>
      <c r="E205" s="16" t="str">
        <f t="shared" si="3"/>
        <v>sábado</v>
      </c>
      <c r="F205" s="15">
        <f t="shared" si="4"/>
        <v>30</v>
      </c>
      <c r="G205" s="15" t="s">
        <v>23</v>
      </c>
      <c r="H205" s="3">
        <f>'AFI-F3'!$G$3</f>
        <v>45674</v>
      </c>
      <c r="I205" s="18" t="str">
        <f>'AFI-F3'!B70</f>
        <v/>
      </c>
      <c r="J205" s="18" t="str">
        <f>'AFI-F3'!C70</f>
        <v/>
      </c>
      <c r="K205" s="18" t="str">
        <f>'AFI-F3'!D70</f>
        <v/>
      </c>
      <c r="L205" s="18" t="str">
        <f>'AFI-F3'!E70</f>
        <v/>
      </c>
      <c r="M205" s="18" t="str">
        <f>'AFI-F3'!F70</f>
        <v/>
      </c>
      <c r="N205" s="18" t="str">
        <f>'AFI-F3'!G70</f>
        <v/>
      </c>
      <c r="O205" s="18" t="str">
        <f>'AFI-F3'!H70</f>
        <v/>
      </c>
      <c r="P205" s="18" t="str">
        <f>'AFI-F3'!I70</f>
        <v/>
      </c>
      <c r="Q205" s="18" t="str">
        <f>'AFI-F3'!J70</f>
        <v/>
      </c>
      <c r="R205" s="18" t="str">
        <f>'AFI-F3'!K70</f>
        <v/>
      </c>
      <c r="S205" s="18" t="str">
        <f>'AFI-F3'!L70</f>
        <v/>
      </c>
      <c r="T205" s="18" t="str">
        <f>'AFI-F3'!M70</f>
        <v/>
      </c>
      <c r="U205" s="18" t="str">
        <f>'AFI-F3'!N70</f>
        <v/>
      </c>
      <c r="V205" s="18" t="str">
        <f>'AFI-F3'!O70</f>
        <v/>
      </c>
      <c r="W205" s="18" t="str">
        <f>'AFI-F3'!P70</f>
        <v/>
      </c>
      <c r="X205" s="18">
        <f>'AFI-F3'!Q70</f>
        <v>0</v>
      </c>
      <c r="Y205" s="1"/>
      <c r="Z205" s="1"/>
      <c r="AA205" s="1"/>
    </row>
    <row r="206">
      <c r="A206" s="1"/>
      <c r="B206" s="14">
        <f t="shared" si="7"/>
        <v>67</v>
      </c>
      <c r="C206" s="15" t="str">
        <f t="shared" si="1"/>
        <v>diciembre</v>
      </c>
      <c r="D206" s="15">
        <f t="shared" si="2"/>
        <v>52</v>
      </c>
      <c r="E206" s="16" t="str">
        <f t="shared" si="3"/>
        <v>sábado</v>
      </c>
      <c r="F206" s="15">
        <f t="shared" si="4"/>
        <v>30</v>
      </c>
      <c r="G206" s="15" t="s">
        <v>23</v>
      </c>
      <c r="H206" s="3">
        <f>'AFI-F3'!$G$3</f>
        <v>45674</v>
      </c>
      <c r="I206" s="18" t="str">
        <f>'AFI-F3'!B71</f>
        <v/>
      </c>
      <c r="J206" s="18" t="str">
        <f>'AFI-F3'!C71</f>
        <v/>
      </c>
      <c r="K206" s="18" t="str">
        <f>'AFI-F3'!D71</f>
        <v/>
      </c>
      <c r="L206" s="18" t="str">
        <f>'AFI-F3'!E71</f>
        <v/>
      </c>
      <c r="M206" s="18" t="str">
        <f>'AFI-F3'!F71</f>
        <v/>
      </c>
      <c r="N206" s="18" t="str">
        <f>'AFI-F3'!G71</f>
        <v/>
      </c>
      <c r="O206" s="18" t="str">
        <f>'AFI-F3'!H71</f>
        <v/>
      </c>
      <c r="P206" s="18" t="str">
        <f>'AFI-F3'!I71</f>
        <v/>
      </c>
      <c r="Q206" s="18" t="str">
        <f>'AFI-F3'!J71</f>
        <v/>
      </c>
      <c r="R206" s="18" t="str">
        <f>'AFI-F3'!K71</f>
        <v/>
      </c>
      <c r="S206" s="18" t="str">
        <f>'AFI-F3'!L71</f>
        <v/>
      </c>
      <c r="T206" s="18" t="str">
        <f>'AFI-F3'!M71</f>
        <v/>
      </c>
      <c r="U206" s="18" t="str">
        <f>'AFI-F3'!N71</f>
        <v/>
      </c>
      <c r="V206" s="18" t="str">
        <f>'AFI-F3'!O71</f>
        <v/>
      </c>
      <c r="W206" s="18" t="str">
        <f>'AFI-F3'!P71</f>
        <v/>
      </c>
      <c r="X206" s="18">
        <f>'AFI-F3'!Q71</f>
        <v>0</v>
      </c>
      <c r="Y206" s="1"/>
      <c r="Z206" s="1"/>
      <c r="AA206" s="1"/>
    </row>
    <row r="207">
      <c r="A207" s="1"/>
      <c r="B207" s="14">
        <f t="shared" si="7"/>
        <v>68</v>
      </c>
      <c r="C207" s="15" t="str">
        <f t="shared" si="1"/>
        <v>diciembre</v>
      </c>
      <c r="D207" s="15">
        <f t="shared" si="2"/>
        <v>52</v>
      </c>
      <c r="E207" s="16" t="str">
        <f t="shared" si="3"/>
        <v>sábado</v>
      </c>
      <c r="F207" s="15">
        <f t="shared" si="4"/>
        <v>30</v>
      </c>
      <c r="G207" s="15" t="s">
        <v>23</v>
      </c>
      <c r="H207" s="3">
        <f>'AFI-F3'!$G$3</f>
        <v>45674</v>
      </c>
      <c r="I207" s="18" t="str">
        <f>'AFI-F3'!B72</f>
        <v/>
      </c>
      <c r="J207" s="18" t="str">
        <f>'AFI-F3'!C72</f>
        <v/>
      </c>
      <c r="K207" s="18" t="str">
        <f>'AFI-F3'!D72</f>
        <v/>
      </c>
      <c r="L207" s="18" t="str">
        <f>'AFI-F3'!E72</f>
        <v/>
      </c>
      <c r="M207" s="18" t="str">
        <f>'AFI-F3'!F72</f>
        <v/>
      </c>
      <c r="N207" s="18" t="str">
        <f>'AFI-F3'!G72</f>
        <v/>
      </c>
      <c r="O207" s="18" t="str">
        <f>'AFI-F3'!H72</f>
        <v/>
      </c>
      <c r="P207" s="18" t="str">
        <f>'AFI-F3'!I72</f>
        <v/>
      </c>
      <c r="Q207" s="18" t="str">
        <f>'AFI-F3'!J72</f>
        <v/>
      </c>
      <c r="R207" s="18" t="str">
        <f>'AFI-F3'!K72</f>
        <v/>
      </c>
      <c r="S207" s="18" t="str">
        <f>'AFI-F3'!L72</f>
        <v/>
      </c>
      <c r="T207" s="18" t="str">
        <f>'AFI-F3'!M72</f>
        <v/>
      </c>
      <c r="U207" s="18" t="str">
        <f>'AFI-F3'!N72</f>
        <v/>
      </c>
      <c r="V207" s="18" t="str">
        <f>'AFI-F3'!O72</f>
        <v/>
      </c>
      <c r="W207" s="18" t="str">
        <f>'AFI-F3'!P72</f>
        <v/>
      </c>
      <c r="X207" s="18">
        <f>'AFI-F3'!Q72</f>
        <v>0</v>
      </c>
      <c r="Y207" s="1"/>
      <c r="Z207" s="1"/>
      <c r="AA207" s="1"/>
    </row>
    <row r="208">
      <c r="A208" s="1"/>
      <c r="B208" s="14">
        <v>1.0</v>
      </c>
      <c r="C208" s="22" t="str">
        <f t="shared" si="1"/>
        <v>diciembre</v>
      </c>
      <c r="D208" s="22">
        <f t="shared" si="2"/>
        <v>50</v>
      </c>
      <c r="E208" s="23" t="str">
        <f t="shared" si="3"/>
        <v>martes</v>
      </c>
      <c r="F208" s="22">
        <f t="shared" si="4"/>
        <v>9</v>
      </c>
      <c r="G208" s="22" t="s">
        <v>23</v>
      </c>
      <c r="H208" s="3">
        <f>'AFI-F4'!$G$3</f>
        <v>45682</v>
      </c>
      <c r="I208" s="24">
        <f>'AFI-F4'!B5</f>
        <v>46000</v>
      </c>
      <c r="J208" s="2">
        <f>'AFI-F4'!C5</f>
        <v>44412013</v>
      </c>
      <c r="K208" s="2" t="str">
        <f>'AFI-F4'!D5</f>
        <v>Nazaret judith abad zarco</v>
      </c>
      <c r="L208" s="2" t="str">
        <f>'AFI-F4'!E5</f>
        <v>Nazaret_abad@hotmail.com</v>
      </c>
      <c r="M208" s="2" t="str">
        <f>'AFI-F4'!F5</f>
        <v>SAN MIGUEL</v>
      </c>
      <c r="N208" s="2" t="str">
        <f>'AFI-F4'!G5</f>
        <v>976 096 059</v>
      </c>
      <c r="O208" s="2" t="str">
        <f>'AFI-F4'!H5</f>
        <v>X</v>
      </c>
      <c r="P208" s="2" t="str">
        <f>'AFI-F4'!I5</f>
        <v/>
      </c>
      <c r="Q208" s="2">
        <f>'AFI-F4'!J5</f>
        <v>190</v>
      </c>
      <c r="R208" s="2" t="str">
        <f>'AFI-F4'!K5</f>
        <v/>
      </c>
      <c r="S208" s="2" t="str">
        <f>'AFI-F4'!L5</f>
        <v>PAGO</v>
      </c>
      <c r="T208" s="2" t="str">
        <f>'AFI-F4'!M5</f>
        <v>YAPE JL</v>
      </c>
      <c r="U208" s="2">
        <f>'AFI-F4'!N5</f>
        <v>190</v>
      </c>
      <c r="V208" s="2" t="str">
        <f>'AFI-F4'!O5</f>
        <v/>
      </c>
      <c r="W208" s="2" t="str">
        <f>'AFI-F4'!P5</f>
        <v>Yadhira</v>
      </c>
      <c r="X208" s="5">
        <f>'AFI-F4'!Q5</f>
        <v>190</v>
      </c>
      <c r="Y208" s="1"/>
      <c r="Z208" s="1"/>
      <c r="AA208" s="1"/>
    </row>
    <row r="209">
      <c r="A209" s="1"/>
      <c r="B209" s="14">
        <f t="shared" ref="B209:B275" si="8">B208+1</f>
        <v>2</v>
      </c>
      <c r="C209" s="22" t="str">
        <f t="shared" si="1"/>
        <v>diciembre</v>
      </c>
      <c r="D209" s="22">
        <f t="shared" si="2"/>
        <v>50</v>
      </c>
      <c r="E209" s="23" t="str">
        <f t="shared" si="3"/>
        <v>martes</v>
      </c>
      <c r="F209" s="22">
        <f t="shared" si="4"/>
        <v>9</v>
      </c>
      <c r="G209" s="22" t="s">
        <v>23</v>
      </c>
      <c r="H209" s="3">
        <f>'AFI-F4'!$G$3</f>
        <v>45682</v>
      </c>
      <c r="I209" s="24">
        <f>'AFI-F4'!B6</f>
        <v>46000</v>
      </c>
      <c r="J209" s="2">
        <f>'AFI-F4'!C6</f>
        <v>10562497</v>
      </c>
      <c r="K209" s="2" t="str">
        <f>'AFI-F4'!D6</f>
        <v> Rubén Abad Zarco </v>
      </c>
      <c r="L209" s="2" t="str">
        <f>'AFI-F4'!E6</f>
        <v>Nazaret_abad@hotmail.com</v>
      </c>
      <c r="M209" s="2" t="str">
        <f>'AFI-F4'!F6</f>
        <v>SAN MIGUEL</v>
      </c>
      <c r="N209" s="2" t="str">
        <f>'AFI-F4'!G6</f>
        <v>976 096 059</v>
      </c>
      <c r="O209" s="2" t="str">
        <f>'AFI-F4'!H6</f>
        <v>X</v>
      </c>
      <c r="P209" s="2" t="str">
        <f>'AFI-F4'!I6</f>
        <v/>
      </c>
      <c r="Q209" s="2">
        <f>'AFI-F4'!J6</f>
        <v>190</v>
      </c>
      <c r="R209" s="2" t="str">
        <f>'AFI-F4'!K6</f>
        <v/>
      </c>
      <c r="S209" s="2" t="str">
        <f>'AFI-F4'!L6</f>
        <v>PAGO</v>
      </c>
      <c r="T209" s="2" t="str">
        <f>'AFI-F4'!M6</f>
        <v>YAPE JL</v>
      </c>
      <c r="U209" s="2">
        <f>'AFI-F4'!N6</f>
        <v>190</v>
      </c>
      <c r="V209" s="2" t="str">
        <f>'AFI-F4'!O6</f>
        <v/>
      </c>
      <c r="W209" s="2" t="str">
        <f>'AFI-F4'!P6</f>
        <v>Yadhira</v>
      </c>
      <c r="X209" s="5">
        <f>'AFI-F4'!Q6</f>
        <v>190</v>
      </c>
      <c r="Y209" s="1"/>
      <c r="Z209" s="1"/>
      <c r="AA209" s="1"/>
    </row>
    <row r="210">
      <c r="A210" s="1"/>
      <c r="B210" s="14">
        <f t="shared" si="8"/>
        <v>3</v>
      </c>
      <c r="C210" s="22" t="str">
        <f t="shared" si="1"/>
        <v>enero</v>
      </c>
      <c r="D210" s="22">
        <f t="shared" si="2"/>
        <v>1</v>
      </c>
      <c r="E210" s="23" t="str">
        <f t="shared" si="3"/>
        <v>viernes</v>
      </c>
      <c r="F210" s="22">
        <f t="shared" si="4"/>
        <v>2</v>
      </c>
      <c r="G210" s="22" t="s">
        <v>23</v>
      </c>
      <c r="H210" s="3">
        <f>'AFI-F4'!$G$3</f>
        <v>45682</v>
      </c>
      <c r="I210" s="24">
        <f>'AFI-F4'!B7</f>
        <v>46024</v>
      </c>
      <c r="J210" s="2">
        <f>'AFI-F4'!C7</f>
        <v>76197577</v>
      </c>
      <c r="K210" s="2" t="str">
        <f>'AFI-F4'!D7</f>
        <v>Anderson Achata</v>
      </c>
      <c r="L210" s="2" t="str">
        <f>'AFI-F4'!E7</f>
        <v>andersonachata@gmail.com</v>
      </c>
      <c r="M210" s="2" t="str">
        <f>'AFI-F4'!F7</f>
        <v>SAN LUIS</v>
      </c>
      <c r="N210" s="2" t="str">
        <f>'AFI-F4'!G7</f>
        <v>913 872 010</v>
      </c>
      <c r="O210" s="2" t="str">
        <f>'AFI-F4'!H7</f>
        <v>X</v>
      </c>
      <c r="P210" s="2" t="str">
        <f>'AFI-F4'!I7</f>
        <v/>
      </c>
      <c r="Q210" s="2">
        <f>'AFI-F4'!J7</f>
        <v>190</v>
      </c>
      <c r="R210" s="2" t="str">
        <f>'AFI-F4'!K7</f>
        <v/>
      </c>
      <c r="S210" s="2" t="str">
        <f>'AFI-F4'!L7</f>
        <v>PAGO</v>
      </c>
      <c r="T210" s="2" t="str">
        <f>'AFI-F4'!M7</f>
        <v>PLIN JL</v>
      </c>
      <c r="U210" s="2">
        <f>'AFI-F4'!N7</f>
        <v>190</v>
      </c>
      <c r="V210" s="2" t="str">
        <f>'AFI-F4'!O7</f>
        <v/>
      </c>
      <c r="W210" s="2" t="str">
        <f>'AFI-F4'!P7</f>
        <v>Yadhira</v>
      </c>
      <c r="X210" s="5">
        <f>'AFI-F4'!Q7</f>
        <v>190</v>
      </c>
      <c r="Y210" s="1"/>
      <c r="Z210" s="1"/>
      <c r="AA210" s="1"/>
    </row>
    <row r="211">
      <c r="A211" s="1"/>
      <c r="B211" s="14">
        <f t="shared" si="8"/>
        <v>4</v>
      </c>
      <c r="C211" s="22" t="str">
        <f t="shared" si="1"/>
        <v>enero</v>
      </c>
      <c r="D211" s="22">
        <f t="shared" si="2"/>
        <v>1</v>
      </c>
      <c r="E211" s="23" t="str">
        <f t="shared" si="3"/>
        <v>sábado</v>
      </c>
      <c r="F211" s="22">
        <f t="shared" si="4"/>
        <v>3</v>
      </c>
      <c r="G211" s="22" t="s">
        <v>23</v>
      </c>
      <c r="H211" s="3">
        <f>'AFI-F4'!$G$3</f>
        <v>45682</v>
      </c>
      <c r="I211" s="24">
        <f>'AFI-F4'!B8</f>
        <v>46025</v>
      </c>
      <c r="J211" s="2">
        <f>'AFI-F4'!C8</f>
        <v>41735143</v>
      </c>
      <c r="K211" s="2" t="str">
        <f>'AFI-F4'!D8</f>
        <v>Danilo Fernando Yánac Talaverano</v>
      </c>
      <c r="L211" s="2" t="str">
        <f>'AFI-F4'!E8</f>
        <v>Dyanact@gmail.com</v>
      </c>
      <c r="M211" s="2" t="str">
        <f>'AFI-F4'!F8</f>
        <v>LOS OLIVOS</v>
      </c>
      <c r="N211" s="2" t="str">
        <f>'AFI-F4'!G8</f>
        <v>949 727 949</v>
      </c>
      <c r="O211" s="2" t="str">
        <f>'AFI-F4'!H8</f>
        <v>X</v>
      </c>
      <c r="P211" s="2" t="str">
        <f>'AFI-F4'!I8</f>
        <v/>
      </c>
      <c r="Q211" s="2">
        <f>'AFI-F4'!J8</f>
        <v>110</v>
      </c>
      <c r="R211" s="2">
        <f>'AFI-F4'!K8</f>
        <v>270</v>
      </c>
      <c r="S211" s="2" t="str">
        <f>'AFI-F4'!L8</f>
        <v>COBR</v>
      </c>
      <c r="T211" s="2" t="str">
        <f>'AFI-F4'!M8</f>
        <v>PLIN JL</v>
      </c>
      <c r="U211" s="2">
        <f>'AFI-F4'!N8</f>
        <v>110</v>
      </c>
      <c r="V211" s="2">
        <f>'AFI-F4'!O8</f>
        <v>0</v>
      </c>
      <c r="W211" s="2" t="str">
        <f>'AFI-F4'!P8</f>
        <v>Yadhira</v>
      </c>
      <c r="X211" s="5">
        <f>'AFI-F4'!Q8</f>
        <v>110</v>
      </c>
      <c r="Y211" s="1"/>
      <c r="Z211" s="1"/>
      <c r="AA211" s="1"/>
    </row>
    <row r="212">
      <c r="A212" s="1"/>
      <c r="B212" s="14">
        <f t="shared" si="8"/>
        <v>5</v>
      </c>
      <c r="C212" s="22" t="str">
        <f t="shared" si="1"/>
        <v>diciembre</v>
      </c>
      <c r="D212" s="22">
        <f t="shared" si="2"/>
        <v>52</v>
      </c>
      <c r="E212" s="23" t="str">
        <f t="shared" si="3"/>
        <v>sábado</v>
      </c>
      <c r="F212" s="22">
        <f t="shared" si="4"/>
        <v>27</v>
      </c>
      <c r="G212" s="22" t="s">
        <v>23</v>
      </c>
      <c r="H212" s="3">
        <f>'AFI-F4'!$G$3</f>
        <v>45682</v>
      </c>
      <c r="I212" s="24">
        <f>'AFI-F4'!B9</f>
        <v>46018</v>
      </c>
      <c r="J212" s="2">
        <f>'AFI-F4'!C9</f>
        <v>40893521</v>
      </c>
      <c r="K212" s="2" t="str">
        <f>'AFI-F4'!D9</f>
        <v>Rolando Farfán Gutiérrez</v>
      </c>
      <c r="L212" s="2" t="str">
        <f>'AFI-F4'!E9</f>
        <v>Rolandofarfang@gmail.com</v>
      </c>
      <c r="M212" s="2" t="str">
        <f>'AFI-F4'!F9</f>
        <v>CERCADO</v>
      </c>
      <c r="N212" s="2" t="str">
        <f>'AFI-F4'!G9</f>
        <v>999 143 296</v>
      </c>
      <c r="O212" s="2" t="str">
        <f>'AFI-F4'!H9</f>
        <v/>
      </c>
      <c r="P212" s="2" t="str">
        <f>'AFI-F4'!I9</f>
        <v>X</v>
      </c>
      <c r="Q212" s="2">
        <f>'AFI-F4'!J9</f>
        <v>175</v>
      </c>
      <c r="R212" s="2" t="str">
        <f>'AFI-F4'!K9</f>
        <v/>
      </c>
      <c r="S212" s="2" t="str">
        <f>'AFI-F4'!L9</f>
        <v>PAGO</v>
      </c>
      <c r="T212" s="2" t="str">
        <f>'AFI-F4'!M9</f>
        <v>PLIN JL</v>
      </c>
      <c r="U212" s="2">
        <f>'AFI-F4'!N9</f>
        <v>175</v>
      </c>
      <c r="V212" s="2" t="str">
        <f>'AFI-F4'!O9</f>
        <v/>
      </c>
      <c r="W212" s="2" t="str">
        <f>'AFI-F4'!P9</f>
        <v>Greici</v>
      </c>
      <c r="X212" s="5">
        <f>'AFI-F4'!Q9</f>
        <v>175</v>
      </c>
      <c r="Y212" s="1"/>
      <c r="Z212" s="1"/>
      <c r="AA212" s="1"/>
    </row>
    <row r="213">
      <c r="A213" s="1"/>
      <c r="B213" s="14">
        <f t="shared" si="8"/>
        <v>6</v>
      </c>
      <c r="C213" s="22" t="str">
        <f t="shared" si="1"/>
        <v>diciembre</v>
      </c>
      <c r="D213" s="22">
        <f t="shared" si="2"/>
        <v>52</v>
      </c>
      <c r="E213" s="23" t="str">
        <f t="shared" si="3"/>
        <v>sábado</v>
      </c>
      <c r="F213" s="22">
        <f t="shared" si="4"/>
        <v>30</v>
      </c>
      <c r="G213" s="22" t="s">
        <v>23</v>
      </c>
      <c r="H213" s="3">
        <f>'AFI-F4'!$G$3</f>
        <v>45682</v>
      </c>
      <c r="I213" s="24" t="str">
        <f>'AFI-F4'!B10</f>
        <v/>
      </c>
      <c r="J213" s="2" t="str">
        <f>'AFI-F4'!C10</f>
        <v/>
      </c>
      <c r="K213" s="2" t="str">
        <f>'AFI-F4'!D10</f>
        <v/>
      </c>
      <c r="L213" s="2" t="str">
        <f>'AFI-F4'!E10</f>
        <v/>
      </c>
      <c r="M213" s="2" t="str">
        <f>'AFI-F4'!F10</f>
        <v/>
      </c>
      <c r="N213" s="2" t="str">
        <f>'AFI-F4'!G10</f>
        <v/>
      </c>
      <c r="O213" s="2" t="str">
        <f>'AFI-F4'!H10</f>
        <v/>
      </c>
      <c r="P213" s="2" t="str">
        <f>'AFI-F4'!I10</f>
        <v/>
      </c>
      <c r="Q213" s="2" t="str">
        <f>'AFI-F4'!J10</f>
        <v/>
      </c>
      <c r="R213" s="2" t="str">
        <f>'AFI-F4'!K10</f>
        <v/>
      </c>
      <c r="S213" s="2" t="str">
        <f>'AFI-F4'!L10</f>
        <v/>
      </c>
      <c r="T213" s="2" t="str">
        <f>'AFI-F4'!M10</f>
        <v/>
      </c>
      <c r="U213" s="2">
        <f>'AFI-F4'!N10</f>
        <v>0</v>
      </c>
      <c r="V213" s="2" t="str">
        <f>'AFI-F4'!O10</f>
        <v/>
      </c>
      <c r="W213" s="2" t="str">
        <f>'AFI-F4'!P10</f>
        <v>Sofia</v>
      </c>
      <c r="X213" s="5">
        <f>'AFI-F4'!Q10</f>
        <v>0</v>
      </c>
      <c r="Y213" s="1"/>
      <c r="Z213" s="1"/>
      <c r="AA213" s="1"/>
    </row>
    <row r="214">
      <c r="A214" s="1"/>
      <c r="B214" s="14">
        <f t="shared" si="8"/>
        <v>7</v>
      </c>
      <c r="C214" s="22" t="str">
        <f t="shared" si="1"/>
        <v>enero</v>
      </c>
      <c r="D214" s="22">
        <f t="shared" si="2"/>
        <v>2</v>
      </c>
      <c r="E214" s="23" t="str">
        <f t="shared" si="3"/>
        <v>martes</v>
      </c>
      <c r="F214" s="22">
        <f t="shared" si="4"/>
        <v>6</v>
      </c>
      <c r="G214" s="22" t="s">
        <v>23</v>
      </c>
      <c r="H214" s="3">
        <f>'AFI-F4'!$G$3</f>
        <v>45682</v>
      </c>
      <c r="I214" s="24">
        <f>'AFI-F4'!B11</f>
        <v>46028</v>
      </c>
      <c r="J214" s="2">
        <f>'AFI-F4'!C11</f>
        <v>44384611</v>
      </c>
      <c r="K214" s="2" t="str">
        <f>'AFI-F4'!D11</f>
        <v>LUIGGI VIGO PESANTES</v>
      </c>
      <c r="L214" s="2" t="str">
        <f>'AFI-F4'!E11</f>
        <v>luiggijvp@gmail.com</v>
      </c>
      <c r="M214" s="2" t="str">
        <f>'AFI-F4'!F11</f>
        <v>PUEBLO LIBRE</v>
      </c>
      <c r="N214" s="2" t="str">
        <f>'AFI-F4'!G11</f>
        <v/>
      </c>
      <c r="O214" s="2" t="str">
        <f>'AFI-F4'!H11</f>
        <v/>
      </c>
      <c r="P214" s="2" t="str">
        <f>'AFI-F4'!I11</f>
        <v>X</v>
      </c>
      <c r="Q214" s="2">
        <f>'AFI-F4'!J11</f>
        <v>100</v>
      </c>
      <c r="R214" s="2">
        <f>'AFI-F4'!K11</f>
        <v>100</v>
      </c>
      <c r="S214" s="2" t="str">
        <f>'AFI-F4'!L11</f>
        <v>COBR</v>
      </c>
      <c r="T214" s="2" t="str">
        <f>'AFI-F4'!M11</f>
        <v>YAPE JL</v>
      </c>
      <c r="U214" s="2">
        <f>'AFI-F4'!N11</f>
        <v>100</v>
      </c>
      <c r="V214" s="2">
        <f>'AFI-F4'!O11</f>
        <v>100</v>
      </c>
      <c r="W214" s="2" t="str">
        <f>'AFI-F4'!P11</f>
        <v>Greici</v>
      </c>
      <c r="X214" s="5">
        <f>'AFI-F4'!Q11</f>
        <v>200</v>
      </c>
      <c r="Y214" s="1"/>
      <c r="Z214" s="1"/>
      <c r="AA214" s="1"/>
    </row>
    <row r="215">
      <c r="A215" s="1"/>
      <c r="B215" s="14">
        <f t="shared" si="8"/>
        <v>8</v>
      </c>
      <c r="C215" s="22" t="str">
        <f t="shared" si="1"/>
        <v>enero</v>
      </c>
      <c r="D215" s="22">
        <f t="shared" si="2"/>
        <v>2</v>
      </c>
      <c r="E215" s="23" t="str">
        <f t="shared" si="3"/>
        <v>viernes</v>
      </c>
      <c r="F215" s="22">
        <f t="shared" si="4"/>
        <v>9</v>
      </c>
      <c r="G215" s="22" t="s">
        <v>23</v>
      </c>
      <c r="H215" s="3">
        <f>'AFI-F4'!$G$3</f>
        <v>45682</v>
      </c>
      <c r="I215" s="24">
        <f>'Burger-F7-F8'!B24</f>
        <v>46031</v>
      </c>
      <c r="J215" s="2">
        <f>'Burger-F7-F8'!C24</f>
        <v>41914080</v>
      </c>
      <c r="K215" s="2" t="str">
        <f>'Burger-F7-F8'!D24</f>
        <v>Yulisa Quispe Cuba  </v>
      </c>
      <c r="L215" s="2" t="str">
        <f>'Burger-F7-F8'!E24</f>
        <v/>
      </c>
      <c r="M215" s="2" t="str">
        <f>'Burger-F7-F8'!F24</f>
        <v>EL AGUSTINO</v>
      </c>
      <c r="N215" s="2">
        <f>'AFI-F4'!G12</f>
        <v>961377923</v>
      </c>
      <c r="O215" s="2" t="str">
        <f>'AFI-F4'!H12</f>
        <v/>
      </c>
      <c r="P215" s="2" t="str">
        <f>'AFI-F4'!I12</f>
        <v>x</v>
      </c>
      <c r="Q215" s="2">
        <f>'AFI-F4'!J12</f>
        <v>220</v>
      </c>
      <c r="R215" s="2" t="str">
        <f>'AFI-F4'!K12</f>
        <v/>
      </c>
      <c r="S215" s="2" t="str">
        <f>'AFI-F4'!L12</f>
        <v>PAGO</v>
      </c>
      <c r="T215" s="2" t="str">
        <f>'AFI-F4'!M12</f>
        <v>YAPE JL</v>
      </c>
      <c r="U215" s="2">
        <f>'AFI-F4'!N12</f>
        <v>220</v>
      </c>
      <c r="V215" s="2" t="str">
        <f>'AFI-F4'!O12</f>
        <v/>
      </c>
      <c r="W215" s="2" t="str">
        <f>'AFI-F4'!P12</f>
        <v>Gabriela</v>
      </c>
      <c r="X215" s="5">
        <f>'AFI-F4'!Q12</f>
        <v>220</v>
      </c>
      <c r="Y215" s="1"/>
      <c r="Z215" s="1"/>
      <c r="AA215" s="1"/>
    </row>
    <row r="216">
      <c r="A216" s="1"/>
      <c r="B216" s="14">
        <f t="shared" si="8"/>
        <v>9</v>
      </c>
      <c r="C216" s="22" t="str">
        <f t="shared" si="1"/>
        <v>enero</v>
      </c>
      <c r="D216" s="22">
        <f t="shared" si="2"/>
        <v>3</v>
      </c>
      <c r="E216" s="23" t="str">
        <f t="shared" si="3"/>
        <v>lunes</v>
      </c>
      <c r="F216" s="22">
        <f t="shared" si="4"/>
        <v>12</v>
      </c>
      <c r="G216" s="22" t="s">
        <v>23</v>
      </c>
      <c r="H216" s="3">
        <f>'AFI-F4'!$G$3</f>
        <v>45682</v>
      </c>
      <c r="I216" s="24">
        <f>'AFI-F4'!B13</f>
        <v>46034</v>
      </c>
      <c r="J216" s="2">
        <f>'AFI-F4'!C13</f>
        <v>70342491</v>
      </c>
      <c r="K216" s="2" t="str">
        <f>'AFI-F4'!D13</f>
        <v>Jandir Rivera Quispe</v>
      </c>
      <c r="L216" s="2" t="str">
        <f>'AFI-F4'!E13</f>
        <v>jandir.rivera10@gmail.com</v>
      </c>
      <c r="M216" s="2" t="str">
        <f>'AFI-F4'!F13</f>
        <v>San Bartolo</v>
      </c>
      <c r="N216" s="2">
        <f>'AFI-F4'!G13</f>
        <v>987552563</v>
      </c>
      <c r="O216" s="2" t="str">
        <f>'AFI-F4'!H13</f>
        <v>X</v>
      </c>
      <c r="P216" s="2" t="str">
        <f>'AFI-F4'!I13</f>
        <v/>
      </c>
      <c r="Q216" s="2">
        <f>'AFI-F4'!J13</f>
        <v>0</v>
      </c>
      <c r="R216" s="2" t="str">
        <f>'AFI-F4'!K13</f>
        <v/>
      </c>
      <c r="S216" s="2" t="str">
        <f>'AFI-F4'!L13</f>
        <v/>
      </c>
      <c r="T216" s="2" t="str">
        <f>'AFI-F4'!M13</f>
        <v/>
      </c>
      <c r="U216" s="2">
        <f>'AFI-F4'!N13</f>
        <v>0</v>
      </c>
      <c r="V216" s="2" t="str">
        <f>'AFI-F4'!O13</f>
        <v/>
      </c>
      <c r="W216" s="2" t="str">
        <f>'AFI-F4'!P13</f>
        <v>Sofia</v>
      </c>
      <c r="X216" s="5">
        <f>'AFI-F4'!Q13</f>
        <v>0</v>
      </c>
      <c r="Y216" s="1"/>
      <c r="Z216" s="1"/>
      <c r="AA216" s="1"/>
    </row>
    <row r="217">
      <c r="A217" s="1"/>
      <c r="B217" s="14">
        <f t="shared" si="8"/>
        <v>10</v>
      </c>
      <c r="C217" s="22" t="str">
        <f t="shared" si="1"/>
        <v>enero</v>
      </c>
      <c r="D217" s="22">
        <f t="shared" si="2"/>
        <v>3</v>
      </c>
      <c r="E217" s="23" t="str">
        <f t="shared" si="3"/>
        <v>sábado</v>
      </c>
      <c r="F217" s="22">
        <f t="shared" si="4"/>
        <v>17</v>
      </c>
      <c r="G217" s="22" t="s">
        <v>23</v>
      </c>
      <c r="H217" s="3">
        <f>'AFI-F4'!$G$3</f>
        <v>45682</v>
      </c>
      <c r="I217" s="24">
        <f>'AFI-F4'!B63</f>
        <v>46039</v>
      </c>
      <c r="J217" s="2" t="str">
        <f>'AFI-F4'!C63</f>
        <v/>
      </c>
      <c r="K217" s="2" t="str">
        <f>'AFI-F4'!D63</f>
        <v>Percy Alonso Alama Porras</v>
      </c>
      <c r="L217" s="2" t="str">
        <f>'AFI-F4'!E63</f>
        <v>betty2535@hotmail.com</v>
      </c>
      <c r="M217" s="2" t="str">
        <f>'AFI-F4'!F63</f>
        <v>BARRANCO</v>
      </c>
      <c r="N217" s="2" t="str">
        <f>'AFI-F4'!G63</f>
        <v>995 747 995</v>
      </c>
      <c r="O217" s="2" t="str">
        <f>'AFI-F4'!H63</f>
        <v>X</v>
      </c>
      <c r="P217" s="2" t="str">
        <f>'AFI-F4'!I63</f>
        <v/>
      </c>
      <c r="Q217" s="2">
        <f>'AFI-F4'!J63</f>
        <v>90</v>
      </c>
      <c r="R217" s="2">
        <f>'AFI-F4'!K63</f>
        <v>90</v>
      </c>
      <c r="S217" s="2" t="str">
        <f>'AFI-F4'!L63</f>
        <v>COBR</v>
      </c>
      <c r="T217" s="2" t="str">
        <f>'AFI-F4'!M14</f>
        <v>YAPE JL</v>
      </c>
      <c r="U217" s="2">
        <f>'AFI-F4'!N14</f>
        <v>0</v>
      </c>
      <c r="V217" s="2" t="str">
        <f>'AFI-F4'!O14</f>
        <v/>
      </c>
      <c r="W217" s="2" t="str">
        <f>'AFI-F4'!P14</f>
        <v>Yadhira</v>
      </c>
      <c r="X217" s="5">
        <f>'AFI-F4'!Q14</f>
        <v>0</v>
      </c>
      <c r="Y217" s="1"/>
      <c r="Z217" s="1"/>
      <c r="AA217" s="1"/>
    </row>
    <row r="218">
      <c r="A218" s="1"/>
      <c r="B218" s="14">
        <f t="shared" si="8"/>
        <v>11</v>
      </c>
      <c r="C218" s="22" t="str">
        <f t="shared" si="1"/>
        <v>enero</v>
      </c>
      <c r="D218" s="22">
        <f t="shared" si="2"/>
        <v>3</v>
      </c>
      <c r="E218" s="23" t="str">
        <f t="shared" si="3"/>
        <v>sábado</v>
      </c>
      <c r="F218" s="22">
        <f t="shared" si="4"/>
        <v>17</v>
      </c>
      <c r="G218" s="22" t="s">
        <v>23</v>
      </c>
      <c r="H218" s="3">
        <f>'AFI-F4'!$G$3</f>
        <v>45682</v>
      </c>
      <c r="I218" s="24">
        <f>'AFI-F4'!B64</f>
        <v>46039</v>
      </c>
      <c r="J218" s="2" t="str">
        <f>'AFI-F4'!C64</f>
        <v/>
      </c>
      <c r="K218" s="2" t="str">
        <f>'AFI-F4'!D64</f>
        <v>CAMILA MAYHUA ALVARADO</v>
      </c>
      <c r="L218" s="2" t="str">
        <f>'AFI-F4'!E64</f>
        <v>betty2535@hotmail.com</v>
      </c>
      <c r="M218" s="2" t="str">
        <f>'AFI-F4'!F64</f>
        <v>BARRANCO</v>
      </c>
      <c r="N218" s="2" t="str">
        <f>'AFI-F4'!G64</f>
        <v/>
      </c>
      <c r="O218" s="2" t="str">
        <f>'AFI-F4'!H64</f>
        <v>X</v>
      </c>
      <c r="P218" s="2" t="str">
        <f>'AFI-F4'!I64</f>
        <v/>
      </c>
      <c r="Q218" s="2">
        <f>'AFI-F4'!J64</f>
        <v>90</v>
      </c>
      <c r="R218" s="2">
        <f>'AFI-F4'!K64</f>
        <v>90</v>
      </c>
      <c r="S218" s="2" t="str">
        <f>'AFI-F4'!L64</f>
        <v>COBR</v>
      </c>
      <c r="T218" s="2" t="str">
        <f>'AFI-F4'!M15</f>
        <v>YAPE JL</v>
      </c>
      <c r="U218" s="2">
        <f>'AFI-F4'!N15</f>
        <v>0</v>
      </c>
      <c r="V218" s="2" t="str">
        <f>'AFI-F4'!O15</f>
        <v/>
      </c>
      <c r="W218" s="2" t="str">
        <f>'AFI-F4'!P15</f>
        <v>Yadhira</v>
      </c>
      <c r="X218" s="5">
        <f>'AFI-F4'!Q15</f>
        <v>0</v>
      </c>
      <c r="Y218" s="1"/>
      <c r="Z218" s="1"/>
      <c r="AA218" s="1"/>
    </row>
    <row r="219">
      <c r="A219" s="1"/>
      <c r="B219" s="14">
        <f t="shared" si="8"/>
        <v>12</v>
      </c>
      <c r="C219" s="22" t="str">
        <f t="shared" si="1"/>
        <v>enero</v>
      </c>
      <c r="D219" s="22">
        <f t="shared" si="2"/>
        <v>3</v>
      </c>
      <c r="E219" s="23" t="str">
        <f t="shared" si="3"/>
        <v>lunes</v>
      </c>
      <c r="F219" s="22">
        <f t="shared" si="4"/>
        <v>12</v>
      </c>
      <c r="G219" s="22" t="s">
        <v>23</v>
      </c>
      <c r="H219" s="3">
        <f>'AFI-F4'!$G$3</f>
        <v>45682</v>
      </c>
      <c r="I219" s="24">
        <f>'AFI-F4'!B16</f>
        <v>46034</v>
      </c>
      <c r="J219" s="2">
        <f>'AFI-F4'!C16</f>
        <v>40493159</v>
      </c>
      <c r="K219" s="2" t="str">
        <f>'AFI-F4'!D16</f>
        <v>Manuel Grados Morales</v>
      </c>
      <c r="L219" s="2" t="str">
        <f>'AFI-F4'!E16</f>
        <v>manuel.grados.gm@gmail.com</v>
      </c>
      <c r="M219" s="2" t="str">
        <f>'AFI-F4'!F16</f>
        <v>SAN ISIDRO</v>
      </c>
      <c r="N219" s="2" t="str">
        <f>'AFI-F4'!G16</f>
        <v>954 580 454</v>
      </c>
      <c r="O219" s="2" t="str">
        <f>'AFI-F4'!H16</f>
        <v>X</v>
      </c>
      <c r="P219" s="2" t="str">
        <f>'AFI-F4'!I16</f>
        <v/>
      </c>
      <c r="Q219" s="2">
        <f>'AFI-F4'!J16</f>
        <v>190</v>
      </c>
      <c r="R219" s="2" t="str">
        <f>'AFI-F4'!K16</f>
        <v/>
      </c>
      <c r="S219" s="2" t="str">
        <f>'AFI-F4'!L16</f>
        <v>PAGO</v>
      </c>
      <c r="T219" s="2" t="str">
        <f>'AFI-F4'!M16</f>
        <v>YAPE JL</v>
      </c>
      <c r="U219" s="2">
        <f>'AFI-F4'!N16</f>
        <v>190</v>
      </c>
      <c r="V219" s="2" t="str">
        <f>'AFI-F4'!O16</f>
        <v/>
      </c>
      <c r="W219" s="2" t="str">
        <f>'AFI-F4'!P16</f>
        <v>Greici</v>
      </c>
      <c r="X219" s="5">
        <f>'AFI-F4'!Q16</f>
        <v>190</v>
      </c>
      <c r="Y219" s="1"/>
      <c r="Z219" s="1"/>
      <c r="AA219" s="1"/>
    </row>
    <row r="220">
      <c r="A220" s="1"/>
      <c r="B220" s="14">
        <f t="shared" si="8"/>
        <v>13</v>
      </c>
      <c r="C220" s="22" t="str">
        <f t="shared" si="1"/>
        <v>enero</v>
      </c>
      <c r="D220" s="22">
        <f t="shared" si="2"/>
        <v>3</v>
      </c>
      <c r="E220" s="23" t="str">
        <f t="shared" si="3"/>
        <v>lunes</v>
      </c>
      <c r="F220" s="22">
        <f t="shared" si="4"/>
        <v>12</v>
      </c>
      <c r="G220" s="22" t="s">
        <v>23</v>
      </c>
      <c r="H220" s="3">
        <f>'AFI-F4'!$G$3</f>
        <v>45682</v>
      </c>
      <c r="I220" s="24">
        <f>'AFI-F4'!B17</f>
        <v>46034</v>
      </c>
      <c r="J220" s="2">
        <f>'AFI-F4'!C17</f>
        <v>45909459</v>
      </c>
      <c r="K220" s="2" t="str">
        <f>'AFI-F4'!D17</f>
        <v>Jonathan Ramírez Flor</v>
      </c>
      <c r="L220" s="2" t="str">
        <f>'AFI-F4'!E17</f>
        <v>joramirezf@hotmail.com</v>
      </c>
      <c r="M220" s="2" t="str">
        <f>'AFI-F4'!F17</f>
        <v>JESUS MARIA</v>
      </c>
      <c r="N220" s="2" t="str">
        <f>'AFI-F4'!G17</f>
        <v>954 580 454</v>
      </c>
      <c r="O220" s="2" t="str">
        <f>'AFI-F4'!H17</f>
        <v>X</v>
      </c>
      <c r="P220" s="2" t="str">
        <f>'AFI-F4'!I17</f>
        <v/>
      </c>
      <c r="Q220" s="2">
        <f>'AFI-F4'!J17</f>
        <v>190</v>
      </c>
      <c r="R220" s="2" t="str">
        <f>'AFI-F4'!K17</f>
        <v/>
      </c>
      <c r="S220" s="2" t="str">
        <f>'AFI-F4'!L17</f>
        <v>PAGO</v>
      </c>
      <c r="T220" s="2" t="str">
        <f>'AFI-F4'!M17</f>
        <v>YAPE JL</v>
      </c>
      <c r="U220" s="2">
        <f>'AFI-F4'!N17</f>
        <v>190</v>
      </c>
      <c r="V220" s="2" t="str">
        <f>'AFI-F4'!O17</f>
        <v/>
      </c>
      <c r="W220" s="2" t="str">
        <f>'AFI-F4'!P17</f>
        <v>Greici</v>
      </c>
      <c r="X220" s="5">
        <f>'AFI-F4'!Q17</f>
        <v>190</v>
      </c>
      <c r="Y220" s="1"/>
      <c r="Z220" s="1"/>
      <c r="AA220" s="1"/>
    </row>
    <row r="221">
      <c r="A221" s="1"/>
      <c r="B221" s="14">
        <f t="shared" si="8"/>
        <v>14</v>
      </c>
      <c r="C221" s="22" t="str">
        <f t="shared" si="1"/>
        <v>enero</v>
      </c>
      <c r="D221" s="22">
        <f t="shared" si="2"/>
        <v>3</v>
      </c>
      <c r="E221" s="23" t="str">
        <f t="shared" si="3"/>
        <v>martes</v>
      </c>
      <c r="F221" s="22">
        <f t="shared" si="4"/>
        <v>13</v>
      </c>
      <c r="G221" s="22" t="s">
        <v>23</v>
      </c>
      <c r="H221" s="3">
        <f>'AFI-F4'!$G$3</f>
        <v>45682</v>
      </c>
      <c r="I221" s="24">
        <f>'AFI-F4'!B18</f>
        <v>46035</v>
      </c>
      <c r="J221" s="2">
        <f>'AFI-F4'!C18</f>
        <v>47575960</v>
      </c>
      <c r="K221" s="2" t="str">
        <f>'AFI-F4'!D18</f>
        <v>Abdul Kazan Espinoza Guerra</v>
      </c>
      <c r="L221" s="2" t="str">
        <f>'AFI-F4'!E18</f>
        <v>Ka.carmed@gmail.com</v>
      </c>
      <c r="M221" s="2" t="str">
        <f>'AFI-F4'!F18</f>
        <v>RIMAC</v>
      </c>
      <c r="N221" s="2" t="str">
        <f>'AFI-F4'!G18</f>
        <v>970 345 673</v>
      </c>
      <c r="O221" s="2" t="str">
        <f>'AFI-F4'!H18</f>
        <v>X</v>
      </c>
      <c r="P221" s="2" t="str">
        <f>'AFI-F4'!I18</f>
        <v/>
      </c>
      <c r="Q221" s="2">
        <f>'AFI-F4'!J18</f>
        <v>190</v>
      </c>
      <c r="R221" s="2" t="str">
        <f>'AFI-F4'!K18</f>
        <v/>
      </c>
      <c r="S221" s="2" t="str">
        <f>'AFI-F4'!L18</f>
        <v>PAGO</v>
      </c>
      <c r="T221" s="2" t="str">
        <f>'AFI-F4'!M18</f>
        <v>YAPE JL</v>
      </c>
      <c r="U221" s="2">
        <f>'AFI-F4'!N18</f>
        <v>190</v>
      </c>
      <c r="V221" s="2" t="str">
        <f>'AFI-F4'!O18</f>
        <v/>
      </c>
      <c r="W221" s="2" t="str">
        <f>'AFI-F4'!P18</f>
        <v>Yadhira</v>
      </c>
      <c r="X221" s="5">
        <f>'AFI-F4'!Q18</f>
        <v>190</v>
      </c>
      <c r="Y221" s="1"/>
      <c r="Z221" s="1"/>
      <c r="AA221" s="1"/>
    </row>
    <row r="222">
      <c r="A222" s="1"/>
      <c r="B222" s="14">
        <f t="shared" si="8"/>
        <v>15</v>
      </c>
      <c r="C222" s="22" t="str">
        <f t="shared" si="1"/>
        <v>enero</v>
      </c>
      <c r="D222" s="22">
        <f t="shared" si="2"/>
        <v>3</v>
      </c>
      <c r="E222" s="23" t="str">
        <f t="shared" si="3"/>
        <v>martes</v>
      </c>
      <c r="F222" s="22">
        <f t="shared" si="4"/>
        <v>13</v>
      </c>
      <c r="G222" s="22" t="s">
        <v>23</v>
      </c>
      <c r="H222" s="3">
        <f>'AFI-F4'!$G$3</f>
        <v>45682</v>
      </c>
      <c r="I222" s="24">
        <f>'AFI-F4'!B19</f>
        <v>46035</v>
      </c>
      <c r="J222" s="2">
        <f>'AFI-F4'!C19</f>
        <v>15753576</v>
      </c>
      <c r="K222" s="2" t="str">
        <f>'AFI-F4'!D19</f>
        <v>Jaime Raúl Santa Cruz Culquicondor </v>
      </c>
      <c r="L222" s="2" t="str">
        <f>'AFI-F4'!E19</f>
        <v>Jaimesantacruz2306@gmail.com</v>
      </c>
      <c r="M222" s="2" t="str">
        <f>'AFI-F4'!F19</f>
        <v>HUARAL</v>
      </c>
      <c r="N222" s="2" t="str">
        <f>'AFI-F4'!G19</f>
        <v>998 341 966</v>
      </c>
      <c r="O222" s="2" t="str">
        <f>'AFI-F4'!H19</f>
        <v>X</v>
      </c>
      <c r="P222" s="2" t="str">
        <f>'AFI-F4'!I19</f>
        <v>X</v>
      </c>
      <c r="Q222" s="2">
        <f>'AFI-F4'!J19</f>
        <v>180</v>
      </c>
      <c r="R222" s="2">
        <f>'AFI-F4'!K19</f>
        <v>180</v>
      </c>
      <c r="S222" s="2" t="str">
        <f>'AFI-F4'!L19</f>
        <v>COBR</v>
      </c>
      <c r="T222" s="2" t="str">
        <f>'AFI-F4'!M19</f>
        <v>BBVA JL</v>
      </c>
      <c r="U222" s="2">
        <f>'AFI-F4'!N19</f>
        <v>180</v>
      </c>
      <c r="V222" s="2">
        <f>'AFI-F4'!O19</f>
        <v>180</v>
      </c>
      <c r="W222" s="2" t="str">
        <f>'AFI-F4'!P19</f>
        <v>Yadhira</v>
      </c>
      <c r="X222" s="5">
        <f>'AFI-F4'!Q19</f>
        <v>360</v>
      </c>
      <c r="Y222" s="1"/>
      <c r="Z222" s="1"/>
      <c r="AA222" s="1"/>
    </row>
    <row r="223">
      <c r="A223" s="1"/>
      <c r="B223" s="14">
        <f t="shared" si="8"/>
        <v>16</v>
      </c>
      <c r="C223" s="22" t="str">
        <f t="shared" si="1"/>
        <v>enero</v>
      </c>
      <c r="D223" s="22">
        <f t="shared" si="2"/>
        <v>3</v>
      </c>
      <c r="E223" s="23" t="str">
        <f t="shared" si="3"/>
        <v>miércoles</v>
      </c>
      <c r="F223" s="22">
        <f t="shared" si="4"/>
        <v>14</v>
      </c>
      <c r="G223" s="22" t="s">
        <v>23</v>
      </c>
      <c r="H223" s="3">
        <f>'AFI-F4'!$G$3</f>
        <v>45682</v>
      </c>
      <c r="I223" s="24">
        <f>'AFI-F4'!B20</f>
        <v>46036</v>
      </c>
      <c r="J223" s="2">
        <f>'AFI-F4'!C20</f>
        <v>10114558</v>
      </c>
      <c r="K223" s="2" t="str">
        <f>'AFI-F4'!D20</f>
        <v>Ricardo Francisco Florian </v>
      </c>
      <c r="L223" s="2" t="str">
        <f>'AFI-F4'!E20</f>
        <v>francisco.rm@pucp.pe</v>
      </c>
      <c r="M223" s="2" t="str">
        <f>'AFI-F4'!F20</f>
        <v>SJL</v>
      </c>
      <c r="N223" s="2" t="str">
        <f>'AFI-F4'!G20</f>
        <v>986 601 138</v>
      </c>
      <c r="O223" s="2" t="str">
        <f>'AFI-F4'!H20</f>
        <v>X</v>
      </c>
      <c r="P223" s="2" t="str">
        <f>'AFI-F4'!I20</f>
        <v/>
      </c>
      <c r="Q223" s="2">
        <f>'AFI-F4'!J20</f>
        <v>90</v>
      </c>
      <c r="R223" s="2">
        <f>'AFI-F4'!K20</f>
        <v>90</v>
      </c>
      <c r="S223" s="2" t="str">
        <f>'AFI-F4'!L20</f>
        <v>COBR</v>
      </c>
      <c r="T223" s="2" t="str">
        <f>'AFI-F4'!M20</f>
        <v>YAPE JL</v>
      </c>
      <c r="U223" s="2">
        <f>'AFI-F4'!N20</f>
        <v>90</v>
      </c>
      <c r="V223" s="2">
        <f>'AFI-F4'!O20</f>
        <v>90</v>
      </c>
      <c r="W223" s="2" t="str">
        <f>'AFI-F4'!P20</f>
        <v>Yadhira</v>
      </c>
      <c r="X223" s="5">
        <f>'AFI-F4'!Q20</f>
        <v>180</v>
      </c>
      <c r="Y223" s="1"/>
      <c r="Z223" s="1"/>
      <c r="AA223" s="1"/>
    </row>
    <row r="224">
      <c r="A224" s="1"/>
      <c r="B224" s="14">
        <f t="shared" si="8"/>
        <v>17</v>
      </c>
      <c r="C224" s="22" t="str">
        <f t="shared" si="1"/>
        <v>enero</v>
      </c>
      <c r="D224" s="22">
        <f t="shared" si="2"/>
        <v>3</v>
      </c>
      <c r="E224" s="23" t="str">
        <f t="shared" si="3"/>
        <v>miércoles</v>
      </c>
      <c r="F224" s="22">
        <f t="shared" si="4"/>
        <v>14</v>
      </c>
      <c r="G224" s="22" t="s">
        <v>23</v>
      </c>
      <c r="H224" s="3">
        <f>'AFI-F4'!$G$3</f>
        <v>45682</v>
      </c>
      <c r="I224" s="24">
        <f>'AFI-F4'!B21</f>
        <v>46036</v>
      </c>
      <c r="J224" s="2">
        <f>'AFI-F4'!C21</f>
        <v>75527342</v>
      </c>
      <c r="K224" s="2" t="str">
        <f>'AFI-F4'!D21</f>
        <v>Manuel Francisco Davalos</v>
      </c>
      <c r="L224" s="2" t="str">
        <f>'AFI-F4'!E21</f>
        <v>francisco.rm@pucp.pe</v>
      </c>
      <c r="M224" s="2" t="str">
        <f>'AFI-F4'!F21</f>
        <v>SJL</v>
      </c>
      <c r="N224" s="2" t="str">
        <f>'AFI-F4'!G21</f>
        <v>986 601 138</v>
      </c>
      <c r="O224" s="2" t="str">
        <f>'AFI-F4'!H21</f>
        <v>X</v>
      </c>
      <c r="P224" s="2" t="str">
        <f>'AFI-F4'!I21</f>
        <v/>
      </c>
      <c r="Q224" s="2">
        <f>'AFI-F4'!J21</f>
        <v>90</v>
      </c>
      <c r="R224" s="2">
        <f>'AFI-F4'!K21</f>
        <v>90</v>
      </c>
      <c r="S224" s="2" t="str">
        <f>'AFI-F4'!L21</f>
        <v>COBR</v>
      </c>
      <c r="T224" s="2" t="str">
        <f>'AFI-F4'!M21</f>
        <v>YAPE JL</v>
      </c>
      <c r="U224" s="2">
        <f>'AFI-F4'!N21</f>
        <v>90</v>
      </c>
      <c r="V224" s="2">
        <f>'AFI-F4'!O21</f>
        <v>90</v>
      </c>
      <c r="W224" s="2" t="str">
        <f>'AFI-F4'!P21</f>
        <v>Yadhira</v>
      </c>
      <c r="X224" s="5">
        <f>'AFI-F4'!Q21</f>
        <v>180</v>
      </c>
      <c r="Y224" s="1"/>
      <c r="Z224" s="1"/>
      <c r="AA224" s="1"/>
    </row>
    <row r="225">
      <c r="A225" s="1"/>
      <c r="B225" s="14">
        <f t="shared" si="8"/>
        <v>18</v>
      </c>
      <c r="C225" s="22" t="str">
        <f t="shared" si="1"/>
        <v>enero</v>
      </c>
      <c r="D225" s="22">
        <f t="shared" si="2"/>
        <v>3</v>
      </c>
      <c r="E225" s="23" t="str">
        <f t="shared" si="3"/>
        <v>martes</v>
      </c>
      <c r="F225" s="22">
        <f t="shared" si="4"/>
        <v>13</v>
      </c>
      <c r="G225" s="22" t="s">
        <v>23</v>
      </c>
      <c r="H225" s="3">
        <f>'AFI-F4'!$G$3</f>
        <v>45682</v>
      </c>
      <c r="I225" s="24">
        <f>'AFI-F4'!B22</f>
        <v>46035</v>
      </c>
      <c r="J225" s="2">
        <f>'AFI-F4'!C22</f>
        <v>42084574</v>
      </c>
      <c r="K225" s="2" t="str">
        <f>'AFI-F4'!D22</f>
        <v>Cesar La Rosa-Sánchez Cordero</v>
      </c>
      <c r="L225" s="27" t="str">
        <f>'AFI-F4'!E22</f>
        <v>cesarlarosa_20@yahoo.com.pe</v>
      </c>
      <c r="M225" s="2" t="str">
        <f>'AFI-F4'!F22</f>
        <v/>
      </c>
      <c r="N225" s="2" t="str">
        <f>'AFI-F4'!G22</f>
        <v/>
      </c>
      <c r="O225" s="2" t="str">
        <f>'AFI-F4'!H22</f>
        <v>x</v>
      </c>
      <c r="P225" s="2" t="str">
        <f>'AFI-F4'!I22</f>
        <v>x</v>
      </c>
      <c r="Q225" s="2">
        <f>'AFI-F4'!J22</f>
        <v>380</v>
      </c>
      <c r="R225" s="2" t="str">
        <f>'AFI-F4'!K22</f>
        <v/>
      </c>
      <c r="S225" s="2" t="str">
        <f>'AFI-F4'!L22</f>
        <v>PAGO</v>
      </c>
      <c r="T225" s="2" t="str">
        <f>'AFI-F4'!M22</f>
        <v>YAPE JL</v>
      </c>
      <c r="U225" s="2">
        <f>'AFI-F4'!N22</f>
        <v>380</v>
      </c>
      <c r="V225" s="2" t="str">
        <f>'AFI-F4'!O22</f>
        <v/>
      </c>
      <c r="W225" s="2" t="str">
        <f>'AFI-F4'!P22</f>
        <v>Katherine</v>
      </c>
      <c r="X225" s="5">
        <f>'AFI-F4'!Q22</f>
        <v>380</v>
      </c>
      <c r="Y225" s="1"/>
      <c r="Z225" s="1"/>
      <c r="AA225" s="1"/>
    </row>
    <row r="226">
      <c r="A226" s="1"/>
      <c r="B226" s="14">
        <f t="shared" si="8"/>
        <v>19</v>
      </c>
      <c r="C226" s="22" t="str">
        <f t="shared" si="1"/>
        <v>enero</v>
      </c>
      <c r="D226" s="22">
        <f t="shared" si="2"/>
        <v>3</v>
      </c>
      <c r="E226" s="23" t="str">
        <f t="shared" si="3"/>
        <v>miércoles</v>
      </c>
      <c r="F226" s="22">
        <f t="shared" si="4"/>
        <v>14</v>
      </c>
      <c r="G226" s="22" t="s">
        <v>23</v>
      </c>
      <c r="H226" s="3">
        <f>'AFI-F4'!$G$3</f>
        <v>45682</v>
      </c>
      <c r="I226" s="24">
        <f>'AFI-F4'!B23</f>
        <v>46036</v>
      </c>
      <c r="J226" s="2">
        <f>'AFI-F4'!C23</f>
        <v>61802066</v>
      </c>
      <c r="K226" s="2" t="str">
        <f>'AFI-F4'!D23</f>
        <v> Alexander Zambrano Vizcarra</v>
      </c>
      <c r="L226" s="2" t="str">
        <f>'AFI-F4'!E23</f>
        <v/>
      </c>
      <c r="M226" s="2" t="str">
        <f>'AFI-F4'!F23</f>
        <v> San Juan de Miraflores </v>
      </c>
      <c r="N226" s="2" t="str">
        <f>'AFI-F4'!G23</f>
        <v/>
      </c>
      <c r="O226" s="2" t="str">
        <f>'AFI-F4'!H23</f>
        <v>x</v>
      </c>
      <c r="P226" s="2" t="str">
        <f>'AFI-F4'!I23</f>
        <v/>
      </c>
      <c r="Q226" s="2">
        <f>'AFI-F4'!J23</f>
        <v>190</v>
      </c>
      <c r="R226" s="2" t="str">
        <f>'AFI-F4'!K23</f>
        <v/>
      </c>
      <c r="S226" s="2" t="str">
        <f>'AFI-F4'!L23</f>
        <v>PAGO</v>
      </c>
      <c r="T226" s="2" t="str">
        <f>'AFI-F4'!M23</f>
        <v>YAPE JL</v>
      </c>
      <c r="U226" s="2">
        <f>'AFI-F4'!N23</f>
        <v>190</v>
      </c>
      <c r="V226" s="2" t="str">
        <f>'AFI-F4'!O23</f>
        <v/>
      </c>
      <c r="W226" s="2" t="str">
        <f>'AFI-F4'!P23</f>
        <v>Katherine</v>
      </c>
      <c r="X226" s="5">
        <f>'AFI-F4'!Q23</f>
        <v>190</v>
      </c>
      <c r="Y226" s="1"/>
      <c r="Z226" s="1"/>
      <c r="AA226" s="1"/>
    </row>
    <row r="227">
      <c r="A227" s="1"/>
      <c r="B227" s="14">
        <f t="shared" si="8"/>
        <v>20</v>
      </c>
      <c r="C227" s="22" t="str">
        <f t="shared" si="1"/>
        <v>enero</v>
      </c>
      <c r="D227" s="22">
        <f t="shared" si="2"/>
        <v>3</v>
      </c>
      <c r="E227" s="23" t="str">
        <f t="shared" si="3"/>
        <v>miércoles</v>
      </c>
      <c r="F227" s="22">
        <f t="shared" si="4"/>
        <v>14</v>
      </c>
      <c r="G227" s="22" t="s">
        <v>23</v>
      </c>
      <c r="H227" s="3">
        <f>'AFI-F4'!$G$3</f>
        <v>45682</v>
      </c>
      <c r="I227" s="24">
        <f>'AFI-F4'!B24</f>
        <v>46036</v>
      </c>
      <c r="J227" s="2">
        <f>'AFI-F4'!C24</f>
        <v>61741943</v>
      </c>
      <c r="K227" s="2" t="str">
        <f>'AFI-F4'!D24</f>
        <v>Fabricio Urbina Zambrano </v>
      </c>
      <c r="L227" s="2" t="str">
        <f>'AFI-F4'!E24</f>
        <v/>
      </c>
      <c r="M227" s="2" t="str">
        <f>'AFI-F4'!F24</f>
        <v> San Juan de Miraflores </v>
      </c>
      <c r="N227" s="2" t="str">
        <f>'AFI-F4'!G24</f>
        <v/>
      </c>
      <c r="O227" s="2" t="str">
        <f>'AFI-F4'!H24</f>
        <v>x</v>
      </c>
      <c r="P227" s="2" t="str">
        <f>'AFI-F4'!I24</f>
        <v/>
      </c>
      <c r="Q227" s="2">
        <f>'AFI-F4'!J24</f>
        <v>190</v>
      </c>
      <c r="R227" s="2" t="str">
        <f>'AFI-F4'!K24</f>
        <v/>
      </c>
      <c r="S227" s="2" t="str">
        <f>'AFI-F4'!L24</f>
        <v>PAGO</v>
      </c>
      <c r="T227" s="2" t="str">
        <f>'AFI-F4'!M24</f>
        <v>YAPE JL</v>
      </c>
      <c r="U227" s="2">
        <f>'AFI-F4'!N24</f>
        <v>190</v>
      </c>
      <c r="V227" s="2" t="str">
        <f>'AFI-F4'!O24</f>
        <v/>
      </c>
      <c r="W227" s="2" t="str">
        <f>'AFI-F4'!P24</f>
        <v>Katherine</v>
      </c>
      <c r="X227" s="5">
        <f>'AFI-F4'!Q24</f>
        <v>190</v>
      </c>
      <c r="Y227" s="1"/>
      <c r="Z227" s="1"/>
      <c r="AA227" s="1"/>
    </row>
    <row r="228">
      <c r="A228" s="1"/>
      <c r="B228" s="14">
        <f t="shared" si="8"/>
        <v>21</v>
      </c>
      <c r="C228" s="22" t="str">
        <f t="shared" si="1"/>
        <v>enero</v>
      </c>
      <c r="D228" s="22">
        <f t="shared" si="2"/>
        <v>3</v>
      </c>
      <c r="E228" s="23" t="str">
        <f t="shared" si="3"/>
        <v>miércoles</v>
      </c>
      <c r="F228" s="22">
        <f t="shared" si="4"/>
        <v>14</v>
      </c>
      <c r="G228" s="22" t="s">
        <v>23</v>
      </c>
      <c r="H228" s="3">
        <f>'AFI-F4'!$G$3</f>
        <v>45682</v>
      </c>
      <c r="I228" s="24">
        <f>'AFI-F4'!B25</f>
        <v>46036</v>
      </c>
      <c r="J228" s="2">
        <f>'AFI-F4'!C25</f>
        <v>70919834</v>
      </c>
      <c r="K228" s="2" t="str">
        <f>'AFI-F4'!D25</f>
        <v>Carlos Eduardo Cumpa alayo </v>
      </c>
      <c r="L228" s="2" t="str">
        <f>'AFI-F4'!E25</f>
        <v/>
      </c>
      <c r="M228" s="2" t="str">
        <f>'AFI-F4'!F25</f>
        <v>San Juan de lurigancho</v>
      </c>
      <c r="N228" s="2" t="str">
        <f>'AFI-F4'!G25</f>
        <v/>
      </c>
      <c r="O228" s="2" t="str">
        <f>'AFI-F4'!H25</f>
        <v>x</v>
      </c>
      <c r="P228" s="2" t="str">
        <f>'AFI-F4'!I25</f>
        <v/>
      </c>
      <c r="Q228" s="2">
        <f>'AFI-F4'!J25</f>
        <v>200</v>
      </c>
      <c r="R228" s="2" t="str">
        <f>'AFI-F4'!K25</f>
        <v/>
      </c>
      <c r="S228" s="2" t="str">
        <f>'AFI-F4'!L25</f>
        <v>PAGO</v>
      </c>
      <c r="T228" s="2" t="str">
        <f>'AFI-F4'!M25</f>
        <v>YAPE JL</v>
      </c>
      <c r="U228" s="2">
        <f>'AFI-F4'!N25</f>
        <v>200</v>
      </c>
      <c r="V228" s="2" t="str">
        <f>'AFI-F4'!O25</f>
        <v/>
      </c>
      <c r="W228" s="2" t="str">
        <f>'AFI-F4'!P25</f>
        <v>Katherine</v>
      </c>
      <c r="X228" s="5">
        <f>'AFI-F4'!Q25</f>
        <v>200</v>
      </c>
      <c r="Y228" s="1"/>
      <c r="Z228" s="1"/>
      <c r="AA228" s="1"/>
    </row>
    <row r="229">
      <c r="A229" s="1"/>
      <c r="B229" s="14">
        <f t="shared" si="8"/>
        <v>22</v>
      </c>
      <c r="C229" s="22" t="str">
        <f t="shared" si="1"/>
        <v>enero</v>
      </c>
      <c r="D229" s="22">
        <f t="shared" si="2"/>
        <v>3</v>
      </c>
      <c r="E229" s="23" t="str">
        <f t="shared" si="3"/>
        <v>miércoles</v>
      </c>
      <c r="F229" s="22">
        <f t="shared" si="4"/>
        <v>14</v>
      </c>
      <c r="G229" s="22" t="s">
        <v>23</v>
      </c>
      <c r="H229" s="3">
        <f>'AFI-F4'!$G$3</f>
        <v>45682</v>
      </c>
      <c r="I229" s="24">
        <f>'AFI-F4'!B26</f>
        <v>46036</v>
      </c>
      <c r="J229" s="2">
        <f>'AFI-F4'!C26</f>
        <v>25728595</v>
      </c>
      <c r="K229" s="2" t="str">
        <f>'AFI-F4'!D26</f>
        <v>Juan Augusto Arrunátegui Paiva </v>
      </c>
      <c r="L229" s="2" t="str">
        <f>'AFI-F4'!E26</f>
        <v>arrunateguijuan@gmail.com</v>
      </c>
      <c r="M229" s="2" t="str">
        <f>'AFI-F4'!F26</f>
        <v>Pueblo  Libre</v>
      </c>
      <c r="N229" s="2" t="str">
        <f>'AFI-F4'!G26</f>
        <v/>
      </c>
      <c r="O229" s="2" t="str">
        <f>'AFI-F4'!H26</f>
        <v>x</v>
      </c>
      <c r="P229" s="2" t="str">
        <f>'AFI-F4'!I26</f>
        <v/>
      </c>
      <c r="Q229" s="2">
        <f>'AFI-F4'!J26</f>
        <v>190</v>
      </c>
      <c r="R229" s="2" t="str">
        <f>'AFI-F4'!K26</f>
        <v/>
      </c>
      <c r="S229" s="2" t="str">
        <f>'AFI-F4'!L26</f>
        <v>PAGO</v>
      </c>
      <c r="T229" s="2" t="str">
        <f>'AFI-F4'!M26</f>
        <v/>
      </c>
      <c r="U229" s="2">
        <f>'AFI-F4'!N26</f>
        <v>190</v>
      </c>
      <c r="V229" s="2" t="str">
        <f>'AFI-F4'!O26</f>
        <v/>
      </c>
      <c r="W229" s="2" t="str">
        <f>'AFI-F4'!P26</f>
        <v>Gabriela</v>
      </c>
      <c r="X229" s="5">
        <f>'AFI-F4'!Q26</f>
        <v>190</v>
      </c>
      <c r="Y229" s="1"/>
      <c r="Z229" s="1"/>
      <c r="AA229" s="1"/>
    </row>
    <row r="230">
      <c r="A230" s="1"/>
      <c r="B230" s="14">
        <f t="shared" si="8"/>
        <v>23</v>
      </c>
      <c r="C230" s="22" t="str">
        <f t="shared" si="1"/>
        <v>enero</v>
      </c>
      <c r="D230" s="22">
        <f t="shared" si="2"/>
        <v>3</v>
      </c>
      <c r="E230" s="23" t="str">
        <f t="shared" si="3"/>
        <v>miércoles</v>
      </c>
      <c r="F230" s="22">
        <f t="shared" si="4"/>
        <v>14</v>
      </c>
      <c r="G230" s="22" t="s">
        <v>23</v>
      </c>
      <c r="H230" s="3">
        <f>'AFI-F4'!$G$3</f>
        <v>45682</v>
      </c>
      <c r="I230" s="24">
        <f>'AFI-F4'!B27</f>
        <v>46036</v>
      </c>
      <c r="J230" s="2">
        <f>'AFI-F4'!C27</f>
        <v>73171842</v>
      </c>
      <c r="K230" s="2" t="str">
        <f>'AFI-F4'!D27</f>
        <v>César Augusto Arrunátegui Vásquez </v>
      </c>
      <c r="L230" s="2" t="str">
        <f>'AFI-F4'!E27</f>
        <v>arrunateguijuan@gmail.com</v>
      </c>
      <c r="M230" s="2" t="str">
        <f>'AFI-F4'!F27</f>
        <v>Pueblo libre</v>
      </c>
      <c r="N230" s="2" t="str">
        <f>'AFI-F4'!G27</f>
        <v/>
      </c>
      <c r="O230" s="2" t="str">
        <f>'AFI-F4'!H27</f>
        <v>x</v>
      </c>
      <c r="P230" s="2" t="str">
        <f>'AFI-F4'!I27</f>
        <v>x</v>
      </c>
      <c r="Q230" s="2">
        <f>'AFI-F4'!J27</f>
        <v>110</v>
      </c>
      <c r="R230" s="2">
        <f>'AFI-F4'!K27</f>
        <v>270</v>
      </c>
      <c r="S230" s="2" t="str">
        <f>'AFI-F4'!L27</f>
        <v>PAGO</v>
      </c>
      <c r="T230" s="2" t="str">
        <f>'AFI-F4'!M27</f>
        <v/>
      </c>
      <c r="U230" s="2">
        <f>'AFI-F4'!N27</f>
        <v>110</v>
      </c>
      <c r="V230" s="2">
        <f>'AFI-F4'!O27</f>
        <v>270</v>
      </c>
      <c r="W230" s="2" t="str">
        <f>'AFI-F4'!P27</f>
        <v>Gabriela</v>
      </c>
      <c r="X230" s="5">
        <f>'AFI-F4'!Q27</f>
        <v>380</v>
      </c>
      <c r="Y230" s="1"/>
      <c r="Z230" s="1"/>
      <c r="AA230" s="1"/>
    </row>
    <row r="231">
      <c r="A231" s="1"/>
      <c r="B231" s="14">
        <f t="shared" si="8"/>
        <v>24</v>
      </c>
      <c r="C231" s="22" t="str">
        <f t="shared" si="1"/>
        <v>enero</v>
      </c>
      <c r="D231" s="22">
        <f t="shared" si="2"/>
        <v>3</v>
      </c>
      <c r="E231" s="23" t="str">
        <f t="shared" si="3"/>
        <v>miércoles</v>
      </c>
      <c r="F231" s="22">
        <f t="shared" si="4"/>
        <v>14</v>
      </c>
      <c r="G231" s="22" t="s">
        <v>23</v>
      </c>
      <c r="H231" s="3">
        <f>'AFI-F4'!$G$3</f>
        <v>45682</v>
      </c>
      <c r="I231" s="24">
        <f>'AFI-F4'!B28</f>
        <v>46036</v>
      </c>
      <c r="J231" s="2">
        <f>'AFI-F4'!C28</f>
        <v>76601657</v>
      </c>
      <c r="K231" s="2" t="str">
        <f>'AFI-F4'!D28</f>
        <v>Anthony Giancarlos rios agesto</v>
      </c>
      <c r="L231" s="27" t="str">
        <f>'AFI-F4'!E28</f>
        <v>gian.agesto.tkm@gmail.com</v>
      </c>
      <c r="M231" s="2" t="str">
        <f>'AFI-F4'!F28</f>
        <v>Huacho </v>
      </c>
      <c r="N231" s="2" t="str">
        <f>'AFI-F4'!G28</f>
        <v/>
      </c>
      <c r="O231" s="2" t="str">
        <f>'AFI-F4'!H28</f>
        <v>x</v>
      </c>
      <c r="P231" s="2" t="str">
        <f>'AFI-F4'!I28</f>
        <v/>
      </c>
      <c r="Q231" s="2">
        <f>'AFI-F4'!J28</f>
        <v>150</v>
      </c>
      <c r="R231" s="2" t="str">
        <f>'AFI-F4'!K28</f>
        <v/>
      </c>
      <c r="S231" s="2" t="str">
        <f>'AFI-F4'!L28</f>
        <v>PAGO</v>
      </c>
      <c r="T231" s="2" t="str">
        <f>'AFI-F4'!M28</f>
        <v/>
      </c>
      <c r="U231" s="2">
        <f>'AFI-F4'!N28</f>
        <v>150</v>
      </c>
      <c r="V231" s="2" t="str">
        <f>'AFI-F4'!O28</f>
        <v/>
      </c>
      <c r="W231" s="2" t="str">
        <f>'AFI-F4'!P28</f>
        <v>Gabriela</v>
      </c>
      <c r="X231" s="5">
        <f>'AFI-F4'!Q28</f>
        <v>150</v>
      </c>
      <c r="Y231" s="1"/>
      <c r="Z231" s="1"/>
      <c r="AA231" s="1"/>
    </row>
    <row r="232">
      <c r="A232" s="1"/>
      <c r="B232" s="14">
        <f t="shared" si="8"/>
        <v>25</v>
      </c>
      <c r="C232" s="22" t="str">
        <f t="shared" si="1"/>
        <v>enero</v>
      </c>
      <c r="D232" s="22">
        <f t="shared" si="2"/>
        <v>3</v>
      </c>
      <c r="E232" s="23" t="str">
        <f t="shared" si="3"/>
        <v>miércoles</v>
      </c>
      <c r="F232" s="22">
        <f t="shared" si="4"/>
        <v>14</v>
      </c>
      <c r="G232" s="22" t="s">
        <v>23</v>
      </c>
      <c r="H232" s="3">
        <f>'AFI-F4'!$G$3</f>
        <v>45682</v>
      </c>
      <c r="I232" s="24">
        <f>'AFI-F4'!B29</f>
        <v>46036</v>
      </c>
      <c r="J232" s="2">
        <f>'AFI-F4'!C29</f>
        <v>40902213</v>
      </c>
      <c r="K232" s="2" t="str">
        <f>'AFI-F4'!D29</f>
        <v>DAVID DANIEL ECOS BENAVIDES</v>
      </c>
      <c r="L232" s="27" t="str">
        <f>'AFI-F4'!E29</f>
        <v>david.ecos@icloud.com</v>
      </c>
      <c r="M232" s="2" t="str">
        <f>'AFI-F4'!F29</f>
        <v>Lince</v>
      </c>
      <c r="N232" s="2" t="str">
        <f>'AFI-F4'!G29</f>
        <v>923 335 713</v>
      </c>
      <c r="O232" s="2" t="str">
        <f>'AFI-F4'!H29</f>
        <v>x</v>
      </c>
      <c r="P232" s="2" t="str">
        <f>'AFI-F4'!I29</f>
        <v>x</v>
      </c>
      <c r="Q232" s="2">
        <f>'AFI-F4'!J29</f>
        <v>380</v>
      </c>
      <c r="R232" s="2" t="str">
        <f>'AFI-F4'!K29</f>
        <v/>
      </c>
      <c r="S232" s="2" t="str">
        <f>'AFI-F4'!L29</f>
        <v>PAGO</v>
      </c>
      <c r="T232" s="2" t="str">
        <f>'AFI-F4'!M29</f>
        <v>BCP JL</v>
      </c>
      <c r="U232" s="2">
        <f>'AFI-F4'!N29</f>
        <v>150</v>
      </c>
      <c r="V232" s="2" t="str">
        <f>'AFI-F4'!O29</f>
        <v/>
      </c>
      <c r="W232" s="2" t="str">
        <f>'AFI-F4'!P29</f>
        <v>Gabriela</v>
      </c>
      <c r="X232" s="5">
        <f>'AFI-F4'!Q29</f>
        <v>150</v>
      </c>
      <c r="Y232" s="1"/>
      <c r="Z232" s="1"/>
      <c r="AA232" s="1"/>
    </row>
    <row r="233">
      <c r="A233" s="1"/>
      <c r="B233" s="14">
        <f t="shared" si="8"/>
        <v>26</v>
      </c>
      <c r="C233" s="22" t="str">
        <f t="shared" si="1"/>
        <v>enero</v>
      </c>
      <c r="D233" s="22">
        <f t="shared" si="2"/>
        <v>3</v>
      </c>
      <c r="E233" s="23" t="str">
        <f t="shared" si="3"/>
        <v>jueves</v>
      </c>
      <c r="F233" s="22">
        <f t="shared" si="4"/>
        <v>15</v>
      </c>
      <c r="G233" s="22" t="s">
        <v>23</v>
      </c>
      <c r="H233" s="3">
        <f>'AFI-F4'!$G$3</f>
        <v>45682</v>
      </c>
      <c r="I233" s="24">
        <f>'AFI-F4'!B30</f>
        <v>46037</v>
      </c>
      <c r="J233" s="2">
        <f>'AFI-F4'!C30</f>
        <v>77060706</v>
      </c>
      <c r="K233" s="2" t="str">
        <f>'AFI-F4'!D30</f>
        <v>ALEXIS FABIAN SANTA CRUZ QUILLAY</v>
      </c>
      <c r="L233" s="2" t="str">
        <f>'AFI-F4'!E30</f>
        <v>santacruzalexis950@gmail.com</v>
      </c>
      <c r="M233" s="2" t="str">
        <f>'AFI-F4'!F30</f>
        <v>HUARAL</v>
      </c>
      <c r="N233" s="2">
        <f>'AFI-F4'!G30</f>
        <v>917395017</v>
      </c>
      <c r="O233" s="2" t="str">
        <f>'AFI-F4'!H30</f>
        <v>X</v>
      </c>
      <c r="P233" s="2" t="str">
        <f>'AFI-F4'!I30</f>
        <v>X</v>
      </c>
      <c r="Q233" s="2">
        <f>'AFI-F4'!J30</f>
        <v>180</v>
      </c>
      <c r="R233" s="2">
        <f>'AFI-F4'!K30</f>
        <v>180</v>
      </c>
      <c r="S233" s="2" t="str">
        <f>'AFI-F4'!L30</f>
        <v>COBR</v>
      </c>
      <c r="T233" s="2" t="str">
        <f>'AFI-F4'!M30</f>
        <v>BBVA JL</v>
      </c>
      <c r="U233" s="2">
        <f>'AFI-F4'!N30</f>
        <v>180</v>
      </c>
      <c r="V233" s="2">
        <f>'AFI-F4'!O30</f>
        <v>180</v>
      </c>
      <c r="W233" s="2" t="str">
        <f>'AFI-F4'!P30</f>
        <v>Yadhira</v>
      </c>
      <c r="X233" s="5">
        <f>'AFI-F4'!Q30</f>
        <v>360</v>
      </c>
      <c r="Y233" s="1"/>
      <c r="Z233" s="1"/>
      <c r="AA233" s="1"/>
    </row>
    <row r="234">
      <c r="A234" s="1"/>
      <c r="B234" s="14">
        <f t="shared" si="8"/>
        <v>27</v>
      </c>
      <c r="C234" s="22" t="str">
        <f t="shared" si="1"/>
        <v>enero</v>
      </c>
      <c r="D234" s="22">
        <f t="shared" si="2"/>
        <v>3</v>
      </c>
      <c r="E234" s="23" t="str">
        <f t="shared" si="3"/>
        <v>viernes</v>
      </c>
      <c r="F234" s="22">
        <f t="shared" si="4"/>
        <v>16</v>
      </c>
      <c r="G234" s="22" t="s">
        <v>23</v>
      </c>
      <c r="H234" s="3">
        <f>'AFI-F4'!$G$3</f>
        <v>45682</v>
      </c>
      <c r="I234" s="24">
        <f>'AFI-F4'!B31</f>
        <v>46038</v>
      </c>
      <c r="J234" s="2" t="str">
        <f>'AFI-F4'!C31</f>
        <v>*09493577</v>
      </c>
      <c r="K234" s="2" t="str">
        <f>'AFI-F4'!D31</f>
        <v>MARCO DEL CASTILLO RUIZ CARO </v>
      </c>
      <c r="L234" s="2" t="str">
        <f>'AFI-F4'!E31</f>
        <v>MMDCRC@HOTMAIL.COM</v>
      </c>
      <c r="M234" s="2" t="str">
        <f>'AFI-F4'!F31</f>
        <v>Chorrillos</v>
      </c>
      <c r="N234" s="2" t="str">
        <f>'AFI-F4'!G31</f>
        <v/>
      </c>
      <c r="O234" s="2" t="str">
        <f>'AFI-F4'!H31</f>
        <v>x</v>
      </c>
      <c r="P234" s="2" t="str">
        <f>'AFI-F4'!I31</f>
        <v>x</v>
      </c>
      <c r="Q234" s="2">
        <f>'AFI-F4'!J31</f>
        <v>380</v>
      </c>
      <c r="R234" s="2" t="str">
        <f>'AFI-F4'!K31</f>
        <v/>
      </c>
      <c r="S234" s="2" t="str">
        <f>'AFI-F4'!L31</f>
        <v>PAGO</v>
      </c>
      <c r="T234" s="2" t="str">
        <f>'AFI-F4'!M31</f>
        <v>YAPE JL</v>
      </c>
      <c r="U234" s="2">
        <f>'AFI-F4'!N31</f>
        <v>380</v>
      </c>
      <c r="V234" s="2" t="str">
        <f>'AFI-F4'!O31</f>
        <v/>
      </c>
      <c r="W234" s="2" t="str">
        <f>'AFI-F4'!P31</f>
        <v>Gabriela</v>
      </c>
      <c r="X234" s="5">
        <f>'AFI-F4'!Q31</f>
        <v>380</v>
      </c>
      <c r="Y234" s="1"/>
      <c r="Z234" s="1"/>
      <c r="AA234" s="1"/>
    </row>
    <row r="235">
      <c r="A235" s="1"/>
      <c r="B235" s="14">
        <f t="shared" si="8"/>
        <v>28</v>
      </c>
      <c r="C235" s="22" t="str">
        <f t="shared" si="1"/>
        <v>enero</v>
      </c>
      <c r="D235" s="22">
        <f t="shared" si="2"/>
        <v>3</v>
      </c>
      <c r="E235" s="23" t="str">
        <f t="shared" si="3"/>
        <v>viernes</v>
      </c>
      <c r="F235" s="22">
        <f t="shared" si="4"/>
        <v>16</v>
      </c>
      <c r="G235" s="22" t="s">
        <v>23</v>
      </c>
      <c r="H235" s="3">
        <f>'AFI-F4'!$G$3</f>
        <v>45682</v>
      </c>
      <c r="I235" s="24">
        <f>'AFI-F4'!B32</f>
        <v>46038</v>
      </c>
      <c r="J235" s="2">
        <f>'AFI-F4'!C32</f>
        <v>76799413</v>
      </c>
      <c r="K235" s="2" t="str">
        <f>'AFI-F4'!D32</f>
        <v>Gerson Alejandro Nogueyra Saldarriaga</v>
      </c>
      <c r="L235" s="2" t="str">
        <f>'AFI-F4'!E32</f>
        <v>ng.producciones.art@gmail.com</v>
      </c>
      <c r="M235" s="2" t="str">
        <f>'AFI-F4'!F32</f>
        <v>CALLAO</v>
      </c>
      <c r="N235" s="2" t="str">
        <f>'AFI-F4'!G32</f>
        <v>923 677 984</v>
      </c>
      <c r="O235" s="2" t="str">
        <f>'AFI-F4'!H32</f>
        <v>X</v>
      </c>
      <c r="P235" s="2" t="str">
        <f>'AFI-F4'!I32</f>
        <v/>
      </c>
      <c r="Q235" s="2">
        <f>'AFI-F4'!J32</f>
        <v>0</v>
      </c>
      <c r="R235" s="2" t="str">
        <f>'AFI-F4'!K32</f>
        <v/>
      </c>
      <c r="S235" s="2" t="str">
        <f>'AFI-F4'!L32</f>
        <v/>
      </c>
      <c r="T235" s="2" t="str">
        <f>'AFI-F4'!M32</f>
        <v/>
      </c>
      <c r="U235" s="2">
        <f>'AFI-F4'!N32</f>
        <v>0</v>
      </c>
      <c r="V235" s="2" t="str">
        <f>'AFI-F4'!O32</f>
        <v/>
      </c>
      <c r="W235" s="2" t="str">
        <f>'AFI-F4'!P32</f>
        <v>Yadhira</v>
      </c>
      <c r="X235" s="5">
        <f>'AFI-F4'!Q32</f>
        <v>0</v>
      </c>
      <c r="Y235" s="1"/>
      <c r="Z235" s="1"/>
      <c r="AA235" s="1"/>
    </row>
    <row r="236">
      <c r="A236" s="1"/>
      <c r="B236" s="14">
        <f t="shared" si="8"/>
        <v>29</v>
      </c>
      <c r="C236" s="22" t="str">
        <f t="shared" si="1"/>
        <v>enero</v>
      </c>
      <c r="D236" s="22">
        <f t="shared" si="2"/>
        <v>3</v>
      </c>
      <c r="E236" s="23" t="str">
        <f t="shared" si="3"/>
        <v>viernes</v>
      </c>
      <c r="F236" s="22">
        <f t="shared" si="4"/>
        <v>16</v>
      </c>
      <c r="G236" s="22" t="s">
        <v>23</v>
      </c>
      <c r="H236" s="3">
        <f>'AFI-F4'!$G$3</f>
        <v>45682</v>
      </c>
      <c r="I236" s="24">
        <f>'AFI-F4'!B33</f>
        <v>46038</v>
      </c>
      <c r="J236" s="2">
        <f>'AFI-F4'!C33</f>
        <v>45963559</v>
      </c>
      <c r="K236" s="2" t="str">
        <f>'AFI-F4'!D33</f>
        <v>ROSARIO TRUJILLO HIGINIO</v>
      </c>
      <c r="L236" s="2" t="str">
        <f>'AFI-F4'!E33</f>
        <v/>
      </c>
      <c r="M236" s="2" t="str">
        <f>'AFI-F4'!F33</f>
        <v/>
      </c>
      <c r="N236" s="2" t="str">
        <f>'AFI-F4'!G33</f>
        <v/>
      </c>
      <c r="O236" s="2" t="str">
        <f>'AFI-F4'!H33</f>
        <v>x</v>
      </c>
      <c r="P236" s="2" t="str">
        <f>'AFI-F4'!I33</f>
        <v/>
      </c>
      <c r="Q236" s="2">
        <f>'AFI-F4'!J33</f>
        <v>180</v>
      </c>
      <c r="R236" s="2" t="str">
        <f>'AFI-F4'!K33</f>
        <v/>
      </c>
      <c r="S236" s="2" t="str">
        <f>'AFI-F4'!L33</f>
        <v>PAGO</v>
      </c>
      <c r="T236" s="2" t="str">
        <f>'AFI-F4'!M33</f>
        <v>YAPE JL</v>
      </c>
      <c r="U236" s="2">
        <f>'AFI-F4'!N33</f>
        <v>180</v>
      </c>
      <c r="V236" s="2" t="str">
        <f>'AFI-F4'!O33</f>
        <v/>
      </c>
      <c r="W236" s="2" t="str">
        <f>'AFI-F4'!P33</f>
        <v>Katherine</v>
      </c>
      <c r="X236" s="5">
        <f>'AFI-F4'!Q33</f>
        <v>180</v>
      </c>
      <c r="Y236" s="1"/>
      <c r="Z236" s="1"/>
      <c r="AA236" s="1"/>
    </row>
    <row r="237">
      <c r="A237" s="1"/>
      <c r="B237" s="14">
        <f t="shared" si="8"/>
        <v>30</v>
      </c>
      <c r="C237" s="22" t="str">
        <f t="shared" si="1"/>
        <v>enero</v>
      </c>
      <c r="D237" s="22">
        <f t="shared" si="2"/>
        <v>3</v>
      </c>
      <c r="E237" s="23" t="str">
        <f t="shared" si="3"/>
        <v>viernes</v>
      </c>
      <c r="F237" s="22">
        <f t="shared" si="4"/>
        <v>16</v>
      </c>
      <c r="G237" s="22" t="s">
        <v>23</v>
      </c>
      <c r="H237" s="3">
        <f>'AFI-F4'!$G$3</f>
        <v>45682</v>
      </c>
      <c r="I237" s="24">
        <f>'AFI-F4'!B34</f>
        <v>46038</v>
      </c>
      <c r="J237" s="2">
        <f>'AFI-F4'!C34</f>
        <v>42243221</v>
      </c>
      <c r="K237" s="2" t="str">
        <f>'AFI-F4'!D34</f>
        <v>ALFREDO LOZADA FERNANDEZ</v>
      </c>
      <c r="L237" s="2" t="str">
        <f>'AFI-F4'!E34</f>
        <v/>
      </c>
      <c r="M237" s="2" t="str">
        <f>'AFI-F4'!F34</f>
        <v/>
      </c>
      <c r="N237" s="2" t="str">
        <f>'AFI-F4'!G34</f>
        <v/>
      </c>
      <c r="O237" s="2" t="str">
        <f>'AFI-F4'!H34</f>
        <v>x</v>
      </c>
      <c r="P237" s="2" t="str">
        <f>'AFI-F4'!I34</f>
        <v/>
      </c>
      <c r="Q237" s="2">
        <f>'AFI-F4'!J34</f>
        <v>180</v>
      </c>
      <c r="R237" s="2" t="str">
        <f>'AFI-F4'!K34</f>
        <v/>
      </c>
      <c r="S237" s="2" t="str">
        <f>'AFI-F4'!L34</f>
        <v>PAGO</v>
      </c>
      <c r="T237" s="2" t="str">
        <f>'AFI-F4'!M34</f>
        <v>YAPE JL</v>
      </c>
      <c r="U237" s="2">
        <f>'AFI-F4'!N34</f>
        <v>180</v>
      </c>
      <c r="V237" s="2" t="str">
        <f>'AFI-F4'!O34</f>
        <v/>
      </c>
      <c r="W237" s="2" t="str">
        <f>'AFI-F4'!P34</f>
        <v>Katherine</v>
      </c>
      <c r="X237" s="5">
        <f>'AFI-F4'!Q34</f>
        <v>180</v>
      </c>
      <c r="Y237" s="1"/>
      <c r="Z237" s="1"/>
      <c r="AA237" s="1"/>
    </row>
    <row r="238">
      <c r="A238" s="1"/>
      <c r="B238" s="14">
        <f t="shared" si="8"/>
        <v>31</v>
      </c>
      <c r="C238" s="22" t="str">
        <f t="shared" si="1"/>
        <v>enero</v>
      </c>
      <c r="D238" s="22">
        <f t="shared" si="2"/>
        <v>3</v>
      </c>
      <c r="E238" s="23" t="str">
        <f t="shared" si="3"/>
        <v>viernes</v>
      </c>
      <c r="F238" s="22">
        <f t="shared" si="4"/>
        <v>16</v>
      </c>
      <c r="G238" s="22" t="s">
        <v>23</v>
      </c>
      <c r="H238" s="3">
        <f>'AFI-F4'!$G$3</f>
        <v>45682</v>
      </c>
      <c r="I238" s="24">
        <f>'AFI-F4'!B35</f>
        <v>46038</v>
      </c>
      <c r="J238" s="2">
        <f>'AFI-F4'!C35</f>
        <v>7576311</v>
      </c>
      <c r="K238" s="2" t="str">
        <f>'AFI-F4'!D35</f>
        <v>Carlos sucasaca Vargas </v>
      </c>
      <c r="L238" s="2" t="str">
        <f>'AFI-F4'!E35</f>
        <v>Carlossucasaca@gmail.com</v>
      </c>
      <c r="M238" s="2" t="str">
        <f>'AFI-F4'!F35</f>
        <v>san Juan de Miraflores</v>
      </c>
      <c r="N238" s="2" t="str">
        <f>'AFI-F4'!G35</f>
        <v>(347) 592-6379</v>
      </c>
      <c r="O238" s="2" t="str">
        <f>'AFI-F4'!H35</f>
        <v>x</v>
      </c>
      <c r="P238" s="2" t="str">
        <f>'AFI-F4'!I35</f>
        <v/>
      </c>
      <c r="Q238" s="2">
        <f>'AFI-F4'!J35</f>
        <v>175</v>
      </c>
      <c r="R238" s="2">
        <f>'AFI-F4'!K35</f>
        <v>45</v>
      </c>
      <c r="S238" s="2" t="str">
        <f>'AFI-F4'!L35</f>
        <v>COBR</v>
      </c>
      <c r="T238" s="2" t="str">
        <f>'AFI-F4'!M35</f>
        <v>LINK-CULQUI</v>
      </c>
      <c r="U238" s="2">
        <f>'AFI-F4'!N35</f>
        <v>166</v>
      </c>
      <c r="V238" s="2">
        <f>'AFI-F4'!O35</f>
        <v>0</v>
      </c>
      <c r="W238" s="2" t="str">
        <f>'AFI-F4'!P35</f>
        <v>Sofia</v>
      </c>
      <c r="X238" s="5">
        <f>'AFI-F4'!Q35</f>
        <v>166</v>
      </c>
      <c r="Y238" s="1"/>
      <c r="Z238" s="1"/>
      <c r="AA238" s="1"/>
    </row>
    <row r="239">
      <c r="A239" s="1"/>
      <c r="B239" s="14">
        <f t="shared" si="8"/>
        <v>32</v>
      </c>
      <c r="C239" s="22" t="str">
        <f t="shared" si="1"/>
        <v>enero</v>
      </c>
      <c r="D239" s="22">
        <f t="shared" si="2"/>
        <v>3</v>
      </c>
      <c r="E239" s="23" t="str">
        <f t="shared" si="3"/>
        <v>viernes</v>
      </c>
      <c r="F239" s="22">
        <f t="shared" si="4"/>
        <v>16</v>
      </c>
      <c r="G239" s="22" t="s">
        <v>23</v>
      </c>
      <c r="H239" s="3">
        <f>'AFI-F4'!$G$3</f>
        <v>45682</v>
      </c>
      <c r="I239" s="24">
        <f>'AFI-F4'!B36</f>
        <v>46038</v>
      </c>
      <c r="J239" s="2" t="str">
        <f>'AFI-F4'!C36</f>
        <v/>
      </c>
      <c r="K239" s="2" t="str">
        <f>'AFI-F4'!D36</f>
        <v>Jonathan Ivan Espinoza Ruiz</v>
      </c>
      <c r="L239" s="2" t="str">
        <f>'AFI-F4'!E36</f>
        <v/>
      </c>
      <c r="M239" s="2" t="str">
        <f>'AFI-F4'!F36</f>
        <v/>
      </c>
      <c r="N239" s="2" t="str">
        <f>'AFI-F4'!G36</f>
        <v/>
      </c>
      <c r="O239" s="2" t="str">
        <f>'AFI-F4'!H36</f>
        <v>x</v>
      </c>
      <c r="P239" s="2" t="str">
        <f>'AFI-F4'!I36</f>
        <v/>
      </c>
      <c r="Q239" s="2">
        <f>'AFI-F4'!J36</f>
        <v>110</v>
      </c>
      <c r="R239" s="2">
        <f>'AFI-F4'!K36</f>
        <v>110</v>
      </c>
      <c r="S239" s="2" t="str">
        <f>'AFI-F4'!L36</f>
        <v>COBR</v>
      </c>
      <c r="T239" s="2" t="str">
        <f>'AFI-F4'!M36</f>
        <v>YAPE JL</v>
      </c>
      <c r="U239" s="2">
        <f>'AFI-F4'!N36</f>
        <v>110</v>
      </c>
      <c r="V239" s="2">
        <f>'AFI-F4'!O36</f>
        <v>110</v>
      </c>
      <c r="W239" s="2" t="str">
        <f>'AFI-F4'!P36</f>
        <v>Katherine</v>
      </c>
      <c r="X239" s="5">
        <f>'AFI-F4'!Q36</f>
        <v>220</v>
      </c>
      <c r="Y239" s="1"/>
      <c r="Z239" s="1"/>
      <c r="AA239" s="1"/>
    </row>
    <row r="240">
      <c r="A240" s="1"/>
      <c r="B240" s="14">
        <f t="shared" si="8"/>
        <v>33</v>
      </c>
      <c r="C240" s="22" t="str">
        <f t="shared" si="1"/>
        <v>enero</v>
      </c>
      <c r="D240" s="22">
        <f t="shared" si="2"/>
        <v>3</v>
      </c>
      <c r="E240" s="23" t="str">
        <f t="shared" si="3"/>
        <v>viernes</v>
      </c>
      <c r="F240" s="22">
        <f t="shared" si="4"/>
        <v>16</v>
      </c>
      <c r="G240" s="22" t="s">
        <v>23</v>
      </c>
      <c r="H240" s="3">
        <f>'AFI-F4'!$G$3</f>
        <v>45682</v>
      </c>
      <c r="I240" s="24">
        <f>'AFI-F4'!B37</f>
        <v>46038</v>
      </c>
      <c r="J240" s="2">
        <f>'AFI-F4'!C37</f>
        <v>43567257</v>
      </c>
      <c r="K240" s="2" t="str">
        <f>'AFI-F4'!D37</f>
        <v>Marleny Quispe Vilca</v>
      </c>
      <c r="L240" s="2" t="str">
        <f>'AFI-F4'!E37</f>
        <v/>
      </c>
      <c r="M240" s="2" t="str">
        <f>'AFI-F4'!F37</f>
        <v/>
      </c>
      <c r="N240" s="2" t="str">
        <f>'AFI-F4'!G37</f>
        <v/>
      </c>
      <c r="O240" s="2" t="str">
        <f>'AFI-F4'!H37</f>
        <v>x</v>
      </c>
      <c r="P240" s="2" t="str">
        <f>'AFI-F4'!I37</f>
        <v>x</v>
      </c>
      <c r="Q240" s="2">
        <f>'AFI-F4'!J37</f>
        <v>200</v>
      </c>
      <c r="R240" s="2">
        <f>'AFI-F4'!K37</f>
        <v>180</v>
      </c>
      <c r="S240" s="2" t="str">
        <f>'AFI-F4'!L37</f>
        <v>COBR</v>
      </c>
      <c r="T240" s="2" t="str">
        <f>'AFI-F4'!M37</f>
        <v>YAPE JL</v>
      </c>
      <c r="U240" s="2">
        <f>'AFI-F4'!N37</f>
        <v>200</v>
      </c>
      <c r="V240" s="2">
        <f>'AFI-F4'!O37</f>
        <v>180</v>
      </c>
      <c r="W240" s="2" t="str">
        <f>'AFI-F4'!P37</f>
        <v>Gabriela</v>
      </c>
      <c r="X240" s="5">
        <f>'AFI-F4'!Q37</f>
        <v>380</v>
      </c>
      <c r="Y240" s="1"/>
      <c r="Z240" s="1"/>
      <c r="AA240" s="1"/>
    </row>
    <row r="241">
      <c r="A241" s="1"/>
      <c r="B241" s="14">
        <f t="shared" si="8"/>
        <v>34</v>
      </c>
      <c r="C241" s="22" t="str">
        <f t="shared" si="1"/>
        <v>enero</v>
      </c>
      <c r="D241" s="22">
        <f t="shared" si="2"/>
        <v>3</v>
      </c>
      <c r="E241" s="23" t="str">
        <f t="shared" si="3"/>
        <v>viernes</v>
      </c>
      <c r="F241" s="22">
        <f t="shared" si="4"/>
        <v>16</v>
      </c>
      <c r="G241" s="22" t="s">
        <v>23</v>
      </c>
      <c r="H241" s="3">
        <f>'AFI-F4'!$G$3</f>
        <v>45682</v>
      </c>
      <c r="I241" s="24">
        <f>'AFI-F4'!B38</f>
        <v>46038</v>
      </c>
      <c r="J241" s="2" t="str">
        <f>'AFI-F4'!C38</f>
        <v>*005367250</v>
      </c>
      <c r="K241" s="2" t="str">
        <f>'AFI-F4'!D38</f>
        <v>Andres valencia muñoz</v>
      </c>
      <c r="L241" s="2" t="str">
        <f>'AFI-F4'!E38</f>
        <v>Kevinandresvalenciamunoz@gmail.com</v>
      </c>
      <c r="M241" s="2" t="str">
        <f>'AFI-F4'!F38</f>
        <v>La Molina</v>
      </c>
      <c r="N241" s="2" t="str">
        <f>'AFI-F4'!G38</f>
        <v/>
      </c>
      <c r="O241" s="2" t="str">
        <f>'AFI-F4'!H38</f>
        <v/>
      </c>
      <c r="P241" s="2" t="str">
        <f>'AFI-F4'!I38</f>
        <v>x</v>
      </c>
      <c r="Q241" s="2">
        <f>'AFI-F4'!J38</f>
        <v>190</v>
      </c>
      <c r="R241" s="2">
        <f>'AFI-F4'!K38</f>
        <v>190</v>
      </c>
      <c r="S241" s="2" t="str">
        <f>'AFI-F4'!L38</f>
        <v>COBR</v>
      </c>
      <c r="T241" s="2" t="str">
        <f>'AFI-F4'!M38</f>
        <v>YAPE JL</v>
      </c>
      <c r="U241" s="2">
        <f>'AFI-F4'!N38</f>
        <v>190</v>
      </c>
      <c r="V241" s="2">
        <f>'AFI-F4'!O38</f>
        <v>190</v>
      </c>
      <c r="W241" s="2" t="str">
        <f>'AFI-F4'!P38</f>
        <v>Gabriela</v>
      </c>
      <c r="X241" s="5">
        <f>'AFI-F4'!Q38</f>
        <v>380</v>
      </c>
      <c r="Y241" s="1"/>
      <c r="Z241" s="1"/>
      <c r="AA241" s="1"/>
    </row>
    <row r="242">
      <c r="A242" s="1"/>
      <c r="B242" s="14">
        <f t="shared" si="8"/>
        <v>35</v>
      </c>
      <c r="C242" s="22" t="str">
        <f t="shared" si="1"/>
        <v>enero</v>
      </c>
      <c r="D242" s="22">
        <f t="shared" si="2"/>
        <v>3</v>
      </c>
      <c r="E242" s="23" t="str">
        <f t="shared" si="3"/>
        <v>sábado</v>
      </c>
      <c r="F242" s="22">
        <f t="shared" si="4"/>
        <v>17</v>
      </c>
      <c r="G242" s="22" t="s">
        <v>23</v>
      </c>
      <c r="H242" s="3">
        <f>'AFI-F4'!$G$3</f>
        <v>45682</v>
      </c>
      <c r="I242" s="24">
        <f>'AFI-F4'!B39</f>
        <v>46039</v>
      </c>
      <c r="J242" s="2">
        <f>'AFI-F4'!C39</f>
        <v>10624546</v>
      </c>
      <c r="K242" s="2" t="str">
        <f>'AFI-F4'!D39</f>
        <v>Carlos Zuñiga Cabrera </v>
      </c>
      <c r="L242" s="2" t="str">
        <f>'AFI-F4'!E39</f>
        <v>carlosazunigacabrera@gmail.com</v>
      </c>
      <c r="M242" s="2" t="str">
        <f>'AFI-F4'!F39</f>
        <v>Jesus Maria </v>
      </c>
      <c r="N242" s="2" t="str">
        <f>'AFI-F4'!G39</f>
        <v>964 850 682 </v>
      </c>
      <c r="O242" s="2" t="str">
        <f>'AFI-F4'!H39</f>
        <v>x</v>
      </c>
      <c r="P242" s="2" t="str">
        <f>'AFI-F4'!I39</f>
        <v/>
      </c>
      <c r="Q242" s="2">
        <f>'AFI-F4'!J39</f>
        <v>200</v>
      </c>
      <c r="R242" s="2" t="str">
        <f>'AFI-F4'!K39</f>
        <v/>
      </c>
      <c r="S242" s="2" t="str">
        <f>'AFI-F4'!L39</f>
        <v>PAGO</v>
      </c>
      <c r="T242" s="2" t="str">
        <f>'AFI-F4'!M39</f>
        <v>YAPE JL</v>
      </c>
      <c r="U242" s="2">
        <f>'AFI-F4'!N39</f>
        <v>200</v>
      </c>
      <c r="V242" s="2" t="str">
        <f>'AFI-F4'!O39</f>
        <v/>
      </c>
      <c r="W242" s="2" t="str">
        <f>'AFI-F4'!P39</f>
        <v>Sofia</v>
      </c>
      <c r="X242" s="5">
        <f>'AFI-F4'!Q39</f>
        <v>200</v>
      </c>
      <c r="Y242" s="1"/>
      <c r="Z242" s="1"/>
      <c r="AA242" s="1"/>
    </row>
    <row r="243">
      <c r="A243" s="1"/>
      <c r="B243" s="14">
        <f t="shared" si="8"/>
        <v>36</v>
      </c>
      <c r="C243" s="22" t="str">
        <f t="shared" si="1"/>
        <v>enero</v>
      </c>
      <c r="D243" s="22">
        <f t="shared" si="2"/>
        <v>3</v>
      </c>
      <c r="E243" s="23" t="str">
        <f t="shared" si="3"/>
        <v>sábado</v>
      </c>
      <c r="F243" s="22">
        <f t="shared" si="4"/>
        <v>17</v>
      </c>
      <c r="G243" s="22" t="s">
        <v>23</v>
      </c>
      <c r="H243" s="3">
        <f>'AFI-F4'!$G$3</f>
        <v>45682</v>
      </c>
      <c r="I243" s="24">
        <f>'AFI-F4'!B40</f>
        <v>46039</v>
      </c>
      <c r="J243" s="2" t="str">
        <f>'AFI-F4'!C40</f>
        <v>06532689, </v>
      </c>
      <c r="K243" s="2" t="str">
        <f>'AFI-F4'!D40</f>
        <v>Mack Alexis Flores Chalco, </v>
      </c>
      <c r="L243" s="2" t="str">
        <f>'AFI-F4'!E40</f>
        <v>alexisflores1973@gmail.com </v>
      </c>
      <c r="M243" s="2" t="str">
        <f>'AFI-F4'!F40</f>
        <v>Miraflores, </v>
      </c>
      <c r="N243" s="2" t="str">
        <f>'AFI-F4'!G40</f>
        <v/>
      </c>
      <c r="O243" s="2" t="str">
        <f>'AFI-F4'!H40</f>
        <v/>
      </c>
      <c r="P243" s="2" t="str">
        <f>'AFI-F4'!I40</f>
        <v>x</v>
      </c>
      <c r="Q243" s="2">
        <f>'AFI-F4'!J40</f>
        <v>100</v>
      </c>
      <c r="R243" s="2">
        <f>'AFI-F4'!K40</f>
        <v>100</v>
      </c>
      <c r="S243" s="2" t="str">
        <f>'AFI-F4'!L40</f>
        <v>COBR</v>
      </c>
      <c r="T243" s="2" t="str">
        <f>'AFI-F4'!M40</f>
        <v>YAPE JL</v>
      </c>
      <c r="U243" s="2">
        <f>'AFI-F4'!N40</f>
        <v>100</v>
      </c>
      <c r="V243" s="2">
        <f>'AFI-F4'!O40</f>
        <v>100</v>
      </c>
      <c r="W243" s="2" t="str">
        <f>'AFI-F4'!P40</f>
        <v>Sofia</v>
      </c>
      <c r="X243" s="5">
        <f>'AFI-F4'!Q40</f>
        <v>200</v>
      </c>
      <c r="Y243" s="1"/>
      <c r="Z243" s="1"/>
      <c r="AA243" s="1"/>
    </row>
    <row r="244">
      <c r="A244" s="1"/>
      <c r="B244" s="14">
        <f t="shared" si="8"/>
        <v>37</v>
      </c>
      <c r="C244" s="22" t="str">
        <f t="shared" si="1"/>
        <v>enero</v>
      </c>
      <c r="D244" s="22">
        <f t="shared" si="2"/>
        <v>4</v>
      </c>
      <c r="E244" s="23" t="str">
        <f t="shared" si="3"/>
        <v>lunes</v>
      </c>
      <c r="F244" s="22">
        <f t="shared" si="4"/>
        <v>19</v>
      </c>
      <c r="G244" s="22" t="s">
        <v>23</v>
      </c>
      <c r="H244" s="3">
        <f>'AFI-F4'!$G$3</f>
        <v>45682</v>
      </c>
      <c r="I244" s="24">
        <f>'AFI-F4'!B41</f>
        <v>46041</v>
      </c>
      <c r="J244" s="2">
        <f>'AFI-F4'!C41</f>
        <v>45083846</v>
      </c>
      <c r="K244" s="2" t="str">
        <f>'AFI-F4'!D41</f>
        <v>Jheff Alfredo Laura Martínez</v>
      </c>
      <c r="L244" s="2" t="str">
        <f>'AFI-F4'!E41</f>
        <v>simplementejheff@gmail.com</v>
      </c>
      <c r="M244" s="2" t="str">
        <f>'AFI-F4'!F41</f>
        <v>SURQUILLO</v>
      </c>
      <c r="N244" s="2" t="str">
        <f>'AFI-F4'!G41</f>
        <v>954 088 624</v>
      </c>
      <c r="O244" s="2" t="str">
        <f>'AFI-F4'!H41</f>
        <v>X</v>
      </c>
      <c r="P244" s="2" t="str">
        <f>'AFI-F4'!I41</f>
        <v/>
      </c>
      <c r="Q244" s="2">
        <f>'AFI-F4'!J41</f>
        <v>95</v>
      </c>
      <c r="R244" s="2">
        <f>'AFI-F4'!K41</f>
        <v>95</v>
      </c>
      <c r="S244" s="2" t="str">
        <f>'AFI-F4'!L41</f>
        <v>COBR</v>
      </c>
      <c r="T244" s="2" t="str">
        <f>'AFI-F4'!M41</f>
        <v>YAPE JL</v>
      </c>
      <c r="U244" s="2">
        <f>'AFI-F4'!N41</f>
        <v>95</v>
      </c>
      <c r="V244" s="2">
        <f>'AFI-F4'!O41</f>
        <v>95</v>
      </c>
      <c r="W244" s="2" t="str">
        <f>'AFI-F4'!P41</f>
        <v>Yadhira</v>
      </c>
      <c r="X244" s="5">
        <f>'AFI-F4'!Q41</f>
        <v>190</v>
      </c>
      <c r="Y244" s="1"/>
      <c r="Z244" s="1"/>
      <c r="AA244" s="1"/>
    </row>
    <row r="245">
      <c r="A245" s="1"/>
      <c r="B245" s="14">
        <f t="shared" si="8"/>
        <v>38</v>
      </c>
      <c r="C245" s="22" t="str">
        <f t="shared" si="1"/>
        <v>enero</v>
      </c>
      <c r="D245" s="22">
        <f t="shared" si="2"/>
        <v>4</v>
      </c>
      <c r="E245" s="23" t="str">
        <f t="shared" si="3"/>
        <v>lunes</v>
      </c>
      <c r="F245" s="22">
        <f t="shared" si="4"/>
        <v>19</v>
      </c>
      <c r="G245" s="22" t="s">
        <v>23</v>
      </c>
      <c r="H245" s="3">
        <f>'AFI-F4'!$G$3</f>
        <v>45682</v>
      </c>
      <c r="I245" s="24">
        <f>'AFI-F4'!B42</f>
        <v>46041</v>
      </c>
      <c r="J245" s="2">
        <f>'AFI-F4'!C42</f>
        <v>46059441</v>
      </c>
      <c r="K245" s="2" t="str">
        <f>'AFI-F4'!D42</f>
        <v>Tessy Tairo Cerrón</v>
      </c>
      <c r="L245" s="2" t="str">
        <f>'AFI-F4'!E42</f>
        <v> tessy.tairo6@gmail.com</v>
      </c>
      <c r="M245" s="2" t="str">
        <f>'AFI-F4'!F42</f>
        <v>SURQUILLO</v>
      </c>
      <c r="N245" s="2">
        <f>'AFI-F4'!G42</f>
        <v>980494024</v>
      </c>
      <c r="O245" s="2" t="str">
        <f>'AFI-F4'!H42</f>
        <v>X</v>
      </c>
      <c r="P245" s="2" t="str">
        <f>'AFI-F4'!I42</f>
        <v/>
      </c>
      <c r="Q245" s="2">
        <f>'AFI-F4'!J42</f>
        <v>95</v>
      </c>
      <c r="R245" s="2">
        <f>'AFI-F4'!K42</f>
        <v>95</v>
      </c>
      <c r="S245" s="2" t="str">
        <f>'AFI-F4'!L42</f>
        <v>COBR</v>
      </c>
      <c r="T245" s="2" t="str">
        <f>'AFI-F4'!M42</f>
        <v>YAPE JL</v>
      </c>
      <c r="U245" s="2">
        <f>'AFI-F4'!N42</f>
        <v>95</v>
      </c>
      <c r="V245" s="2">
        <f>'AFI-F4'!O42</f>
        <v>95</v>
      </c>
      <c r="W245" s="2" t="str">
        <f>'AFI-F4'!P42</f>
        <v>Yadhira</v>
      </c>
      <c r="X245" s="5">
        <f>'AFI-F4'!Q42</f>
        <v>190</v>
      </c>
      <c r="Y245" s="1"/>
      <c r="Z245" s="1"/>
      <c r="AA245" s="1"/>
    </row>
    <row r="246">
      <c r="A246" s="1"/>
      <c r="B246" s="14">
        <f t="shared" si="8"/>
        <v>39</v>
      </c>
      <c r="C246" s="22" t="str">
        <f t="shared" si="1"/>
        <v>enero</v>
      </c>
      <c r="D246" s="22">
        <f t="shared" si="2"/>
        <v>4</v>
      </c>
      <c r="E246" s="23" t="str">
        <f t="shared" si="3"/>
        <v>lunes</v>
      </c>
      <c r="F246" s="22">
        <f t="shared" si="4"/>
        <v>19</v>
      </c>
      <c r="G246" s="22" t="s">
        <v>23</v>
      </c>
      <c r="H246" s="3">
        <f>'AFI-F4'!$G$3</f>
        <v>45682</v>
      </c>
      <c r="I246" s="24">
        <f>'AFI-F4'!B43</f>
        <v>46041</v>
      </c>
      <c r="J246" s="2">
        <f>'AFI-F4'!C43</f>
        <v>10874243</v>
      </c>
      <c r="K246" s="2" t="str">
        <f>'AFI-F4'!D43</f>
        <v>Julio Silverio Moreno Ruiz</v>
      </c>
      <c r="L246" s="2" t="str">
        <f>'AFI-F4'!E43</f>
        <v>magne978@gmail.com</v>
      </c>
      <c r="M246" s="2" t="str">
        <f>'AFI-F4'!F43</f>
        <v>Ate</v>
      </c>
      <c r="N246" s="2">
        <f>'AFI-F4'!G43</f>
        <v>977176244</v>
      </c>
      <c r="O246" s="2" t="str">
        <f>'AFI-F4'!H43</f>
        <v/>
      </c>
      <c r="P246" s="2" t="str">
        <f>'AFI-F4'!I43</f>
        <v>x</v>
      </c>
      <c r="Q246" s="2">
        <f>'AFI-F4'!J43</f>
        <v>220</v>
      </c>
      <c r="R246" s="2" t="str">
        <f>'AFI-F4'!K43</f>
        <v/>
      </c>
      <c r="S246" s="2" t="str">
        <f>'AFI-F4'!L43</f>
        <v>PAGO</v>
      </c>
      <c r="T246" s="2" t="str">
        <f>'AFI-F4'!M43</f>
        <v>YAPE JL</v>
      </c>
      <c r="U246" s="2">
        <f>'AFI-F4'!N43</f>
        <v>220</v>
      </c>
      <c r="V246" s="2" t="str">
        <f>'AFI-F4'!O43</f>
        <v/>
      </c>
      <c r="W246" s="2" t="str">
        <f>'AFI-F4'!P43</f>
        <v>Sofia</v>
      </c>
      <c r="X246" s="5">
        <f>'AFI-F4'!Q43</f>
        <v>220</v>
      </c>
      <c r="Y246" s="1"/>
      <c r="Z246" s="1"/>
      <c r="AA246" s="1"/>
    </row>
    <row r="247">
      <c r="A247" s="1"/>
      <c r="B247" s="14">
        <f t="shared" si="8"/>
        <v>40</v>
      </c>
      <c r="C247" s="22" t="str">
        <f t="shared" si="1"/>
        <v>enero</v>
      </c>
      <c r="D247" s="22">
        <f t="shared" si="2"/>
        <v>4</v>
      </c>
      <c r="E247" s="23" t="str">
        <f t="shared" si="3"/>
        <v>lunes</v>
      </c>
      <c r="F247" s="22">
        <f t="shared" si="4"/>
        <v>19</v>
      </c>
      <c r="G247" s="22" t="s">
        <v>23</v>
      </c>
      <c r="H247" s="3">
        <f>'AFI-F4'!$G$3</f>
        <v>45682</v>
      </c>
      <c r="I247" s="24">
        <f>'AFI-F4'!B44</f>
        <v>46041</v>
      </c>
      <c r="J247" s="2">
        <f>'AFI-F4'!C44</f>
        <v>40891944</v>
      </c>
      <c r="K247" s="2" t="str">
        <f>'AFI-F4'!D44</f>
        <v>John Ronald Alvarez Achaquihui
</v>
      </c>
      <c r="L247" s="27" t="str">
        <f>'AFI-F4'!E44</f>
        <v>aronalito@gmail.com</v>
      </c>
      <c r="M247" s="2" t="str">
        <f>'AFI-F4'!F44</f>
        <v>la victoria</v>
      </c>
      <c r="N247" s="2">
        <f>'AFI-F4'!G44</f>
        <v>982002653</v>
      </c>
      <c r="O247" s="2" t="str">
        <f>'AFI-F4'!H44</f>
        <v>x</v>
      </c>
      <c r="P247" s="2" t="str">
        <f>'AFI-F4'!I44</f>
        <v/>
      </c>
      <c r="Q247" s="2">
        <f>'AFI-F4'!J44</f>
        <v>100</v>
      </c>
      <c r="R247" s="2">
        <f>'AFI-F4'!K44</f>
        <v>100</v>
      </c>
      <c r="S247" s="2" t="str">
        <f>'AFI-F4'!L44</f>
        <v>COBR</v>
      </c>
      <c r="T247" s="2" t="str">
        <f>'AFI-F4'!M44</f>
        <v>YAPE JL</v>
      </c>
      <c r="U247" s="2">
        <f>'AFI-F4'!N44</f>
        <v>100</v>
      </c>
      <c r="V247" s="2">
        <f>'AFI-F4'!O44</f>
        <v>0</v>
      </c>
      <c r="W247" s="2" t="str">
        <f>'AFI-F4'!P44</f>
        <v>Sofia</v>
      </c>
      <c r="X247" s="5">
        <f>'AFI-F4'!Q44</f>
        <v>100</v>
      </c>
      <c r="Y247" s="1"/>
      <c r="Z247" s="1"/>
      <c r="AA247" s="1"/>
    </row>
    <row r="248">
      <c r="A248" s="1"/>
      <c r="B248" s="14">
        <f t="shared" si="8"/>
        <v>41</v>
      </c>
      <c r="C248" s="22" t="str">
        <f t="shared" si="1"/>
        <v>enero</v>
      </c>
      <c r="D248" s="22">
        <f t="shared" si="2"/>
        <v>3</v>
      </c>
      <c r="E248" s="23" t="str">
        <f t="shared" si="3"/>
        <v>sábado</v>
      </c>
      <c r="F248" s="22">
        <f t="shared" si="4"/>
        <v>17</v>
      </c>
      <c r="G248" s="22" t="s">
        <v>23</v>
      </c>
      <c r="H248" s="3">
        <f>'AFI-F4'!$G$3</f>
        <v>45682</v>
      </c>
      <c r="I248" s="24">
        <f>'AFI-F4'!B45</f>
        <v>46039</v>
      </c>
      <c r="J248" s="2">
        <f>'AFI-F4'!C45</f>
        <v>45967311</v>
      </c>
      <c r="K248" s="2" t="str">
        <f>'AFI-F4'!D45</f>
        <v>Michael Jonathan Yaya Gutierrez</v>
      </c>
      <c r="L248" s="2" t="str">
        <f>'AFI-F4'!E45</f>
        <v/>
      </c>
      <c r="M248" s="2" t="str">
        <f>'AFI-F4'!F45</f>
        <v/>
      </c>
      <c r="N248" s="2" t="str">
        <f>'AFI-F4'!G45</f>
        <v/>
      </c>
      <c r="O248" s="2" t="str">
        <f>'AFI-F4'!H45</f>
        <v>x</v>
      </c>
      <c r="P248" s="2" t="str">
        <f>'AFI-F4'!I45</f>
        <v/>
      </c>
      <c r="Q248" s="2">
        <f>'AFI-F4'!J45</f>
        <v>110</v>
      </c>
      <c r="R248" s="2">
        <f>'AFI-F4'!K45</f>
        <v>110</v>
      </c>
      <c r="S248" s="2" t="str">
        <f>'AFI-F4'!L45</f>
        <v>COBR</v>
      </c>
      <c r="T248" s="2" t="str">
        <f>'AFI-F4'!M45</f>
        <v>YAPE JL</v>
      </c>
      <c r="U248" s="2">
        <f>'AFI-F4'!N45</f>
        <v>110</v>
      </c>
      <c r="V248" s="2">
        <f>'AFI-F4'!O45</f>
        <v>110</v>
      </c>
      <c r="W248" s="2" t="str">
        <f>'AFI-F4'!P45</f>
        <v>Katherine</v>
      </c>
      <c r="X248" s="5">
        <f>'AFI-F4'!Q45</f>
        <v>220</v>
      </c>
      <c r="Y248" s="1"/>
      <c r="Z248" s="1"/>
      <c r="AA248" s="1"/>
    </row>
    <row r="249">
      <c r="A249" s="1"/>
      <c r="B249" s="14">
        <f t="shared" si="8"/>
        <v>42</v>
      </c>
      <c r="C249" s="22" t="str">
        <f t="shared" si="1"/>
        <v>enero</v>
      </c>
      <c r="D249" s="22">
        <f t="shared" si="2"/>
        <v>4</v>
      </c>
      <c r="E249" s="23" t="str">
        <f t="shared" si="3"/>
        <v>martes</v>
      </c>
      <c r="F249" s="22">
        <f t="shared" si="4"/>
        <v>20</v>
      </c>
      <c r="G249" s="22" t="s">
        <v>23</v>
      </c>
      <c r="H249" s="3">
        <f>'AFI-F4'!$G$3</f>
        <v>45682</v>
      </c>
      <c r="I249" s="24">
        <f>'AFI-F4'!B46</f>
        <v>46042</v>
      </c>
      <c r="J249" s="2">
        <f>'AFI-F4'!C46</f>
        <v>72751542</v>
      </c>
      <c r="K249" s="2" t="str">
        <f>'AFI-F4'!D46</f>
        <v>Esteban Camarena Seminario</v>
      </c>
      <c r="L249" s="2" t="str">
        <f>'AFI-F4'!E46</f>
        <v>esteban.camarena.stevejobs@gmail.com</v>
      </c>
      <c r="M249" s="2" t="str">
        <f>'AFI-F4'!F46</f>
        <v/>
      </c>
      <c r="N249" s="2" t="str">
        <f>'AFI-F4'!G46</f>
        <v/>
      </c>
      <c r="O249" s="2" t="str">
        <f>'AFI-F4'!H46</f>
        <v/>
      </c>
      <c r="P249" s="2" t="str">
        <f>'AFI-F4'!I46</f>
        <v>x</v>
      </c>
      <c r="Q249" s="2">
        <f>'AFI-F4'!J46</f>
        <v>190</v>
      </c>
      <c r="R249" s="2" t="str">
        <f>'AFI-F4'!K46</f>
        <v/>
      </c>
      <c r="S249" s="2" t="str">
        <f>'AFI-F4'!L46</f>
        <v>PAGO</v>
      </c>
      <c r="T249" s="2" t="str">
        <f>'AFI-F4'!M46</f>
        <v>YAPE JL</v>
      </c>
      <c r="U249" s="2">
        <f>'AFI-F4'!N46</f>
        <v>190</v>
      </c>
      <c r="V249" s="2" t="str">
        <f>'AFI-F4'!O46</f>
        <v/>
      </c>
      <c r="W249" s="2" t="str">
        <f>'AFI-F4'!P46</f>
        <v>Katherine</v>
      </c>
      <c r="X249" s="5">
        <f>'AFI-F4'!Q46</f>
        <v>190</v>
      </c>
      <c r="Y249" s="1"/>
      <c r="Z249" s="1"/>
      <c r="AA249" s="1"/>
    </row>
    <row r="250">
      <c r="A250" s="1"/>
      <c r="B250" s="14">
        <f t="shared" si="8"/>
        <v>43</v>
      </c>
      <c r="C250" s="22" t="str">
        <f t="shared" si="1"/>
        <v>enero</v>
      </c>
      <c r="D250" s="22">
        <f t="shared" si="2"/>
        <v>4</v>
      </c>
      <c r="E250" s="23" t="str">
        <f t="shared" si="3"/>
        <v>miércoles</v>
      </c>
      <c r="F250" s="22">
        <f t="shared" si="4"/>
        <v>21</v>
      </c>
      <c r="G250" s="22" t="s">
        <v>23</v>
      </c>
      <c r="H250" s="3">
        <f>'AFI-F4'!$G$3</f>
        <v>45682</v>
      </c>
      <c r="I250" s="24">
        <f>'AFI-F4'!B47</f>
        <v>46043</v>
      </c>
      <c r="J250" s="2" t="str">
        <f>'AFI-F4'!C47</f>
        <v>CE 009160780</v>
      </c>
      <c r="K250" s="2" t="str">
        <f>'AFI-F4'!D47</f>
        <v>Patricio Pablo Rojas Salgado</v>
      </c>
      <c r="L250" s="2" t="str">
        <f>'AFI-F4'!E47</f>
        <v>Pablorojas30@hotmail.com</v>
      </c>
      <c r="M250" s="2" t="str">
        <f>'AFI-F4'!F47</f>
        <v>SAN ISIDRO</v>
      </c>
      <c r="N250" s="2" t="str">
        <f>'AFI-F4'!G47</f>
        <v>936 950 655</v>
      </c>
      <c r="O250" s="2" t="str">
        <f>'AFI-F4'!H47</f>
        <v/>
      </c>
      <c r="P250" s="2" t="str">
        <f>'AFI-F4'!I47</f>
        <v>X</v>
      </c>
      <c r="Q250" s="2">
        <f>'AFI-F4'!J47</f>
        <v>220</v>
      </c>
      <c r="R250" s="2" t="str">
        <f>'AFI-F4'!K47</f>
        <v/>
      </c>
      <c r="S250" s="2" t="str">
        <f>'AFI-F4'!L47</f>
        <v>PAGO</v>
      </c>
      <c r="T250" s="2" t="str">
        <f>'AFI-F4'!M47</f>
        <v>YAPE JL</v>
      </c>
      <c r="U250" s="2">
        <f>'AFI-F4'!N47</f>
        <v>220</v>
      </c>
      <c r="V250" s="2" t="str">
        <f>'AFI-F4'!O47</f>
        <v/>
      </c>
      <c r="W250" s="2" t="str">
        <f>'AFI-F4'!P47</f>
        <v>Yadhira</v>
      </c>
      <c r="X250" s="5">
        <f>'AFI-F4'!Q47</f>
        <v>220</v>
      </c>
      <c r="Y250" s="1"/>
      <c r="Z250" s="1"/>
      <c r="AA250" s="1"/>
    </row>
    <row r="251">
      <c r="A251" s="1"/>
      <c r="B251" s="14">
        <f t="shared" si="8"/>
        <v>44</v>
      </c>
      <c r="C251" s="22" t="str">
        <f t="shared" si="1"/>
        <v>enero</v>
      </c>
      <c r="D251" s="22">
        <f t="shared" si="2"/>
        <v>4</v>
      </c>
      <c r="E251" s="23" t="str">
        <f t="shared" si="3"/>
        <v>martes</v>
      </c>
      <c r="F251" s="22">
        <f t="shared" si="4"/>
        <v>20</v>
      </c>
      <c r="G251" s="22" t="s">
        <v>23</v>
      </c>
      <c r="H251" s="3">
        <f>'AFI-F4'!$G$3</f>
        <v>45682</v>
      </c>
      <c r="I251" s="24">
        <f>'AFI-F4'!B48</f>
        <v>46042</v>
      </c>
      <c r="J251" s="2">
        <f>'AFI-F4'!C48</f>
        <v>41455446</v>
      </c>
      <c r="K251" s="2" t="str">
        <f>'AFI-F4'!D48</f>
        <v>Eder Genaro Estrada Montañez</v>
      </c>
      <c r="L251" s="2" t="str">
        <f>'AFI-F4'!E48</f>
        <v>eder16221@gmail.com</v>
      </c>
      <c r="M251" s="2" t="str">
        <f>'AFI-F4'!F48</f>
        <v>Callao</v>
      </c>
      <c r="N251" s="2">
        <f>'AFI-F4'!G48</f>
        <v>51977709418</v>
      </c>
      <c r="O251" s="2" t="str">
        <f>'AFI-F4'!H48</f>
        <v/>
      </c>
      <c r="P251" s="2" t="str">
        <f>'AFI-F4'!I48</f>
        <v>x</v>
      </c>
      <c r="Q251" s="2">
        <f>'AFI-F4'!J48</f>
        <v>190</v>
      </c>
      <c r="R251" s="2" t="str">
        <f>'AFI-F4'!K48</f>
        <v/>
      </c>
      <c r="S251" s="2" t="str">
        <f>'AFI-F4'!L48</f>
        <v>PAGO</v>
      </c>
      <c r="T251" s="2" t="str">
        <f>'AFI-F4'!M48</f>
        <v>YAPE JL</v>
      </c>
      <c r="U251" s="2">
        <f>'AFI-F4'!N48</f>
        <v>190</v>
      </c>
      <c r="V251" s="2" t="str">
        <f>'AFI-F4'!O48</f>
        <v/>
      </c>
      <c r="W251" s="2" t="str">
        <f>'AFI-F4'!P48</f>
        <v>Sofia</v>
      </c>
      <c r="X251" s="5">
        <f>'AFI-F4'!Q48</f>
        <v>190</v>
      </c>
      <c r="Y251" s="1"/>
      <c r="Z251" s="1"/>
      <c r="AA251" s="1"/>
    </row>
    <row r="252">
      <c r="A252" s="1"/>
      <c r="B252" s="14">
        <f t="shared" si="8"/>
        <v>45</v>
      </c>
      <c r="C252" s="22" t="str">
        <f t="shared" si="1"/>
        <v>enero</v>
      </c>
      <c r="D252" s="22">
        <f t="shared" si="2"/>
        <v>4</v>
      </c>
      <c r="E252" s="23" t="str">
        <f t="shared" si="3"/>
        <v>martes</v>
      </c>
      <c r="F252" s="22">
        <f t="shared" si="4"/>
        <v>20</v>
      </c>
      <c r="G252" s="22" t="s">
        <v>23</v>
      </c>
      <c r="H252" s="3">
        <f>'AFI-F4'!$G$3</f>
        <v>45682</v>
      </c>
      <c r="I252" s="24">
        <f>'AFI-F4'!B49</f>
        <v>46042</v>
      </c>
      <c r="J252" s="2">
        <f>'AFI-F4'!C49</f>
        <v>44211612</v>
      </c>
      <c r="K252" s="2" t="str">
        <f>'AFI-F4'!D49</f>
        <v>Victor Caballero</v>
      </c>
      <c r="L252" s="2" t="str">
        <f>'AFI-F4'!E49</f>
        <v>victorcaballeror@gmail.com</v>
      </c>
      <c r="M252" s="2" t="str">
        <f>'AFI-F4'!F49</f>
        <v>san Borja</v>
      </c>
      <c r="N252" s="2">
        <f>'AFI-F4'!G49</f>
        <v>51944252125</v>
      </c>
      <c r="O252" s="2" t="str">
        <f>'AFI-F4'!H49</f>
        <v/>
      </c>
      <c r="P252" s="2" t="str">
        <f>'AFI-F4'!I49</f>
        <v>x</v>
      </c>
      <c r="Q252" s="2">
        <f>'AFI-F4'!J49</f>
        <v>180</v>
      </c>
      <c r="R252" s="2">
        <f>'AFI-F4'!K49</f>
        <v>180</v>
      </c>
      <c r="S252" s="2" t="str">
        <f>'AFI-F4'!L49</f>
        <v>COBR</v>
      </c>
      <c r="T252" s="2" t="str">
        <f>'AFI-F4'!M49</f>
        <v>BCP EPP</v>
      </c>
      <c r="U252" s="2">
        <f>'AFI-F4'!N49</f>
        <v>180</v>
      </c>
      <c r="V252" s="2">
        <f>'AFI-F4'!O49</f>
        <v>180</v>
      </c>
      <c r="W252" s="2" t="str">
        <f>'AFI-F4'!P49</f>
        <v>Yadhira</v>
      </c>
      <c r="X252" s="5">
        <f>'AFI-F4'!Q49</f>
        <v>360</v>
      </c>
      <c r="Y252" s="1"/>
      <c r="Z252" s="1"/>
      <c r="AA252" s="1"/>
    </row>
    <row r="253">
      <c r="A253" s="1"/>
      <c r="B253" s="14">
        <f t="shared" si="8"/>
        <v>46</v>
      </c>
      <c r="C253" s="22" t="str">
        <f t="shared" si="1"/>
        <v>enero</v>
      </c>
      <c r="D253" s="22">
        <f t="shared" si="2"/>
        <v>4</v>
      </c>
      <c r="E253" s="23" t="str">
        <f t="shared" si="3"/>
        <v>miércoles</v>
      </c>
      <c r="F253" s="22">
        <f t="shared" si="4"/>
        <v>21</v>
      </c>
      <c r="G253" s="22" t="s">
        <v>23</v>
      </c>
      <c r="H253" s="3">
        <f>'AFI-F4'!$G$3</f>
        <v>45682</v>
      </c>
      <c r="I253" s="24">
        <f>'AFI-F4'!B50</f>
        <v>46043</v>
      </c>
      <c r="J253" s="2">
        <f>'AFI-F4'!C50</f>
        <v>73261104</v>
      </c>
      <c r="K253" s="2" t="str">
        <f>'AFI-F4'!D50</f>
        <v>Carlos Matias Chico</v>
      </c>
      <c r="L253" s="2" t="str">
        <f>'AFI-F4'!E50</f>
        <v>Rosa.chico@telrad.pe</v>
      </c>
      <c r="M253" s="2" t="str">
        <f>'AFI-F4'!F50</f>
        <v>BARRANCO</v>
      </c>
      <c r="N253" s="2" t="str">
        <f>'AFI-F4'!G50</f>
        <v>970 180 581</v>
      </c>
      <c r="O253" s="2" t="str">
        <f>'AFI-F4'!H50</f>
        <v/>
      </c>
      <c r="P253" s="2" t="str">
        <f>'AFI-F4'!I50</f>
        <v>X</v>
      </c>
      <c r="Q253" s="2">
        <f>'AFI-F4'!J50</f>
        <v>90</v>
      </c>
      <c r="R253" s="2">
        <f>'AFI-F4'!K50</f>
        <v>90</v>
      </c>
      <c r="S253" s="2" t="str">
        <f>'AFI-F4'!L50</f>
        <v>COBR</v>
      </c>
      <c r="T253" s="2" t="str">
        <f>'AFI-F4'!M50</f>
        <v>YAPE JL</v>
      </c>
      <c r="U253" s="2">
        <f>'AFI-F4'!N50</f>
        <v>90</v>
      </c>
      <c r="V253" s="2">
        <f>'AFI-F4'!O50</f>
        <v>90</v>
      </c>
      <c r="W253" s="2" t="str">
        <f>'AFI-F4'!P50</f>
        <v>Greici</v>
      </c>
      <c r="X253" s="5">
        <f>'AFI-F4'!Q50</f>
        <v>180</v>
      </c>
      <c r="Y253" s="1"/>
      <c r="Z253" s="1"/>
      <c r="AA253" s="1"/>
    </row>
    <row r="254">
      <c r="A254" s="1"/>
      <c r="B254" s="14">
        <f t="shared" si="8"/>
        <v>47</v>
      </c>
      <c r="C254" s="22" t="str">
        <f t="shared" si="1"/>
        <v>enero</v>
      </c>
      <c r="D254" s="22">
        <f t="shared" si="2"/>
        <v>4</v>
      </c>
      <c r="E254" s="23" t="str">
        <f t="shared" si="3"/>
        <v>miércoles</v>
      </c>
      <c r="F254" s="22">
        <f t="shared" si="4"/>
        <v>21</v>
      </c>
      <c r="G254" s="22" t="s">
        <v>23</v>
      </c>
      <c r="H254" s="3">
        <f>'AFI-F4'!$G$3</f>
        <v>45682</v>
      </c>
      <c r="I254" s="24">
        <f>'AFI-F4'!B51</f>
        <v>46043</v>
      </c>
      <c r="J254" s="2">
        <f>'AFI-F4'!C51</f>
        <v>61806520</v>
      </c>
      <c r="K254" s="2" t="str">
        <f>'AFI-F4'!D51</f>
        <v>Joaquin Matias Chico</v>
      </c>
      <c r="L254" s="2" t="str">
        <f>'AFI-F4'!E51</f>
        <v>Matiaschicojoaquin@gmail.com</v>
      </c>
      <c r="M254" s="2" t="str">
        <f>'AFI-F4'!F51</f>
        <v>BARRANCO</v>
      </c>
      <c r="N254" s="2" t="str">
        <f>'AFI-F4'!G51</f>
        <v>970 180 581</v>
      </c>
      <c r="O254" s="2" t="str">
        <f>'AFI-F4'!H51</f>
        <v/>
      </c>
      <c r="P254" s="2" t="str">
        <f>'AFI-F4'!I51</f>
        <v>X</v>
      </c>
      <c r="Q254" s="2">
        <f>'AFI-F4'!J51</f>
        <v>90</v>
      </c>
      <c r="R254" s="2">
        <f>'AFI-F4'!K51</f>
        <v>90</v>
      </c>
      <c r="S254" s="2" t="str">
        <f>'AFI-F4'!L51</f>
        <v>COBR</v>
      </c>
      <c r="T254" s="2" t="str">
        <f>'AFI-F4'!M51</f>
        <v>YAPE JL</v>
      </c>
      <c r="U254" s="2">
        <f>'AFI-F4'!N51</f>
        <v>90</v>
      </c>
      <c r="V254" s="2">
        <f>'AFI-F4'!O51</f>
        <v>90</v>
      </c>
      <c r="W254" s="2" t="str">
        <f>'AFI-F4'!P51</f>
        <v>Greici</v>
      </c>
      <c r="X254" s="5">
        <f>'AFI-F4'!Q51</f>
        <v>180</v>
      </c>
      <c r="Y254" s="1"/>
      <c r="Z254" s="1"/>
      <c r="AA254" s="1"/>
    </row>
    <row r="255">
      <c r="A255" s="1"/>
      <c r="B255" s="14">
        <f t="shared" si="8"/>
        <v>48</v>
      </c>
      <c r="C255" s="22" t="str">
        <f t="shared" si="1"/>
        <v>enero</v>
      </c>
      <c r="D255" s="22">
        <f t="shared" si="2"/>
        <v>4</v>
      </c>
      <c r="E255" s="23" t="str">
        <f t="shared" si="3"/>
        <v>miércoles</v>
      </c>
      <c r="F255" s="22">
        <f t="shared" si="4"/>
        <v>21</v>
      </c>
      <c r="G255" s="22" t="s">
        <v>23</v>
      </c>
      <c r="H255" s="3">
        <f>'AFI-F4'!$G$3</f>
        <v>45682</v>
      </c>
      <c r="I255" s="24">
        <f>'AFI-F4'!B52</f>
        <v>46043</v>
      </c>
      <c r="J255" s="2">
        <f>'AFI-F4'!C52</f>
        <v>41202552</v>
      </c>
      <c r="K255" s="2" t="str">
        <f>'AFI-F4'!D52</f>
        <v>José Andrés Ventura Panta </v>
      </c>
      <c r="L255" s="2" t="str">
        <f>'AFI-F4'!E52</f>
        <v>Karina.chz@hotmail.com</v>
      </c>
      <c r="M255" s="2" t="str">
        <f>'AFI-F4'!F52</f>
        <v>MIRAFLORES</v>
      </c>
      <c r="N255" s="2" t="str">
        <f>'AFI-F4'!G52</f>
        <v>960 258 096</v>
      </c>
      <c r="O255" s="2" t="str">
        <f>'AFI-F4'!H52</f>
        <v/>
      </c>
      <c r="P255" s="2" t="str">
        <f>'AFI-F4'!I52</f>
        <v>X</v>
      </c>
      <c r="Q255" s="2">
        <f>'AFI-F4'!J52</f>
        <v>175</v>
      </c>
      <c r="R255" s="2">
        <f>'AFI-F4'!K52</f>
        <v>175</v>
      </c>
      <c r="S255" s="2" t="str">
        <f>'AFI-F4'!L52</f>
        <v>COBR</v>
      </c>
      <c r="T255" s="2" t="str">
        <f>'AFI-F4'!M52</f>
        <v>BCP JL</v>
      </c>
      <c r="U255" s="2">
        <f>'AFI-F4'!N52</f>
        <v>175</v>
      </c>
      <c r="V255" s="2">
        <f>'AFI-F4'!O52</f>
        <v>175</v>
      </c>
      <c r="W255" s="2" t="str">
        <f>'AFI-F4'!P52</f>
        <v>Greici</v>
      </c>
      <c r="X255" s="5">
        <f>'AFI-F4'!Q52</f>
        <v>350</v>
      </c>
      <c r="Y255" s="1"/>
      <c r="Z255" s="1"/>
      <c r="AA255" s="1"/>
    </row>
    <row r="256">
      <c r="A256" s="1"/>
      <c r="B256" s="14">
        <f t="shared" si="8"/>
        <v>49</v>
      </c>
      <c r="C256" s="22" t="str">
        <f t="shared" si="1"/>
        <v>enero</v>
      </c>
      <c r="D256" s="22">
        <f t="shared" si="2"/>
        <v>4</v>
      </c>
      <c r="E256" s="23" t="str">
        <f t="shared" si="3"/>
        <v>miércoles</v>
      </c>
      <c r="F256" s="22">
        <f t="shared" si="4"/>
        <v>21</v>
      </c>
      <c r="G256" s="22" t="s">
        <v>23</v>
      </c>
      <c r="H256" s="3">
        <f>'AFI-F4'!$G$3</f>
        <v>45682</v>
      </c>
      <c r="I256" s="24">
        <f>'AFI-F4'!B53</f>
        <v>46043</v>
      </c>
      <c r="J256" s="2" t="str">
        <f>'AFI-F4'!C53</f>
        <v>004684587</v>
      </c>
      <c r="K256" s="2" t="str">
        <f>'AFI-F4'!D53</f>
        <v>Anna Karina Colmenares Hernández</v>
      </c>
      <c r="L256" s="2" t="str">
        <f>'AFI-F4'!E53</f>
        <v>Karina.chz@hotmail.com</v>
      </c>
      <c r="M256" s="2" t="str">
        <f>'AFI-F4'!F53</f>
        <v>MIRAFLORES</v>
      </c>
      <c r="N256" s="2" t="str">
        <f>'AFI-F4'!G53</f>
        <v>960 258 096</v>
      </c>
      <c r="O256" s="2" t="str">
        <f>'AFI-F4'!H53</f>
        <v/>
      </c>
      <c r="P256" s="2" t="str">
        <f>'AFI-F4'!I53</f>
        <v>X</v>
      </c>
      <c r="Q256" s="2">
        <f>'AFI-F4'!J53</f>
        <v>175</v>
      </c>
      <c r="R256" s="2">
        <f>'AFI-F4'!K53</f>
        <v>175</v>
      </c>
      <c r="S256" s="2" t="str">
        <f>'AFI-F4'!L53</f>
        <v>COBR</v>
      </c>
      <c r="T256" s="2" t="str">
        <f>'AFI-F4'!M53</f>
        <v>BCP JL</v>
      </c>
      <c r="U256" s="2">
        <f>'AFI-F4'!N53</f>
        <v>175</v>
      </c>
      <c r="V256" s="2">
        <f>'AFI-F4'!O53</f>
        <v>175</v>
      </c>
      <c r="W256" s="2" t="str">
        <f>'AFI-F4'!P53</f>
        <v>Greici</v>
      </c>
      <c r="X256" s="5">
        <f>'AFI-F4'!Q53</f>
        <v>350</v>
      </c>
      <c r="Y256" s="1"/>
      <c r="Z256" s="1"/>
      <c r="AA256" s="1"/>
    </row>
    <row r="257">
      <c r="A257" s="1"/>
      <c r="B257" s="14">
        <f t="shared" si="8"/>
        <v>50</v>
      </c>
      <c r="C257" s="22" t="str">
        <f t="shared" si="1"/>
        <v>enero</v>
      </c>
      <c r="D257" s="22">
        <f t="shared" si="2"/>
        <v>4</v>
      </c>
      <c r="E257" s="23" t="str">
        <f t="shared" si="3"/>
        <v>miércoles</v>
      </c>
      <c r="F257" s="22">
        <f t="shared" si="4"/>
        <v>21</v>
      </c>
      <c r="G257" s="22" t="s">
        <v>23</v>
      </c>
      <c r="H257" s="3">
        <f>'AFI-F4'!$G$3</f>
        <v>45682</v>
      </c>
      <c r="I257" s="24">
        <f>'AFI-F4'!B54</f>
        <v>46043</v>
      </c>
      <c r="J257" s="2" t="str">
        <f>'AFI-F4'!C54</f>
        <v/>
      </c>
      <c r="K257" s="2" t="str">
        <f>'AFI-F4'!D54</f>
        <v>Lissete Hinojosa Quiroz</v>
      </c>
      <c r="L257" s="2" t="str">
        <f>'AFI-F4'!E54</f>
        <v/>
      </c>
      <c r="M257" s="2" t="str">
        <f>'AFI-F4'!F54</f>
        <v>san miguel</v>
      </c>
      <c r="N257" s="2" t="str">
        <f>'AFI-F4'!G54</f>
        <v/>
      </c>
      <c r="O257" s="2" t="str">
        <f>'AFI-F4'!H54</f>
        <v/>
      </c>
      <c r="P257" s="2" t="str">
        <f>'AFI-F4'!I54</f>
        <v>x</v>
      </c>
      <c r="Q257" s="2">
        <f>'AFI-F4'!J54</f>
        <v>190</v>
      </c>
      <c r="R257" s="2" t="str">
        <f>'AFI-F4'!K54</f>
        <v/>
      </c>
      <c r="S257" s="2" t="str">
        <f>'AFI-F4'!L54</f>
        <v>PAGO</v>
      </c>
      <c r="T257" s="2" t="str">
        <f>'AFI-F4'!M54</f>
        <v>YAPE JL</v>
      </c>
      <c r="U257" s="2">
        <f>'AFI-F4'!N54</f>
        <v>190</v>
      </c>
      <c r="V257" s="2" t="str">
        <f>'AFI-F4'!O54</f>
        <v/>
      </c>
      <c r="W257" s="2" t="str">
        <f>'AFI-F4'!P54</f>
        <v>Katherine</v>
      </c>
      <c r="X257" s="5">
        <f>'AFI-F4'!Q54</f>
        <v>190</v>
      </c>
      <c r="Y257" s="1"/>
      <c r="Z257" s="1"/>
      <c r="AA257" s="1"/>
    </row>
    <row r="258">
      <c r="A258" s="1"/>
      <c r="B258" s="14">
        <f t="shared" si="8"/>
        <v>51</v>
      </c>
      <c r="C258" s="22" t="str">
        <f t="shared" si="1"/>
        <v>enero</v>
      </c>
      <c r="D258" s="22">
        <f t="shared" si="2"/>
        <v>4</v>
      </c>
      <c r="E258" s="23" t="str">
        <f t="shared" si="3"/>
        <v>jueves</v>
      </c>
      <c r="F258" s="22">
        <f t="shared" si="4"/>
        <v>22</v>
      </c>
      <c r="G258" s="22" t="s">
        <v>23</v>
      </c>
      <c r="H258" s="3">
        <f>'AFI-F4'!$G$3</f>
        <v>45682</v>
      </c>
      <c r="I258" s="24">
        <f>'AFI-F4'!B55</f>
        <v>46044</v>
      </c>
      <c r="J258" s="2" t="str">
        <f>'AFI-F4'!C55</f>
        <v/>
      </c>
      <c r="K258" s="2" t="str">
        <f>'AFI-F4'!D55</f>
        <v>Christiam Vasquez</v>
      </c>
      <c r="L258" s="2" t="str">
        <f>'AFI-F4'!E55</f>
        <v/>
      </c>
      <c r="M258" s="2" t="str">
        <f>'AFI-F4'!F55</f>
        <v/>
      </c>
      <c r="N258" s="2" t="str">
        <f>'AFI-F4'!G55</f>
        <v/>
      </c>
      <c r="O258" s="2" t="str">
        <f>'AFI-F4'!H55</f>
        <v/>
      </c>
      <c r="P258" s="2" t="str">
        <f>'AFI-F4'!I55</f>
        <v>x</v>
      </c>
      <c r="Q258" s="2">
        <f>'AFI-F4'!J55</f>
        <v>190</v>
      </c>
      <c r="R258" s="2" t="str">
        <f>'AFI-F4'!K55</f>
        <v/>
      </c>
      <c r="S258" s="2" t="str">
        <f>'AFI-F4'!L55</f>
        <v>PAGO</v>
      </c>
      <c r="T258" s="2" t="str">
        <f>'AFI-F4'!M55</f>
        <v>YAPE JL</v>
      </c>
      <c r="U258" s="2">
        <f>'AFI-F4'!N55</f>
        <v>190</v>
      </c>
      <c r="V258" s="2" t="str">
        <f>'AFI-F4'!O55</f>
        <v/>
      </c>
      <c r="W258" s="2" t="str">
        <f>'AFI-F4'!P55</f>
        <v>Katherine</v>
      </c>
      <c r="X258" s="5">
        <f>'AFI-F4'!Q55</f>
        <v>190</v>
      </c>
      <c r="Y258" s="1"/>
      <c r="Z258" s="1"/>
      <c r="AA258" s="1"/>
    </row>
    <row r="259">
      <c r="A259" s="1"/>
      <c r="B259" s="14">
        <f t="shared" si="8"/>
        <v>52</v>
      </c>
      <c r="C259" s="22" t="str">
        <f t="shared" si="1"/>
        <v>enero</v>
      </c>
      <c r="D259" s="22">
        <f t="shared" si="2"/>
        <v>4</v>
      </c>
      <c r="E259" s="23" t="str">
        <f t="shared" si="3"/>
        <v>jueves</v>
      </c>
      <c r="F259" s="22">
        <f t="shared" si="4"/>
        <v>22</v>
      </c>
      <c r="G259" s="22" t="s">
        <v>23</v>
      </c>
      <c r="H259" s="3">
        <f>'AFI-F4'!$G$3</f>
        <v>45682</v>
      </c>
      <c r="I259" s="24">
        <f>'AFI-F4'!B56</f>
        <v>46044</v>
      </c>
      <c r="J259" s="2" t="str">
        <f>'AFI-F4'!C56</f>
        <v/>
      </c>
      <c r="K259" s="2" t="str">
        <f>'AFI-F4'!D56</f>
        <v>Diana Honores</v>
      </c>
      <c r="L259" s="2" t="str">
        <f>'AFI-F4'!E56</f>
        <v/>
      </c>
      <c r="M259" s="2" t="str">
        <f>'AFI-F4'!F56</f>
        <v/>
      </c>
      <c r="N259" s="2" t="str">
        <f>'AFI-F4'!G56</f>
        <v/>
      </c>
      <c r="O259" s="2" t="str">
        <f>'AFI-F4'!H56</f>
        <v/>
      </c>
      <c r="P259" s="2" t="str">
        <f>'AFI-F4'!I56</f>
        <v>x</v>
      </c>
      <c r="Q259" s="2">
        <f>'AFI-F4'!J56</f>
        <v>190</v>
      </c>
      <c r="R259" s="2" t="str">
        <f>'AFI-F4'!K56</f>
        <v/>
      </c>
      <c r="S259" s="2" t="str">
        <f>'AFI-F4'!L56</f>
        <v>PAGO</v>
      </c>
      <c r="T259" s="2" t="str">
        <f>'AFI-F4'!M56</f>
        <v>YAPE JL</v>
      </c>
      <c r="U259" s="2">
        <f>'AFI-F4'!N56</f>
        <v>190</v>
      </c>
      <c r="V259" s="2" t="str">
        <f>'AFI-F4'!O56</f>
        <v/>
      </c>
      <c r="W259" s="2" t="str">
        <f>'AFI-F4'!P56</f>
        <v>Katherine</v>
      </c>
      <c r="X259" s="5">
        <f>'AFI-F4'!Q56</f>
        <v>190</v>
      </c>
      <c r="Y259" s="1"/>
      <c r="Z259" s="1"/>
      <c r="AA259" s="1"/>
    </row>
    <row r="260">
      <c r="A260" s="1"/>
      <c r="B260" s="14">
        <f t="shared" si="8"/>
        <v>53</v>
      </c>
      <c r="C260" s="22" t="str">
        <f t="shared" si="1"/>
        <v>enero</v>
      </c>
      <c r="D260" s="22">
        <f t="shared" si="2"/>
        <v>4</v>
      </c>
      <c r="E260" s="23" t="str">
        <f t="shared" si="3"/>
        <v>jueves</v>
      </c>
      <c r="F260" s="22">
        <f t="shared" si="4"/>
        <v>22</v>
      </c>
      <c r="G260" s="22" t="s">
        <v>23</v>
      </c>
      <c r="H260" s="3">
        <f>'AFI-F4'!$G$3</f>
        <v>45682</v>
      </c>
      <c r="I260" s="24">
        <f>'AFI-F4'!B57</f>
        <v>46044</v>
      </c>
      <c r="J260" s="2" t="str">
        <f>'AFI-F4'!C57</f>
        <v/>
      </c>
      <c r="K260" s="2" t="str">
        <f>'AFI-F4'!D57</f>
        <v>Gustavo Alfredo Anchante Chacaltana</v>
      </c>
      <c r="L260" s="2" t="str">
        <f>'AFI-F4'!E57</f>
        <v/>
      </c>
      <c r="M260" s="2" t="str">
        <f>'AFI-F4'!F57</f>
        <v/>
      </c>
      <c r="N260" s="2" t="str">
        <f>'AFI-F4'!G57</f>
        <v/>
      </c>
      <c r="O260" s="2" t="str">
        <f>'AFI-F4'!H57</f>
        <v/>
      </c>
      <c r="P260" s="2" t="str">
        <f>'AFI-F4'!I57</f>
        <v>x</v>
      </c>
      <c r="Q260" s="2">
        <f>'AFI-F4'!J57</f>
        <v>110</v>
      </c>
      <c r="R260" s="2">
        <f>'AFI-F4'!K57</f>
        <v>110</v>
      </c>
      <c r="S260" s="2" t="str">
        <f>'AFI-F4'!L57</f>
        <v>COBR</v>
      </c>
      <c r="T260" s="2" t="str">
        <f>'AFI-F4'!M57</f>
        <v>YAPE JL</v>
      </c>
      <c r="U260" s="2">
        <f>'AFI-F4'!N57</f>
        <v>110</v>
      </c>
      <c r="V260" s="2">
        <f>'AFI-F4'!O57</f>
        <v>0</v>
      </c>
      <c r="W260" s="2" t="str">
        <f>'AFI-F4'!P57</f>
        <v>Katherine</v>
      </c>
      <c r="X260" s="5">
        <f>'AFI-F4'!Q57</f>
        <v>110</v>
      </c>
      <c r="Y260" s="1"/>
      <c r="Z260" s="1"/>
      <c r="AA260" s="1"/>
    </row>
    <row r="261">
      <c r="A261" s="1"/>
      <c r="B261" s="14">
        <f t="shared" si="8"/>
        <v>54</v>
      </c>
      <c r="C261" s="22" t="str">
        <f t="shared" si="1"/>
        <v>enero</v>
      </c>
      <c r="D261" s="22">
        <f t="shared" si="2"/>
        <v>4</v>
      </c>
      <c r="E261" s="23" t="str">
        <f t="shared" si="3"/>
        <v>jueves</v>
      </c>
      <c r="F261" s="22">
        <f t="shared" si="4"/>
        <v>22</v>
      </c>
      <c r="G261" s="22" t="s">
        <v>23</v>
      </c>
      <c r="H261" s="3">
        <f>'AFI-F4'!$G$3</f>
        <v>45682</v>
      </c>
      <c r="I261" s="24">
        <f>'AFI-F4'!B58</f>
        <v>46044</v>
      </c>
      <c r="J261" s="2" t="str">
        <f>'AFI-F4'!C58</f>
        <v/>
      </c>
      <c r="K261" s="2" t="str">
        <f>'AFI-F4'!D58</f>
        <v>Lizet De Guadalupe Roque Coronado</v>
      </c>
      <c r="L261" s="2" t="str">
        <f>'AFI-F4'!E58</f>
        <v/>
      </c>
      <c r="M261" s="2" t="str">
        <f>'AFI-F4'!F58</f>
        <v/>
      </c>
      <c r="N261" s="2" t="str">
        <f>'AFI-F4'!G58</f>
        <v/>
      </c>
      <c r="O261" s="2" t="str">
        <f>'AFI-F4'!H58</f>
        <v/>
      </c>
      <c r="P261" s="2" t="str">
        <f>'AFI-F4'!I58</f>
        <v>x</v>
      </c>
      <c r="Q261" s="2">
        <f>'AFI-F4'!J58</f>
        <v>190</v>
      </c>
      <c r="R261" s="2" t="str">
        <f>'AFI-F4'!K58</f>
        <v/>
      </c>
      <c r="S261" s="2" t="str">
        <f>'AFI-F4'!L58</f>
        <v>PAGO</v>
      </c>
      <c r="T261" s="2" t="str">
        <f>'AFI-F4'!M58</f>
        <v>YAPE JL</v>
      </c>
      <c r="U261" s="2">
        <f>'AFI-F4'!N58</f>
        <v>190</v>
      </c>
      <c r="V261" s="2" t="str">
        <f>'AFI-F4'!O58</f>
        <v/>
      </c>
      <c r="W261" s="2" t="str">
        <f>'AFI-F4'!P58</f>
        <v>Katherine</v>
      </c>
      <c r="X261" s="5">
        <f>'AFI-F4'!Q58</f>
        <v>190</v>
      </c>
      <c r="Y261" s="1"/>
      <c r="Z261" s="1"/>
      <c r="AA261" s="1"/>
    </row>
    <row r="262">
      <c r="A262" s="1"/>
      <c r="B262" s="14">
        <f t="shared" si="8"/>
        <v>55</v>
      </c>
      <c r="C262" s="22" t="str">
        <f t="shared" si="1"/>
        <v>enero</v>
      </c>
      <c r="D262" s="22">
        <f t="shared" si="2"/>
        <v>4</v>
      </c>
      <c r="E262" s="23" t="str">
        <f t="shared" si="3"/>
        <v>jueves</v>
      </c>
      <c r="F262" s="22">
        <f t="shared" si="4"/>
        <v>22</v>
      </c>
      <c r="G262" s="22" t="s">
        <v>23</v>
      </c>
      <c r="H262" s="3">
        <f>'AFI-F4'!$G$3</f>
        <v>45682</v>
      </c>
      <c r="I262" s="24">
        <f>'AFI-F4'!B59</f>
        <v>46044</v>
      </c>
      <c r="J262" s="2" t="str">
        <f>'AFI-F4'!C59</f>
        <v/>
      </c>
      <c r="K262" s="2" t="str">
        <f>'AFI-F4'!D59</f>
        <v>Pedro Raúl Artemio Alfaro Torres</v>
      </c>
      <c r="L262" s="2" t="str">
        <f>'AFI-F4'!E59</f>
        <v/>
      </c>
      <c r="M262" s="2" t="str">
        <f>'AFI-F4'!F59</f>
        <v/>
      </c>
      <c r="N262" s="2" t="str">
        <f>'AFI-F4'!G59</f>
        <v/>
      </c>
      <c r="O262" s="2" t="str">
        <f>'AFI-F4'!H59</f>
        <v/>
      </c>
      <c r="P262" s="2" t="str">
        <f>'AFI-F4'!I59</f>
        <v>x</v>
      </c>
      <c r="Q262" s="2">
        <f>'AFI-F4'!J59</f>
        <v>190</v>
      </c>
      <c r="R262" s="2" t="str">
        <f>'AFI-F4'!K59</f>
        <v/>
      </c>
      <c r="S262" s="2" t="str">
        <f>'AFI-F4'!L59</f>
        <v>PAGO</v>
      </c>
      <c r="T262" s="2" t="str">
        <f>'AFI-F4'!M59</f>
        <v>YAPE JL</v>
      </c>
      <c r="U262" s="2">
        <f>'AFI-F4'!N59</f>
        <v>190</v>
      </c>
      <c r="V262" s="2" t="str">
        <f>'AFI-F4'!O59</f>
        <v/>
      </c>
      <c r="W262" s="2" t="str">
        <f>'AFI-F4'!P59</f>
        <v>Katherine</v>
      </c>
      <c r="X262" s="5">
        <f>'AFI-F4'!Q59</f>
        <v>190</v>
      </c>
      <c r="Y262" s="1"/>
      <c r="Z262" s="1"/>
      <c r="AA262" s="1"/>
    </row>
    <row r="263">
      <c r="A263" s="1"/>
      <c r="B263" s="14">
        <f t="shared" si="8"/>
        <v>56</v>
      </c>
      <c r="C263" s="22" t="str">
        <f t="shared" si="1"/>
        <v>enero</v>
      </c>
      <c r="D263" s="22">
        <f t="shared" si="2"/>
        <v>4</v>
      </c>
      <c r="E263" s="23" t="str">
        <f t="shared" si="3"/>
        <v>viernes</v>
      </c>
      <c r="F263" s="22">
        <f t="shared" si="4"/>
        <v>23</v>
      </c>
      <c r="G263" s="22" t="s">
        <v>23</v>
      </c>
      <c r="H263" s="3">
        <f>'AFI-F4'!$G$3</f>
        <v>45682</v>
      </c>
      <c r="I263" s="24">
        <f>'AFI-F4'!B60</f>
        <v>46045</v>
      </c>
      <c r="J263" s="2">
        <f>'AFI-F4'!C60</f>
        <v>40391708</v>
      </c>
      <c r="K263" s="2" t="str">
        <f>'AFI-F4'!D60</f>
        <v>EDWARD GALLO TORRES</v>
      </c>
      <c r="L263" s="2" t="str">
        <f>'AFI-F4'!E60</f>
        <v>edwardgallo.309@gmail.com</v>
      </c>
      <c r="M263" s="2" t="str">
        <f>'AFI-F4'!F60</f>
        <v>LA PERLA - CALLAO</v>
      </c>
      <c r="N263" s="2">
        <f>'AFI-F4'!G60</f>
        <v>924561456</v>
      </c>
      <c r="O263" s="2" t="str">
        <f>'AFI-F4'!H60</f>
        <v/>
      </c>
      <c r="P263" s="2" t="str">
        <f>'AFI-F4'!I60</f>
        <v>X</v>
      </c>
      <c r="Q263" s="2">
        <f>'AFI-F4'!J60</f>
        <v>175</v>
      </c>
      <c r="R263" s="2" t="str">
        <f>'AFI-F4'!K60</f>
        <v/>
      </c>
      <c r="S263" s="2" t="str">
        <f>'AFI-F4'!L60</f>
        <v>PAGO</v>
      </c>
      <c r="T263" s="2" t="str">
        <f>'AFI-F4'!M60</f>
        <v>PLIN JL</v>
      </c>
      <c r="U263" s="2">
        <f>'AFI-F4'!N60</f>
        <v>175</v>
      </c>
      <c r="V263" s="2" t="str">
        <f>'AFI-F4'!O60</f>
        <v/>
      </c>
      <c r="W263" s="2" t="str">
        <f>'AFI-F4'!P60</f>
        <v>Sofia</v>
      </c>
      <c r="X263" s="5">
        <f>'AFI-F4'!Q60</f>
        <v>175</v>
      </c>
      <c r="Y263" s="1"/>
      <c r="Z263" s="1"/>
      <c r="AA263" s="1"/>
    </row>
    <row r="264">
      <c r="A264" s="1"/>
      <c r="B264" s="14">
        <f t="shared" si="8"/>
        <v>57</v>
      </c>
      <c r="C264" s="22" t="str">
        <f t="shared" si="1"/>
        <v>enero</v>
      </c>
      <c r="D264" s="22">
        <f t="shared" si="2"/>
        <v>4</v>
      </c>
      <c r="E264" s="23" t="str">
        <f t="shared" si="3"/>
        <v>viernes</v>
      </c>
      <c r="F264" s="22">
        <f t="shared" si="4"/>
        <v>23</v>
      </c>
      <c r="G264" s="22" t="s">
        <v>23</v>
      </c>
      <c r="H264" s="3">
        <f>'AFI-F4'!$G$3</f>
        <v>45682</v>
      </c>
      <c r="I264" s="24">
        <f>'AFI-F4'!B61</f>
        <v>46045</v>
      </c>
      <c r="J264" s="2">
        <f>'AFI-F4'!C61</f>
        <v>40532533</v>
      </c>
      <c r="K264" s="2" t="str">
        <f>'AFI-F4'!D61</f>
        <v>KATHERINE ZUNICO FLORES</v>
      </c>
      <c r="L264" s="2" t="str">
        <f>'AFI-F4'!E61</f>
        <v>kattyzunicoflores@gmail.com</v>
      </c>
      <c r="M264" s="2" t="str">
        <f>'AFI-F4'!F61</f>
        <v>LA PERLA - CALLAO</v>
      </c>
      <c r="N264" s="2">
        <f>'AFI-F4'!G61</f>
        <v>924561456</v>
      </c>
      <c r="O264" s="2" t="str">
        <f>'AFI-F4'!H61</f>
        <v/>
      </c>
      <c r="P264" s="2" t="str">
        <f>'AFI-F4'!I61</f>
        <v>X</v>
      </c>
      <c r="Q264" s="2">
        <f>'AFI-F4'!J61</f>
        <v>175</v>
      </c>
      <c r="R264" s="2" t="str">
        <f>'AFI-F4'!K61</f>
        <v/>
      </c>
      <c r="S264" s="2" t="str">
        <f>'AFI-F4'!L61</f>
        <v>PAGO</v>
      </c>
      <c r="T264" s="2" t="str">
        <f>'AFI-F4'!M61</f>
        <v>PLIN JL</v>
      </c>
      <c r="U264" s="2">
        <f>'AFI-F4'!N61</f>
        <v>175</v>
      </c>
      <c r="V264" s="2" t="str">
        <f>'AFI-F4'!O61</f>
        <v/>
      </c>
      <c r="W264" s="2" t="str">
        <f>'AFI-F4'!P61</f>
        <v>Sofia</v>
      </c>
      <c r="X264" s="5">
        <f>'AFI-F4'!Q61</f>
        <v>175</v>
      </c>
      <c r="Y264" s="1"/>
      <c r="Z264" s="1"/>
      <c r="AA264" s="1"/>
    </row>
    <row r="265">
      <c r="A265" s="1"/>
      <c r="B265" s="14">
        <f t="shared" si="8"/>
        <v>58</v>
      </c>
      <c r="C265" s="22" t="str">
        <f t="shared" si="1"/>
        <v>enero</v>
      </c>
      <c r="D265" s="22">
        <f t="shared" si="2"/>
        <v>4</v>
      </c>
      <c r="E265" s="23" t="str">
        <f t="shared" si="3"/>
        <v>viernes</v>
      </c>
      <c r="F265" s="22">
        <f t="shared" si="4"/>
        <v>23</v>
      </c>
      <c r="G265" s="22" t="s">
        <v>23</v>
      </c>
      <c r="H265" s="3">
        <f>'AFI-F4'!$G$3</f>
        <v>45682</v>
      </c>
      <c r="I265" s="24">
        <f>'AFI-F4'!B62</f>
        <v>46045</v>
      </c>
      <c r="J265" s="2">
        <f>'AFI-F4'!C62</f>
        <v>44767965</v>
      </c>
      <c r="K265" s="2" t="str">
        <f>'AFI-F4'!D62</f>
        <v>Massiel Karolina Ayala Guerra</v>
      </c>
      <c r="L265" s="2" t="str">
        <f>'AFI-F4'!E62</f>
        <v/>
      </c>
      <c r="M265" s="2" t="str">
        <f>'AFI-F4'!F62</f>
        <v/>
      </c>
      <c r="N265" s="2" t="str">
        <f>'AFI-F4'!G62</f>
        <v/>
      </c>
      <c r="O265" s="2" t="str">
        <f>'AFI-F4'!H62</f>
        <v/>
      </c>
      <c r="P265" s="2" t="str">
        <f>'AFI-F4'!I62</f>
        <v>x</v>
      </c>
      <c r="Q265" s="2">
        <f>'AFI-F4'!J62</f>
        <v>180</v>
      </c>
      <c r="R265" s="2">
        <f>'AFI-F4'!K62</f>
        <v>180</v>
      </c>
      <c r="S265" s="2" t="str">
        <f>'AFI-F4'!L62</f>
        <v>COBR</v>
      </c>
      <c r="T265" s="2" t="str">
        <f>'AFI-F4'!M62</f>
        <v>PLIN JL</v>
      </c>
      <c r="U265" s="2">
        <f>'AFI-F4'!N62</f>
        <v>180</v>
      </c>
      <c r="V265" s="2">
        <f>'AFI-F4'!O62</f>
        <v>180</v>
      </c>
      <c r="W265" s="2" t="str">
        <f>'AFI-F4'!P62</f>
        <v>Katherine</v>
      </c>
      <c r="X265" s="5">
        <f>'AFI-F4'!Q62</f>
        <v>360</v>
      </c>
      <c r="Y265" s="1"/>
      <c r="Z265" s="1"/>
      <c r="AA265" s="1"/>
    </row>
    <row r="266">
      <c r="A266" s="1"/>
      <c r="B266" s="14">
        <f t="shared" si="8"/>
        <v>59</v>
      </c>
      <c r="C266" s="22" t="str">
        <f t="shared" si="1"/>
        <v>enero</v>
      </c>
      <c r="D266" s="22">
        <f t="shared" si="2"/>
        <v>3</v>
      </c>
      <c r="E266" s="23" t="str">
        <f t="shared" si="3"/>
        <v>sábado</v>
      </c>
      <c r="F266" s="22">
        <f t="shared" si="4"/>
        <v>17</v>
      </c>
      <c r="G266" s="22" t="s">
        <v>23</v>
      </c>
      <c r="H266" s="3">
        <f>'AFI-F4'!$G$3</f>
        <v>45682</v>
      </c>
      <c r="I266" s="24">
        <f>'AFI-F4'!B63</f>
        <v>46039</v>
      </c>
      <c r="J266" s="2" t="str">
        <f>'AFI-F4'!C63</f>
        <v/>
      </c>
      <c r="K266" s="2" t="str">
        <f>'AFI-F4'!D63</f>
        <v>Percy Alonso Alama Porras</v>
      </c>
      <c r="L266" s="2" t="str">
        <f>'AFI-F4'!E63</f>
        <v>betty2535@hotmail.com</v>
      </c>
      <c r="M266" s="2" t="str">
        <f>'AFI-F4'!F63</f>
        <v>BARRANCO</v>
      </c>
      <c r="N266" s="2" t="str">
        <f>'AFI-F4'!G63</f>
        <v>995 747 995</v>
      </c>
      <c r="O266" s="2" t="str">
        <f>'AFI-F4'!H63</f>
        <v>X</v>
      </c>
      <c r="P266" s="2" t="str">
        <f>'AFI-F4'!I63</f>
        <v/>
      </c>
      <c r="Q266" s="2">
        <f>'AFI-F4'!J63</f>
        <v>90</v>
      </c>
      <c r="R266" s="2">
        <f>'AFI-F4'!K63</f>
        <v>90</v>
      </c>
      <c r="S266" s="2" t="str">
        <f>'AFI-F4'!L63</f>
        <v>COBR</v>
      </c>
      <c r="T266" s="2" t="str">
        <f>'AFI-F4'!M63</f>
        <v/>
      </c>
      <c r="U266" s="2">
        <f>'AFI-F4'!N63</f>
        <v>90</v>
      </c>
      <c r="V266" s="2">
        <f>'AFI-F4'!O63</f>
        <v>90</v>
      </c>
      <c r="W266" s="2" t="str">
        <f>'AFI-F4'!P63</f>
        <v>Greici</v>
      </c>
      <c r="X266" s="5">
        <f>'AFI-F4'!Q63</f>
        <v>180</v>
      </c>
      <c r="Y266" s="1"/>
      <c r="Z266" s="1"/>
      <c r="AA266" s="1"/>
    </row>
    <row r="267">
      <c r="A267" s="1"/>
      <c r="B267" s="14">
        <f t="shared" si="8"/>
        <v>60</v>
      </c>
      <c r="C267" s="22" t="str">
        <f t="shared" si="1"/>
        <v>enero</v>
      </c>
      <c r="D267" s="22">
        <f t="shared" si="2"/>
        <v>3</v>
      </c>
      <c r="E267" s="23" t="str">
        <f t="shared" si="3"/>
        <v>sábado</v>
      </c>
      <c r="F267" s="22">
        <f t="shared" si="4"/>
        <v>17</v>
      </c>
      <c r="G267" s="22" t="s">
        <v>23</v>
      </c>
      <c r="H267" s="3">
        <f>'AFI-F4'!$G$3</f>
        <v>45682</v>
      </c>
      <c r="I267" s="24">
        <f>'AFI-F4'!B64</f>
        <v>46039</v>
      </c>
      <c r="J267" s="2" t="str">
        <f>'AFI-F4'!C64</f>
        <v/>
      </c>
      <c r="K267" s="2" t="str">
        <f>'AFI-F4'!D64</f>
        <v>CAMILA MAYHUA ALVARADO</v>
      </c>
      <c r="L267" s="2" t="str">
        <f>'AFI-F4'!E64</f>
        <v>betty2535@hotmail.com</v>
      </c>
      <c r="M267" s="2" t="str">
        <f>'AFI-F4'!F64</f>
        <v>BARRANCO</v>
      </c>
      <c r="N267" s="2" t="str">
        <f>'AFI-F4'!G64</f>
        <v/>
      </c>
      <c r="O267" s="2" t="str">
        <f>'AFI-F4'!H64</f>
        <v>X</v>
      </c>
      <c r="P267" s="2" t="str">
        <f>'AFI-F4'!I64</f>
        <v/>
      </c>
      <c r="Q267" s="2">
        <f>'AFI-F4'!J64</f>
        <v>90</v>
      </c>
      <c r="R267" s="2">
        <f>'AFI-F4'!K64</f>
        <v>90</v>
      </c>
      <c r="S267" s="2" t="str">
        <f>'AFI-F4'!L64</f>
        <v>COBR</v>
      </c>
      <c r="T267" s="2" t="str">
        <f>'AFI-F4'!M64</f>
        <v/>
      </c>
      <c r="U267" s="2">
        <f>'AFI-F4'!N64</f>
        <v>90</v>
      </c>
      <c r="V267" s="2">
        <f>'AFI-F4'!O64</f>
        <v>90</v>
      </c>
      <c r="W267" s="2" t="str">
        <f>'AFI-F4'!P64</f>
        <v>Greici</v>
      </c>
      <c r="X267" s="5">
        <f>'AFI-F4'!Q64</f>
        <v>180</v>
      </c>
      <c r="Y267" s="1"/>
      <c r="Z267" s="1"/>
      <c r="AA267" s="1"/>
    </row>
    <row r="268">
      <c r="A268" s="1"/>
      <c r="B268" s="14">
        <f t="shared" si="8"/>
        <v>61</v>
      </c>
      <c r="C268" s="22" t="str">
        <f t="shared" si="1"/>
        <v>enero</v>
      </c>
      <c r="D268" s="22">
        <f t="shared" si="2"/>
        <v>4</v>
      </c>
      <c r="E268" s="23" t="str">
        <f t="shared" si="3"/>
        <v>sábado</v>
      </c>
      <c r="F268" s="22">
        <f t="shared" si="4"/>
        <v>24</v>
      </c>
      <c r="G268" s="22" t="s">
        <v>23</v>
      </c>
      <c r="H268" s="3">
        <f>'AFI-F4'!$G$3</f>
        <v>45682</v>
      </c>
      <c r="I268" s="24">
        <f>'AFI-F4'!B65</f>
        <v>46046</v>
      </c>
      <c r="J268" s="2">
        <f>'AFI-F4'!C65</f>
        <v>72190417</v>
      </c>
      <c r="K268" s="2" t="str">
        <f>'AFI-F4'!D65</f>
        <v>Omar Bruno Guillén Sánchez </v>
      </c>
      <c r="L268" s="2" t="str">
        <f>'AFI-F4'!E65</f>
        <v>brunohuarcaya2@gmail.com</v>
      </c>
      <c r="M268" s="2" t="str">
        <f>'AFI-F4'!F65</f>
        <v>SJM</v>
      </c>
      <c r="N268" s="2" t="str">
        <f>'AFI-F4'!G65</f>
        <v/>
      </c>
      <c r="O268" s="2" t="str">
        <f>'AFI-F4'!H65</f>
        <v/>
      </c>
      <c r="P268" s="2" t="str">
        <f>'AFI-F4'!I65</f>
        <v>x</v>
      </c>
      <c r="Q268" s="2">
        <f>'AFI-F4'!J65</f>
        <v>100</v>
      </c>
      <c r="R268" s="2">
        <f>'AFI-F4'!K65</f>
        <v>280</v>
      </c>
      <c r="S268" s="2" t="str">
        <f>'AFI-F4'!L65</f>
        <v>COBR</v>
      </c>
      <c r="T268" s="2" t="str">
        <f>'AFI-F4'!M65</f>
        <v/>
      </c>
      <c r="U268" s="2">
        <f>'AFI-F4'!N65</f>
        <v>100</v>
      </c>
      <c r="V268" s="2">
        <f>'AFI-F4'!O65</f>
        <v>280</v>
      </c>
      <c r="W268" s="2" t="str">
        <f>'AFI-F4'!P65</f>
        <v>Katherine</v>
      </c>
      <c r="X268" s="5">
        <f>'AFI-F4'!Q65</f>
        <v>380</v>
      </c>
      <c r="Y268" s="1"/>
      <c r="Z268" s="1"/>
      <c r="AA268" s="1"/>
    </row>
    <row r="269">
      <c r="A269" s="1"/>
      <c r="B269" s="14">
        <f t="shared" si="8"/>
        <v>62</v>
      </c>
      <c r="C269" s="22" t="str">
        <f t="shared" si="1"/>
        <v>enero</v>
      </c>
      <c r="D269" s="22">
        <f t="shared" si="2"/>
        <v>3</v>
      </c>
      <c r="E269" s="23" t="str">
        <f t="shared" si="3"/>
        <v>sábado</v>
      </c>
      <c r="F269" s="22">
        <f t="shared" si="4"/>
        <v>17</v>
      </c>
      <c r="G269" s="22" t="s">
        <v>23</v>
      </c>
      <c r="H269" s="3">
        <f>'AFI-F4'!$G$3</f>
        <v>45682</v>
      </c>
      <c r="I269" s="24">
        <f>'AFI-F4'!B66</f>
        <v>46039</v>
      </c>
      <c r="J269" s="2">
        <f>'AFI-F4'!C66</f>
        <v>7975001</v>
      </c>
      <c r="K269" s="2" t="str">
        <f>'AFI-F4'!D66</f>
        <v>wilbert palomino</v>
      </c>
      <c r="L269" s="2" t="str">
        <f>'AFI-F4'!E66</f>
        <v>wpa.rocaalta@gmail.com </v>
      </c>
      <c r="M269" s="2" t="str">
        <f>'AFI-F4'!F66</f>
        <v>El Agustino</v>
      </c>
      <c r="N269" s="2">
        <f>'AFI-F4'!G66</f>
        <v>51987402177</v>
      </c>
      <c r="O269" s="2" t="str">
        <f>'AFI-F4'!H66</f>
        <v/>
      </c>
      <c r="P269" s="2" t="str">
        <f>'AFI-F4'!I66</f>
        <v>x</v>
      </c>
      <c r="Q269" s="2">
        <f>'AFI-F4'!J66</f>
        <v>190</v>
      </c>
      <c r="R269" s="2" t="str">
        <f>'AFI-F4'!K66</f>
        <v/>
      </c>
      <c r="S269" s="2" t="str">
        <f>'AFI-F4'!L66</f>
        <v>PAGO</v>
      </c>
      <c r="T269" s="2" t="str">
        <f>'AFI-F4'!M66</f>
        <v>YAPE JL</v>
      </c>
      <c r="U269" s="2">
        <f>'AFI-F4'!N66</f>
        <v>190</v>
      </c>
      <c r="V269" s="2" t="str">
        <f>'AFI-F4'!O66</f>
        <v/>
      </c>
      <c r="W269" s="2" t="str">
        <f>'AFI-F4'!P66</f>
        <v>JL</v>
      </c>
      <c r="X269" s="5">
        <f>'AFI-F4'!Q66</f>
        <v>190</v>
      </c>
      <c r="Y269" s="1"/>
      <c r="Z269" s="1"/>
      <c r="AA269" s="1"/>
    </row>
    <row r="270">
      <c r="A270" s="1"/>
      <c r="B270" s="14">
        <f t="shared" si="8"/>
        <v>63</v>
      </c>
      <c r="C270" s="22" t="str">
        <f t="shared" si="1"/>
        <v>diciembre</v>
      </c>
      <c r="D270" s="22">
        <f t="shared" si="2"/>
        <v>52</v>
      </c>
      <c r="E270" s="23" t="str">
        <f t="shared" si="3"/>
        <v>sábado</v>
      </c>
      <c r="F270" s="22">
        <f t="shared" si="4"/>
        <v>30</v>
      </c>
      <c r="G270" s="22" t="s">
        <v>23</v>
      </c>
      <c r="H270" s="3">
        <f>'AFI-F4'!$G$3</f>
        <v>45682</v>
      </c>
      <c r="I270" s="24" t="str">
        <f>'AFI-F4'!B67</f>
        <v/>
      </c>
      <c r="J270" s="2" t="str">
        <f>'AFI-F4'!C67</f>
        <v/>
      </c>
      <c r="K270" s="2" t="str">
        <f>'AFI-F4'!D67</f>
        <v>RENZO CHAVEZ</v>
      </c>
      <c r="L270" s="2" t="str">
        <f>'AFI-F4'!E67</f>
        <v/>
      </c>
      <c r="M270" s="2" t="str">
        <f>'AFI-F4'!F67</f>
        <v/>
      </c>
      <c r="N270" s="2" t="str">
        <f>'AFI-F4'!G67</f>
        <v/>
      </c>
      <c r="O270" s="2" t="str">
        <f>'AFI-F4'!H67</f>
        <v/>
      </c>
      <c r="P270" s="2" t="str">
        <f>'AFI-F4'!I67</f>
        <v>X</v>
      </c>
      <c r="Q270" s="2">
        <f>'AFI-F4'!J67</f>
        <v>110</v>
      </c>
      <c r="R270" s="2">
        <f>'AFI-F4'!K67</f>
        <v>110</v>
      </c>
      <c r="S270" s="2" t="str">
        <f>'AFI-F4'!L67</f>
        <v>COBR</v>
      </c>
      <c r="T270" s="2" t="str">
        <f>'AFI-F4'!M67</f>
        <v>MERC-PAG</v>
      </c>
      <c r="U270" s="2">
        <f>'AFI-F4'!N67</f>
        <v>104.88</v>
      </c>
      <c r="V270" s="2">
        <f>'AFI-F4'!O67</f>
        <v>110</v>
      </c>
      <c r="W270" s="2" t="str">
        <f>'AFI-F4'!P67</f>
        <v>JL</v>
      </c>
      <c r="X270" s="5">
        <f>'AFI-F4'!Q67</f>
        <v>214.88</v>
      </c>
      <c r="Y270" s="1"/>
      <c r="Z270" s="1"/>
      <c r="AA270" s="1"/>
    </row>
    <row r="271">
      <c r="A271" s="1"/>
      <c r="B271" s="14">
        <f t="shared" si="8"/>
        <v>64</v>
      </c>
      <c r="C271" s="22" t="str">
        <f t="shared" si="1"/>
        <v>diciembre</v>
      </c>
      <c r="D271" s="22">
        <f t="shared" si="2"/>
        <v>52</v>
      </c>
      <c r="E271" s="23" t="str">
        <f t="shared" si="3"/>
        <v>sábado</v>
      </c>
      <c r="F271" s="22">
        <f t="shared" si="4"/>
        <v>30</v>
      </c>
      <c r="G271" s="22" t="s">
        <v>23</v>
      </c>
      <c r="H271" s="3">
        <f>'AFI-F4'!$G$3</f>
        <v>45682</v>
      </c>
      <c r="I271" s="24" t="str">
        <f>'AFI-F4'!B68</f>
        <v/>
      </c>
      <c r="J271" s="2" t="str">
        <f>'AFI-F4'!C68</f>
        <v/>
      </c>
      <c r="K271" s="2" t="str">
        <f>'AFI-F4'!D68</f>
        <v>ALEJANDRO CHAUCA</v>
      </c>
      <c r="L271" s="2" t="str">
        <f>'AFI-F4'!E68</f>
        <v/>
      </c>
      <c r="M271" s="2" t="str">
        <f>'AFI-F4'!F68</f>
        <v/>
      </c>
      <c r="N271" s="2" t="str">
        <f>'AFI-F4'!G68</f>
        <v/>
      </c>
      <c r="O271" s="2" t="str">
        <f>'AFI-F4'!H68</f>
        <v/>
      </c>
      <c r="P271" s="2" t="str">
        <f>'AFI-F4'!I68</f>
        <v>X</v>
      </c>
      <c r="Q271" s="2">
        <f>'AFI-F4'!J68</f>
        <v>110</v>
      </c>
      <c r="R271" s="2">
        <f>'AFI-F4'!K68</f>
        <v>110</v>
      </c>
      <c r="S271" s="2" t="str">
        <f>'AFI-F4'!L68</f>
        <v>COBR</v>
      </c>
      <c r="T271" s="2" t="str">
        <f>'AFI-F4'!M68</f>
        <v>MERC-PAG</v>
      </c>
      <c r="U271" s="2">
        <f>'AFI-F4'!N68</f>
        <v>104.88</v>
      </c>
      <c r="V271" s="2">
        <f>'AFI-F4'!O68</f>
        <v>110</v>
      </c>
      <c r="W271" s="2" t="str">
        <f>'AFI-F4'!P68</f>
        <v>JL</v>
      </c>
      <c r="X271" s="5">
        <f>'AFI-F4'!Q68</f>
        <v>214.88</v>
      </c>
      <c r="Y271" s="1"/>
      <c r="Z271" s="1"/>
      <c r="AA271" s="1"/>
    </row>
    <row r="272">
      <c r="A272" s="1"/>
      <c r="B272" s="14">
        <f t="shared" si="8"/>
        <v>65</v>
      </c>
      <c r="C272" s="22" t="str">
        <f t="shared" si="1"/>
        <v>diciembre</v>
      </c>
      <c r="D272" s="22">
        <f t="shared" si="2"/>
        <v>52</v>
      </c>
      <c r="E272" s="23" t="str">
        <f t="shared" si="3"/>
        <v>sábado</v>
      </c>
      <c r="F272" s="22">
        <f t="shared" si="4"/>
        <v>30</v>
      </c>
      <c r="G272" s="22" t="s">
        <v>23</v>
      </c>
      <c r="H272" s="3">
        <f>'AFI-F4'!$G$3</f>
        <v>45682</v>
      </c>
      <c r="I272" s="24" t="str">
        <f>'AFI-F4'!B69</f>
        <v/>
      </c>
      <c r="J272" s="2" t="str">
        <f>'AFI-F4'!C69</f>
        <v/>
      </c>
      <c r="K272" s="2" t="str">
        <f>'AFI-F4'!D69</f>
        <v/>
      </c>
      <c r="L272" s="2" t="str">
        <f>'AFI-F4'!E69</f>
        <v/>
      </c>
      <c r="M272" s="2" t="str">
        <f>'AFI-F4'!F69</f>
        <v/>
      </c>
      <c r="N272" s="2" t="str">
        <f>'AFI-F4'!G69</f>
        <v/>
      </c>
      <c r="O272" s="2" t="str">
        <f>'AFI-F4'!H69</f>
        <v/>
      </c>
      <c r="P272" s="2" t="str">
        <f>'AFI-F4'!I69</f>
        <v/>
      </c>
      <c r="Q272" s="2" t="str">
        <f>'AFI-F4'!J69</f>
        <v/>
      </c>
      <c r="R272" s="2" t="str">
        <f>'AFI-F4'!K69</f>
        <v/>
      </c>
      <c r="S272" s="2" t="str">
        <f>'AFI-F4'!L69</f>
        <v/>
      </c>
      <c r="T272" s="2" t="str">
        <f>'AFI-F4'!M69</f>
        <v/>
      </c>
      <c r="U272" s="2" t="str">
        <f>'AFI-F4'!N69</f>
        <v/>
      </c>
      <c r="V272" s="2" t="str">
        <f>'AFI-F4'!O69</f>
        <v/>
      </c>
      <c r="W272" s="2" t="str">
        <f>'AFI-F4'!P69</f>
        <v/>
      </c>
      <c r="X272" s="5">
        <f>'AFI-F4'!Q69</f>
        <v>0</v>
      </c>
      <c r="Y272" s="1"/>
      <c r="Z272" s="1"/>
      <c r="AA272" s="1"/>
    </row>
    <row r="273">
      <c r="A273" s="1"/>
      <c r="B273" s="14">
        <f t="shared" si="8"/>
        <v>66</v>
      </c>
      <c r="C273" s="22" t="str">
        <f t="shared" si="1"/>
        <v>diciembre</v>
      </c>
      <c r="D273" s="22">
        <f t="shared" si="2"/>
        <v>52</v>
      </c>
      <c r="E273" s="23" t="str">
        <f t="shared" si="3"/>
        <v>sábado</v>
      </c>
      <c r="F273" s="22">
        <f t="shared" si="4"/>
        <v>30</v>
      </c>
      <c r="G273" s="22" t="s">
        <v>23</v>
      </c>
      <c r="H273" s="3">
        <f>'AFI-F4'!$G$3</f>
        <v>45682</v>
      </c>
      <c r="I273" s="24" t="str">
        <f>'AFI-F4'!B70</f>
        <v/>
      </c>
      <c r="J273" s="2" t="str">
        <f>'AFI-F4'!C70</f>
        <v/>
      </c>
      <c r="K273" s="2" t="str">
        <f>'AFI-F4'!D70</f>
        <v/>
      </c>
      <c r="L273" s="2" t="str">
        <f>'AFI-F4'!E70</f>
        <v/>
      </c>
      <c r="M273" s="2" t="str">
        <f>'AFI-F4'!F70</f>
        <v/>
      </c>
      <c r="N273" s="2" t="str">
        <f>'AFI-F4'!G70</f>
        <v/>
      </c>
      <c r="O273" s="2" t="str">
        <f>'AFI-F4'!H70</f>
        <v/>
      </c>
      <c r="P273" s="2" t="str">
        <f>'AFI-F4'!I70</f>
        <v/>
      </c>
      <c r="Q273" s="2" t="str">
        <f>'AFI-F4'!J70</f>
        <v/>
      </c>
      <c r="R273" s="2" t="str">
        <f>'AFI-F4'!K70</f>
        <v/>
      </c>
      <c r="S273" s="2" t="str">
        <f>'AFI-F4'!L70</f>
        <v/>
      </c>
      <c r="T273" s="2" t="str">
        <f>'AFI-F4'!M70</f>
        <v/>
      </c>
      <c r="U273" s="2" t="str">
        <f>'AFI-F4'!N70</f>
        <v/>
      </c>
      <c r="V273" s="2" t="str">
        <f>'AFI-F4'!O70</f>
        <v/>
      </c>
      <c r="W273" s="2" t="str">
        <f>'AFI-F4'!P70</f>
        <v/>
      </c>
      <c r="X273" s="5">
        <f>'AFI-F4'!Q70</f>
        <v>0</v>
      </c>
      <c r="Y273" s="1"/>
      <c r="Z273" s="1"/>
      <c r="AA273" s="1"/>
    </row>
    <row r="274">
      <c r="A274" s="1"/>
      <c r="B274" s="14">
        <f t="shared" si="8"/>
        <v>67</v>
      </c>
      <c r="C274" s="22" t="str">
        <f t="shared" si="1"/>
        <v>diciembre</v>
      </c>
      <c r="D274" s="22">
        <f t="shared" si="2"/>
        <v>52</v>
      </c>
      <c r="E274" s="23" t="str">
        <f t="shared" si="3"/>
        <v>sábado</v>
      </c>
      <c r="F274" s="22">
        <f t="shared" si="4"/>
        <v>30</v>
      </c>
      <c r="G274" s="22" t="s">
        <v>23</v>
      </c>
      <c r="H274" s="3">
        <f>'AFI-F4'!$G$3</f>
        <v>45682</v>
      </c>
      <c r="I274" s="24" t="str">
        <f>'AFI-F4'!B71</f>
        <v/>
      </c>
      <c r="J274" s="2" t="str">
        <f>'AFI-F4'!C71</f>
        <v/>
      </c>
      <c r="K274" s="2" t="str">
        <f>'AFI-F4'!D71</f>
        <v/>
      </c>
      <c r="L274" s="2" t="str">
        <f>'AFI-F4'!E71</f>
        <v/>
      </c>
      <c r="M274" s="2" t="str">
        <f>'AFI-F4'!F71</f>
        <v/>
      </c>
      <c r="N274" s="2" t="str">
        <f>'AFI-F4'!G71</f>
        <v/>
      </c>
      <c r="O274" s="2" t="str">
        <f>'AFI-F4'!H71</f>
        <v/>
      </c>
      <c r="P274" s="2" t="str">
        <f>'AFI-F4'!I71</f>
        <v/>
      </c>
      <c r="Q274" s="2" t="str">
        <f>'AFI-F4'!J71</f>
        <v/>
      </c>
      <c r="R274" s="2" t="str">
        <f>'AFI-F4'!K71</f>
        <v/>
      </c>
      <c r="S274" s="2" t="str">
        <f>'AFI-F4'!L71</f>
        <v/>
      </c>
      <c r="T274" s="2" t="str">
        <f>'AFI-F4'!M71</f>
        <v/>
      </c>
      <c r="U274" s="2" t="str">
        <f>'AFI-F4'!N71</f>
        <v/>
      </c>
      <c r="V274" s="2" t="str">
        <f>'AFI-F4'!O71</f>
        <v/>
      </c>
      <c r="W274" s="2" t="str">
        <f>'AFI-F4'!P71</f>
        <v/>
      </c>
      <c r="X274" s="5">
        <f>'AFI-F4'!Q71</f>
        <v>0</v>
      </c>
      <c r="Y274" s="1"/>
      <c r="Z274" s="1"/>
      <c r="AA274" s="1"/>
    </row>
    <row r="275">
      <c r="A275" s="1"/>
      <c r="B275" s="14">
        <f t="shared" si="8"/>
        <v>68</v>
      </c>
      <c r="C275" s="22" t="str">
        <f t="shared" si="1"/>
        <v>diciembre</v>
      </c>
      <c r="D275" s="22">
        <f t="shared" si="2"/>
        <v>52</v>
      </c>
      <c r="E275" s="23" t="str">
        <f t="shared" si="3"/>
        <v>sábado</v>
      </c>
      <c r="F275" s="22">
        <f t="shared" si="4"/>
        <v>30</v>
      </c>
      <c r="G275" s="22" t="s">
        <v>23</v>
      </c>
      <c r="H275" s="3">
        <f>'AFI-F4'!$G$3</f>
        <v>45682</v>
      </c>
      <c r="I275" s="24" t="str">
        <f>'AFI-F4'!B72</f>
        <v/>
      </c>
      <c r="J275" s="2" t="str">
        <f>'AFI-F4'!C72</f>
        <v/>
      </c>
      <c r="K275" s="2" t="str">
        <f>'AFI-F4'!D72</f>
        <v/>
      </c>
      <c r="L275" s="2" t="str">
        <f>'AFI-F4'!E72</f>
        <v/>
      </c>
      <c r="M275" s="2" t="str">
        <f>'AFI-F4'!F72</f>
        <v/>
      </c>
      <c r="N275" s="2" t="str">
        <f>'AFI-F4'!G72</f>
        <v/>
      </c>
      <c r="O275" s="2" t="str">
        <f>'AFI-F4'!H72</f>
        <v/>
      </c>
      <c r="P275" s="2" t="str">
        <f>'AFI-F4'!I72</f>
        <v/>
      </c>
      <c r="Q275" s="2" t="str">
        <f>'AFI-F4'!J72</f>
        <v/>
      </c>
      <c r="R275" s="2" t="str">
        <f>'AFI-F4'!K72</f>
        <v/>
      </c>
      <c r="S275" s="2" t="str">
        <f>'AFI-F4'!L72</f>
        <v/>
      </c>
      <c r="T275" s="2" t="str">
        <f>'AFI-F4'!M72</f>
        <v/>
      </c>
      <c r="U275" s="2" t="str">
        <f>'AFI-F4'!N72</f>
        <v/>
      </c>
      <c r="V275" s="2" t="str">
        <f>'AFI-F4'!O72</f>
        <v/>
      </c>
      <c r="W275" s="2" t="str">
        <f>'AFI-F4'!P72</f>
        <v/>
      </c>
      <c r="X275" s="5">
        <f>'AFI-F4'!Q72</f>
        <v>0</v>
      </c>
      <c r="Y275" s="1"/>
      <c r="Z275" s="1"/>
      <c r="AA275" s="1"/>
    </row>
    <row r="276">
      <c r="A276" s="1"/>
      <c r="B276" s="14">
        <v>1.0</v>
      </c>
      <c r="C276" s="15" t="str">
        <f t="shared" si="1"/>
        <v>enero</v>
      </c>
      <c r="D276" s="15">
        <f t="shared" si="2"/>
        <v>1</v>
      </c>
      <c r="E276" s="16" t="str">
        <f t="shared" si="3"/>
        <v>viernes</v>
      </c>
      <c r="F276" s="15">
        <f t="shared" si="4"/>
        <v>2</v>
      </c>
      <c r="G276" s="15" t="s">
        <v>23</v>
      </c>
      <c r="H276" s="3">
        <f>'AFI-F5'!$G$3</f>
        <v>45688</v>
      </c>
      <c r="I276" s="24">
        <f>'AFI-F5'!B5</f>
        <v>46024</v>
      </c>
      <c r="J276" s="2">
        <f>'AFI-F5'!C5</f>
        <v>76197577</v>
      </c>
      <c r="K276" s="2" t="str">
        <f>'AFI-F5'!D5</f>
        <v>Anderson Achata</v>
      </c>
      <c r="L276" s="2" t="str">
        <f>'AFI-F5'!E5</f>
        <v>andersonachata@gmail.com</v>
      </c>
      <c r="M276" s="2" t="str">
        <f>'AFI-F5'!F5</f>
        <v>SAN LUIS</v>
      </c>
      <c r="N276" s="2" t="str">
        <f>'AFI-F5'!G5</f>
        <v>913 872 010</v>
      </c>
      <c r="O276" s="2" t="str">
        <f>'AFI-F5'!H5</f>
        <v>X</v>
      </c>
      <c r="P276" s="2" t="str">
        <f>'AFI-F5'!I5</f>
        <v/>
      </c>
      <c r="Q276" s="2">
        <f>'AFI-F5'!J5</f>
        <v>190</v>
      </c>
      <c r="R276" s="2" t="str">
        <f>'AFI-F5'!K5</f>
        <v/>
      </c>
      <c r="S276" s="2" t="str">
        <f>'AFI-F5'!L5</f>
        <v>PAGO</v>
      </c>
      <c r="T276" s="2" t="str">
        <f>'AFI-F5'!M5</f>
        <v>PLIN JL</v>
      </c>
      <c r="U276" s="2">
        <f>'AFI-F5'!N5</f>
        <v>190</v>
      </c>
      <c r="V276" s="2" t="str">
        <f>'AFI-F5'!O5</f>
        <v/>
      </c>
      <c r="W276" s="2" t="str">
        <f>'AFI-F5'!P5</f>
        <v>Yadhira</v>
      </c>
      <c r="X276" s="5">
        <f>'AFI-F5'!Q5</f>
        <v>190</v>
      </c>
      <c r="Y276" s="1"/>
      <c r="Z276" s="1"/>
      <c r="AA276" s="1"/>
    </row>
    <row r="277">
      <c r="A277" s="1"/>
      <c r="B277" s="14">
        <f t="shared" ref="B277:B343" si="9">B276+1</f>
        <v>2</v>
      </c>
      <c r="C277" s="15" t="str">
        <f t="shared" si="1"/>
        <v>enero</v>
      </c>
      <c r="D277" s="15">
        <f t="shared" si="2"/>
        <v>1</v>
      </c>
      <c r="E277" s="16" t="str">
        <f t="shared" si="3"/>
        <v>sábado</v>
      </c>
      <c r="F277" s="15">
        <f t="shared" si="4"/>
        <v>3</v>
      </c>
      <c r="G277" s="15" t="s">
        <v>23</v>
      </c>
      <c r="H277" s="3">
        <f>'AFI-F5'!$G$3</f>
        <v>45688</v>
      </c>
      <c r="I277" s="24">
        <f>'AFI-F5'!B6</f>
        <v>46025</v>
      </c>
      <c r="J277" s="2">
        <f>'AFI-F5'!C6</f>
        <v>41735143</v>
      </c>
      <c r="K277" s="2" t="str">
        <f>'AFI-F5'!D6</f>
        <v>Danilo Fernando Yánac Talaverano</v>
      </c>
      <c r="L277" s="2" t="str">
        <f>'AFI-F5'!E6</f>
        <v>Dyanact@gmail.com</v>
      </c>
      <c r="M277" s="2" t="str">
        <f>'AFI-F5'!F6</f>
        <v>LOS OLIVOS</v>
      </c>
      <c r="N277" s="2" t="str">
        <f>'AFI-F5'!G6</f>
        <v>949 727 949</v>
      </c>
      <c r="O277" s="2" t="str">
        <f>'AFI-F5'!H6</f>
        <v>X</v>
      </c>
      <c r="P277" s="2" t="str">
        <f>'AFI-F5'!I6</f>
        <v/>
      </c>
      <c r="Q277" s="2">
        <f>'AFI-F5'!J6</f>
        <v>0</v>
      </c>
      <c r="R277" s="2" t="str">
        <f>'AFI-F5'!K6</f>
        <v/>
      </c>
      <c r="S277" s="2" t="str">
        <f>'AFI-F5'!L6</f>
        <v/>
      </c>
      <c r="T277" s="2" t="str">
        <f>'AFI-F5'!M6</f>
        <v/>
      </c>
      <c r="U277" s="2">
        <f>'AFI-F5'!N6</f>
        <v>0</v>
      </c>
      <c r="V277" s="2" t="str">
        <f>'AFI-F5'!O6</f>
        <v/>
      </c>
      <c r="W277" s="2" t="str">
        <f>'AFI-F5'!P6</f>
        <v>Yadhira</v>
      </c>
      <c r="X277" s="5">
        <f>'AFI-F5'!Q6</f>
        <v>0</v>
      </c>
      <c r="Y277" s="1"/>
      <c r="Z277" s="1"/>
      <c r="AA277" s="1"/>
    </row>
    <row r="278">
      <c r="A278" s="1"/>
      <c r="B278" s="14">
        <f t="shared" si="9"/>
        <v>3</v>
      </c>
      <c r="C278" s="15" t="str">
        <f t="shared" si="1"/>
        <v>enero</v>
      </c>
      <c r="D278" s="15">
        <f t="shared" si="2"/>
        <v>3</v>
      </c>
      <c r="E278" s="16" t="str">
        <f t="shared" si="3"/>
        <v>sábado</v>
      </c>
      <c r="F278" s="15">
        <f t="shared" si="4"/>
        <v>17</v>
      </c>
      <c r="G278" s="15" t="s">
        <v>23</v>
      </c>
      <c r="H278" s="3">
        <f>'AFI-F5'!$G$3</f>
        <v>45688</v>
      </c>
      <c r="I278" s="24">
        <f>'AFI-F4'!B63</f>
        <v>46039</v>
      </c>
      <c r="J278" s="2" t="str">
        <f>'AFI-F4'!C63</f>
        <v/>
      </c>
      <c r="K278" s="2" t="str">
        <f>'AFI-F4'!D63</f>
        <v>Percy Alonso Alama Porras</v>
      </c>
      <c r="L278" s="2" t="str">
        <f>'AFI-F4'!E63</f>
        <v>betty2535@hotmail.com</v>
      </c>
      <c r="M278" s="2" t="str">
        <f>'AFI-F4'!F63</f>
        <v>BARRANCO</v>
      </c>
      <c r="N278" s="2" t="str">
        <f>'AFI-F4'!G63</f>
        <v>995 747 995</v>
      </c>
      <c r="O278" s="2" t="str">
        <f>'AFI-F4'!H63</f>
        <v>X</v>
      </c>
      <c r="P278" s="2" t="str">
        <f>'AFI-F5'!I7</f>
        <v>x</v>
      </c>
      <c r="Q278" s="2">
        <f>'AFI-F5'!J7</f>
        <v>0</v>
      </c>
      <c r="R278" s="2" t="str">
        <f>'AFI-F5'!K7</f>
        <v/>
      </c>
      <c r="S278" s="2" t="str">
        <f>'AFI-F5'!L7</f>
        <v/>
      </c>
      <c r="T278" s="2" t="str">
        <f>'AFI-F5'!M7</f>
        <v/>
      </c>
      <c r="U278" s="2">
        <f>'AFI-F5'!N7</f>
        <v>0</v>
      </c>
      <c r="V278" s="2" t="str">
        <f>'AFI-F5'!O7</f>
        <v/>
      </c>
      <c r="W278" s="2" t="str">
        <f>'AFI-F5'!P7</f>
        <v>Yadhira</v>
      </c>
      <c r="X278" s="5">
        <f>'AFI-F5'!Q7</f>
        <v>0</v>
      </c>
      <c r="Y278" s="1"/>
      <c r="Z278" s="1"/>
      <c r="AA278" s="1"/>
    </row>
    <row r="279">
      <c r="A279" s="1"/>
      <c r="B279" s="14">
        <f t="shared" si="9"/>
        <v>4</v>
      </c>
      <c r="C279" s="15" t="str">
        <f t="shared" si="1"/>
        <v>enero</v>
      </c>
      <c r="D279" s="15">
        <f t="shared" si="2"/>
        <v>3</v>
      </c>
      <c r="E279" s="16" t="str">
        <f t="shared" si="3"/>
        <v>sábado</v>
      </c>
      <c r="F279" s="15">
        <f t="shared" si="4"/>
        <v>17</v>
      </c>
      <c r="G279" s="15" t="s">
        <v>23</v>
      </c>
      <c r="H279" s="3">
        <f>'AFI-F5'!$G$3</f>
        <v>45688</v>
      </c>
      <c r="I279" s="24">
        <f>'AFI-F4'!B64</f>
        <v>46039</v>
      </c>
      <c r="J279" s="2" t="str">
        <f>'AFI-F4'!C64</f>
        <v/>
      </c>
      <c r="K279" s="2" t="str">
        <f>'AFI-F4'!D64</f>
        <v>CAMILA MAYHUA ALVARADO</v>
      </c>
      <c r="L279" s="2" t="str">
        <f>'AFI-F4'!E64</f>
        <v>betty2535@hotmail.com</v>
      </c>
      <c r="M279" s="2" t="str">
        <f>'AFI-F4'!F64</f>
        <v>BARRANCO</v>
      </c>
      <c r="N279" s="2" t="str">
        <f>'AFI-F4'!G64</f>
        <v/>
      </c>
      <c r="O279" s="2" t="str">
        <f>'AFI-F4'!H64</f>
        <v>X</v>
      </c>
      <c r="P279" s="2" t="str">
        <f>'AFI-F5'!I8</f>
        <v/>
      </c>
      <c r="Q279" s="2" t="str">
        <f>'AFI-F5'!J8</f>
        <v/>
      </c>
      <c r="R279" s="2" t="str">
        <f>'AFI-F5'!K8</f>
        <v/>
      </c>
      <c r="S279" s="2" t="str">
        <f>'AFI-F5'!L8</f>
        <v/>
      </c>
      <c r="T279" s="2" t="str">
        <f>'AFI-F5'!M8</f>
        <v/>
      </c>
      <c r="U279" s="2" t="str">
        <f>'AFI-F5'!N8</f>
        <v/>
      </c>
      <c r="V279" s="2" t="str">
        <f>'AFI-F5'!O8</f>
        <v/>
      </c>
      <c r="W279" s="2" t="str">
        <f>'AFI-F5'!P8</f>
        <v/>
      </c>
      <c r="X279" s="5">
        <f>'AFI-F5'!Q8</f>
        <v>0</v>
      </c>
      <c r="Y279" s="1"/>
      <c r="Z279" s="1"/>
      <c r="AA279" s="1"/>
    </row>
    <row r="280">
      <c r="A280" s="1"/>
      <c r="B280" s="14">
        <f t="shared" si="9"/>
        <v>5</v>
      </c>
      <c r="C280" s="15" t="str">
        <f t="shared" si="1"/>
        <v>enero</v>
      </c>
      <c r="D280" s="15">
        <f t="shared" si="2"/>
        <v>2</v>
      </c>
      <c r="E280" s="16" t="str">
        <f t="shared" si="3"/>
        <v>jueves</v>
      </c>
      <c r="F280" s="15">
        <f t="shared" si="4"/>
        <v>8</v>
      </c>
      <c r="G280" s="15" t="s">
        <v>23</v>
      </c>
      <c r="H280" s="3">
        <f>'AFI-F5'!$G$3</f>
        <v>45688</v>
      </c>
      <c r="I280" s="24">
        <f>'AFI-F5'!B9</f>
        <v>46030</v>
      </c>
      <c r="J280" s="2">
        <f>'AFI-F5'!C9</f>
        <v>46063723</v>
      </c>
      <c r="K280" s="2" t="str">
        <f>'AFI-F5'!D9</f>
        <v>carlos ore yufre</v>
      </c>
      <c r="L280" s="27" t="str">
        <f>'AFI-F5'!E9</f>
        <v>carlosyufre29@gmail.com</v>
      </c>
      <c r="M280" s="2" t="str">
        <f>'AFI-F5'!F9</f>
        <v>los olivos</v>
      </c>
      <c r="N280" s="2">
        <f>'AFI-F5'!G9</f>
        <v>948350215</v>
      </c>
      <c r="O280" s="2" t="str">
        <f>'AFI-F5'!H9</f>
        <v/>
      </c>
      <c r="P280" s="2" t="str">
        <f>'AFI-F5'!I9</f>
        <v>X</v>
      </c>
      <c r="Q280" s="2">
        <f>'AFI-F5'!J9</f>
        <v>0</v>
      </c>
      <c r="R280" s="2" t="str">
        <f>'AFI-F5'!K9</f>
        <v/>
      </c>
      <c r="S280" s="2" t="str">
        <f>'AFI-F5'!L9</f>
        <v>PAGO</v>
      </c>
      <c r="T280" s="2" t="str">
        <f>'AFI-F5'!M9</f>
        <v/>
      </c>
      <c r="U280" s="2">
        <f>'AFI-F5'!N9</f>
        <v>0</v>
      </c>
      <c r="V280" s="2" t="str">
        <f>'AFI-F5'!O9</f>
        <v/>
      </c>
      <c r="W280" s="2" t="str">
        <f>'AFI-F5'!P9</f>
        <v>Sofia</v>
      </c>
      <c r="X280" s="5">
        <f>'AFI-F5'!Q9</f>
        <v>0</v>
      </c>
      <c r="Y280" s="1"/>
      <c r="Z280" s="1"/>
      <c r="AA280" s="1"/>
    </row>
    <row r="281">
      <c r="A281" s="1"/>
      <c r="B281" s="14">
        <f t="shared" si="9"/>
        <v>6</v>
      </c>
      <c r="C281" s="15" t="str">
        <f t="shared" si="1"/>
        <v>enero</v>
      </c>
      <c r="D281" s="15">
        <f t="shared" si="2"/>
        <v>4</v>
      </c>
      <c r="E281" s="16" t="str">
        <f t="shared" si="3"/>
        <v>martes</v>
      </c>
      <c r="F281" s="15">
        <f t="shared" si="4"/>
        <v>20</v>
      </c>
      <c r="G281" s="15" t="s">
        <v>23</v>
      </c>
      <c r="H281" s="3">
        <f>'AFI-F5'!$G$3</f>
        <v>45688</v>
      </c>
      <c r="I281" s="24">
        <f>'AFI-F5'!B10</f>
        <v>46042</v>
      </c>
      <c r="J281" s="2">
        <f>'AFI-F5'!C10</f>
        <v>20063027</v>
      </c>
      <c r="K281" s="30" t="str">
        <f>'AFI-F5'!D10</f>
        <v>Irene Delma Calderón Marcos</v>
      </c>
      <c r="L281" s="2" t="str">
        <f>'AFI-F5'!E10</f>
        <v>irene_delma11@hotmail.com</v>
      </c>
      <c r="M281" s="2" t="str">
        <f>'AFI-F5'!F10</f>
        <v>CERCADO</v>
      </c>
      <c r="N281" s="2" t="str">
        <f>'AFI-F5'!G10</f>
        <v>982 593 099</v>
      </c>
      <c r="O281" s="2" t="str">
        <f>'AFI-F5'!H10</f>
        <v>X</v>
      </c>
      <c r="P281" s="2" t="str">
        <f>'AFI-F5'!I10</f>
        <v/>
      </c>
      <c r="Q281" s="2">
        <f>'AFI-F5'!J10</f>
        <v>190</v>
      </c>
      <c r="R281" s="2">
        <f>'AFI-F5'!K10</f>
        <v>190</v>
      </c>
      <c r="S281" s="2" t="str">
        <f>'AFI-F5'!L10</f>
        <v>COBR</v>
      </c>
      <c r="T281" s="2" t="str">
        <f>'AFI-F5'!M10</f>
        <v>YAPE JL</v>
      </c>
      <c r="U281" s="2">
        <f>'AFI-F5'!N10</f>
        <v>190</v>
      </c>
      <c r="V281" s="2">
        <f>'AFI-F5'!O10</f>
        <v>190</v>
      </c>
      <c r="W281" s="2" t="str">
        <f>'AFI-F5'!P10</f>
        <v>Greici</v>
      </c>
      <c r="X281" s="5">
        <f>'AFI-F5'!Q10</f>
        <v>380</v>
      </c>
      <c r="Y281" s="1"/>
      <c r="Z281" s="1"/>
      <c r="AA281" s="1"/>
    </row>
    <row r="282">
      <c r="A282" s="1"/>
      <c r="B282" s="14">
        <f t="shared" si="9"/>
        <v>7</v>
      </c>
      <c r="C282" s="15" t="str">
        <f t="shared" si="1"/>
        <v>enero</v>
      </c>
      <c r="D282" s="15">
        <f t="shared" si="2"/>
        <v>4</v>
      </c>
      <c r="E282" s="16" t="str">
        <f t="shared" si="3"/>
        <v>martes</v>
      </c>
      <c r="F282" s="15">
        <f t="shared" si="4"/>
        <v>20</v>
      </c>
      <c r="G282" s="15" t="s">
        <v>23</v>
      </c>
      <c r="H282" s="3">
        <f>'AFI-F5'!$G$3</f>
        <v>45688</v>
      </c>
      <c r="I282" s="24">
        <f>'AFI-F5'!B11</f>
        <v>46042</v>
      </c>
      <c r="J282" s="2">
        <f>'AFI-F5'!C11</f>
        <v>41455446</v>
      </c>
      <c r="K282" s="2" t="str">
        <f>'AFI-F5'!D11</f>
        <v>Eder Genaro Estrada Montañez</v>
      </c>
      <c r="L282" s="2" t="str">
        <f>'AFI-F5'!E11</f>
        <v>eder16221@gmail.com</v>
      </c>
      <c r="M282" s="2" t="str">
        <f>'AFI-F5'!F11</f>
        <v>Callao</v>
      </c>
      <c r="N282" s="2">
        <f>'AFI-F5'!G11</f>
        <v>51977709418</v>
      </c>
      <c r="O282" s="2" t="str">
        <f>'AFI-F5'!H11</f>
        <v/>
      </c>
      <c r="P282" s="2" t="str">
        <f>'AFI-F5'!I11</f>
        <v>x</v>
      </c>
      <c r="Q282" s="2">
        <f>'AFI-F5'!J11</f>
        <v>190</v>
      </c>
      <c r="R282" s="2">
        <f>'AFI-F5'!K11</f>
        <v>0</v>
      </c>
      <c r="S282" s="2" t="str">
        <f>'AFI-F5'!L11</f>
        <v>PAGO</v>
      </c>
      <c r="T282" s="2" t="str">
        <f>'AFI-F5'!M11</f>
        <v/>
      </c>
      <c r="U282" s="2">
        <f>'AFI-F5'!N11</f>
        <v>190</v>
      </c>
      <c r="V282" s="2" t="str">
        <f>'AFI-F5'!O11</f>
        <v/>
      </c>
      <c r="W282" s="2" t="str">
        <f>'AFI-F5'!P11</f>
        <v>Sofia</v>
      </c>
      <c r="X282" s="5">
        <f>'AFI-F5'!Q11</f>
        <v>190</v>
      </c>
      <c r="Y282" s="1"/>
      <c r="Z282" s="1"/>
      <c r="AA282" s="1"/>
    </row>
    <row r="283">
      <c r="A283" s="1"/>
      <c r="B283" s="14">
        <f t="shared" si="9"/>
        <v>8</v>
      </c>
      <c r="C283" s="15" t="str">
        <f t="shared" si="1"/>
        <v>enero</v>
      </c>
      <c r="D283" s="15">
        <f t="shared" si="2"/>
        <v>4</v>
      </c>
      <c r="E283" s="16" t="str">
        <f t="shared" si="3"/>
        <v>martes</v>
      </c>
      <c r="F283" s="15">
        <f t="shared" si="4"/>
        <v>20</v>
      </c>
      <c r="G283" s="15" t="s">
        <v>23</v>
      </c>
      <c r="H283" s="3">
        <f>'AFI-F5'!$G$3</f>
        <v>45688</v>
      </c>
      <c r="I283" s="24">
        <f>'AFI-F5'!B12</f>
        <v>46042</v>
      </c>
      <c r="J283" s="2">
        <f>'AFI-F5'!C12</f>
        <v>44211612</v>
      </c>
      <c r="K283" s="2" t="str">
        <f>'AFI-F5'!D12</f>
        <v>Victor Caballero</v>
      </c>
      <c r="L283" s="2" t="str">
        <f>'AFI-F5'!E12</f>
        <v>victorcaballeror@gmail.com</v>
      </c>
      <c r="M283" s="2" t="str">
        <f>'AFI-F5'!F12</f>
        <v>san Borja</v>
      </c>
      <c r="N283" s="2">
        <f>'AFI-F5'!G12</f>
        <v>51944252125</v>
      </c>
      <c r="O283" s="2" t="str">
        <f>'AFI-F5'!H12</f>
        <v/>
      </c>
      <c r="P283" s="2" t="str">
        <f>'AFI-F5'!I12</f>
        <v>x</v>
      </c>
      <c r="Q283" s="2">
        <f>'AFI-F5'!J12</f>
        <v>0</v>
      </c>
      <c r="R283" s="2">
        <f>'AFI-F5'!K12</f>
        <v>0</v>
      </c>
      <c r="S283" s="2" t="str">
        <f>'AFI-F5'!L12</f>
        <v/>
      </c>
      <c r="T283" s="2" t="str">
        <f>'AFI-F5'!M12</f>
        <v/>
      </c>
      <c r="U283" s="2">
        <f>'AFI-F5'!N12</f>
        <v>0</v>
      </c>
      <c r="V283" s="2" t="str">
        <f>'AFI-F5'!O12</f>
        <v/>
      </c>
      <c r="W283" s="2" t="str">
        <f>'AFI-F5'!P12</f>
        <v>Yadhira</v>
      </c>
      <c r="X283" s="5">
        <f>'AFI-F5'!Q12</f>
        <v>0</v>
      </c>
      <c r="Y283" s="1"/>
      <c r="Z283" s="1"/>
      <c r="AA283" s="1"/>
    </row>
    <row r="284">
      <c r="A284" s="1"/>
      <c r="B284" s="14">
        <f t="shared" si="9"/>
        <v>9</v>
      </c>
      <c r="C284" s="15" t="str">
        <f t="shared" si="1"/>
        <v>enero</v>
      </c>
      <c r="D284" s="15">
        <f t="shared" si="2"/>
        <v>4</v>
      </c>
      <c r="E284" s="16" t="str">
        <f t="shared" si="3"/>
        <v>miércoles</v>
      </c>
      <c r="F284" s="15">
        <f t="shared" si="4"/>
        <v>21</v>
      </c>
      <c r="G284" s="15" t="s">
        <v>23</v>
      </c>
      <c r="H284" s="3">
        <f>'AFI-F5'!$G$3</f>
        <v>45688</v>
      </c>
      <c r="I284" s="24">
        <f>'AFI-F5'!B13</f>
        <v>46043</v>
      </c>
      <c r="J284" s="2">
        <f>'AFI-F5'!C13</f>
        <v>10117893</v>
      </c>
      <c r="K284" s="2" t="str">
        <f>'AFI-F5'!D13</f>
        <v>Juan Valencia León </v>
      </c>
      <c r="L284" s="2" t="str">
        <f>'AFI-F5'!E13</f>
        <v> jvl.juanvalencialeon@gmail.com</v>
      </c>
      <c r="M284" s="2" t="str">
        <f>'AFI-F5'!F13</f>
        <v>SJL</v>
      </c>
      <c r="N284" s="2" t="str">
        <f>'AFI-F5'!G13</f>
        <v>962 075 283</v>
      </c>
      <c r="O284" s="2" t="str">
        <f>'AFI-F5'!H13</f>
        <v/>
      </c>
      <c r="P284" s="2" t="str">
        <f>'AFI-F5'!I13</f>
        <v>x</v>
      </c>
      <c r="Q284" s="2">
        <f>'AFI-F5'!J13</f>
        <v>210</v>
      </c>
      <c r="R284" s="2" t="str">
        <f>'AFI-F5'!K13</f>
        <v/>
      </c>
      <c r="S284" s="2" t="str">
        <f>'AFI-F5'!L13</f>
        <v>PAGO</v>
      </c>
      <c r="T284" s="2" t="str">
        <f>'AFI-F5'!M13</f>
        <v>LINK-CULQUI</v>
      </c>
      <c r="U284" s="2">
        <f>'AFI-F5'!N13</f>
        <v>195</v>
      </c>
      <c r="V284" s="2" t="str">
        <f>'AFI-F5'!O13</f>
        <v/>
      </c>
      <c r="W284" s="2" t="str">
        <f>'AFI-F5'!P13</f>
        <v>Sofia</v>
      </c>
      <c r="X284" s="5">
        <f>'AFI-F5'!Q13</f>
        <v>195</v>
      </c>
      <c r="Y284" s="1"/>
      <c r="Z284" s="1"/>
      <c r="AA284" s="1"/>
    </row>
    <row r="285">
      <c r="A285" s="1"/>
      <c r="B285" s="14">
        <f t="shared" si="9"/>
        <v>10</v>
      </c>
      <c r="C285" s="15" t="str">
        <f t="shared" si="1"/>
        <v>enero</v>
      </c>
      <c r="D285" s="15">
        <f t="shared" si="2"/>
        <v>4</v>
      </c>
      <c r="E285" s="16" t="str">
        <f t="shared" si="3"/>
        <v>miércoles</v>
      </c>
      <c r="F285" s="15">
        <f t="shared" si="4"/>
        <v>21</v>
      </c>
      <c r="G285" s="15" t="s">
        <v>23</v>
      </c>
      <c r="H285" s="3">
        <f>'AFI-F5'!$G$3</f>
        <v>45688</v>
      </c>
      <c r="I285" s="24">
        <f>'AFI-F4'!B52</f>
        <v>46043</v>
      </c>
      <c r="J285" s="2">
        <f>'AFI-F4'!C52</f>
        <v>41202552</v>
      </c>
      <c r="K285" s="2" t="str">
        <f>'AFI-F4'!D52</f>
        <v>José Andrés Ventura Panta </v>
      </c>
      <c r="L285" s="2" t="str">
        <f>'AFI-F4'!E52</f>
        <v>Karina.chz@hotmail.com</v>
      </c>
      <c r="M285" s="2" t="str">
        <f>'AFI-F5'!F13</f>
        <v>SJL</v>
      </c>
      <c r="N285" s="2" t="str">
        <f>'AFI-F4'!G52</f>
        <v>960 258 096</v>
      </c>
      <c r="O285" s="2" t="str">
        <f>'AFI-F4'!H52</f>
        <v/>
      </c>
      <c r="P285" s="2" t="str">
        <f>'AFI-F5'!I14</f>
        <v>X</v>
      </c>
      <c r="Q285" s="2">
        <f>'AFI-F5'!J14</f>
        <v>175</v>
      </c>
      <c r="R285" s="2">
        <f>'AFI-F5'!K14</f>
        <v>175</v>
      </c>
      <c r="S285" s="2" t="str">
        <f>'AFI-F5'!L14</f>
        <v>COBR</v>
      </c>
      <c r="T285" s="2" t="str">
        <f>'AFI-F5'!M14</f>
        <v>PLIN JL</v>
      </c>
      <c r="U285" s="2">
        <f>'AFI-F5'!N14</f>
        <v>175</v>
      </c>
      <c r="V285" s="2">
        <f>'AFI-F5'!O14</f>
        <v>175</v>
      </c>
      <c r="W285" s="2" t="str">
        <f>'AFI-F5'!P14</f>
        <v>Sofia</v>
      </c>
      <c r="X285" s="5">
        <f>'AFI-F5'!Q14</f>
        <v>350</v>
      </c>
      <c r="Y285" s="1"/>
      <c r="Z285" s="1"/>
      <c r="AA285" s="1"/>
    </row>
    <row r="286">
      <c r="A286" s="1"/>
      <c r="B286" s="14">
        <f t="shared" si="9"/>
        <v>11</v>
      </c>
      <c r="C286" s="15" t="str">
        <f t="shared" si="1"/>
        <v>enero</v>
      </c>
      <c r="D286" s="15">
        <f t="shared" si="2"/>
        <v>4</v>
      </c>
      <c r="E286" s="16" t="str">
        <f t="shared" si="3"/>
        <v>miércoles</v>
      </c>
      <c r="F286" s="15">
        <f t="shared" si="4"/>
        <v>21</v>
      </c>
      <c r="G286" s="15" t="s">
        <v>23</v>
      </c>
      <c r="H286" s="3">
        <f>'AFI-F5'!$G$3</f>
        <v>45688</v>
      </c>
      <c r="I286" s="24">
        <f>'AFI-F4'!B53</f>
        <v>46043</v>
      </c>
      <c r="J286" s="2" t="str">
        <f>'AFI-F4'!C53</f>
        <v>004684587</v>
      </c>
      <c r="K286" s="2" t="str">
        <f>'AFI-F4'!D53</f>
        <v>Anna Karina Colmenares Hernández</v>
      </c>
      <c r="L286" s="2" t="str">
        <f>'AFI-F4'!E53</f>
        <v>Karina.chz@hotmail.com</v>
      </c>
      <c r="M286" s="2" t="str">
        <f>'AFI-F4'!F53</f>
        <v>MIRAFLORES</v>
      </c>
      <c r="N286" s="2" t="str">
        <f>'AFI-F4'!G53</f>
        <v>960 258 096</v>
      </c>
      <c r="O286" s="2" t="str">
        <f>'AFI-F4'!H53</f>
        <v/>
      </c>
      <c r="P286" s="2" t="str">
        <f>'AFI-F5'!I15</f>
        <v>X</v>
      </c>
      <c r="Q286" s="2">
        <f>'AFI-F5'!J15</f>
        <v>175</v>
      </c>
      <c r="R286" s="2">
        <f>'AFI-F5'!K15</f>
        <v>175</v>
      </c>
      <c r="S286" s="2" t="str">
        <f>'AFI-F5'!L15</f>
        <v>COBR</v>
      </c>
      <c r="T286" s="2" t="str">
        <f>'AFI-F5'!M15</f>
        <v>PLIN JL</v>
      </c>
      <c r="U286" s="2">
        <f>'AFI-F5'!N15</f>
        <v>175</v>
      </c>
      <c r="V286" s="2">
        <f>'AFI-F5'!O15</f>
        <v>175</v>
      </c>
      <c r="W286" s="2" t="str">
        <f>'AFI-F5'!P15</f>
        <v>Sofia</v>
      </c>
      <c r="X286" s="5">
        <f>'AFI-F5'!Q15</f>
        <v>350</v>
      </c>
      <c r="Y286" s="1"/>
      <c r="Z286" s="1"/>
      <c r="AA286" s="1"/>
    </row>
    <row r="287">
      <c r="A287" s="1"/>
      <c r="B287" s="14">
        <f t="shared" si="9"/>
        <v>12</v>
      </c>
      <c r="C287" s="15" t="str">
        <f t="shared" si="1"/>
        <v>enero</v>
      </c>
      <c r="D287" s="15">
        <f t="shared" si="2"/>
        <v>4</v>
      </c>
      <c r="E287" s="16" t="str">
        <f t="shared" si="3"/>
        <v>jueves</v>
      </c>
      <c r="F287" s="15">
        <f t="shared" si="4"/>
        <v>22</v>
      </c>
      <c r="G287" s="15" t="s">
        <v>23</v>
      </c>
      <c r="H287" s="3">
        <f>'AFI-F5'!$G$3</f>
        <v>45688</v>
      </c>
      <c r="I287" s="31">
        <f>'AFI-F5'!B16</f>
        <v>46044</v>
      </c>
      <c r="J287" s="2">
        <f>'AFI-F5'!C16</f>
        <v>20538382598</v>
      </c>
      <c r="K287" s="2" t="str">
        <f>'AFI-F5'!D16</f>
        <v>César Domínguez Añanca</v>
      </c>
      <c r="L287" s="2" t="str">
        <f>'AFI-F5'!E16</f>
        <v>serfafain.sac@hotmail.com</v>
      </c>
      <c r="M287" s="2" t="str">
        <f>'AFI-F5'!F16</f>
        <v>Callao</v>
      </c>
      <c r="N287" s="2">
        <f>'AFI-F5'!G16</f>
        <v>51998294866</v>
      </c>
      <c r="O287" s="2" t="str">
        <f>'AFI-F5'!H16</f>
        <v/>
      </c>
      <c r="P287" s="2" t="str">
        <f>'AFI-F5'!I16</f>
        <v>X</v>
      </c>
      <c r="Q287" s="2">
        <f>'AFI-F5'!J16</f>
        <v>100</v>
      </c>
      <c r="R287" s="2">
        <f>'AFI-F5'!K16</f>
        <v>100</v>
      </c>
      <c r="S287" s="2" t="str">
        <f>'AFI-F5'!L16</f>
        <v>COBR</v>
      </c>
      <c r="T287" s="2" t="str">
        <f>'AFI-F5'!M16</f>
        <v>YAPE JL</v>
      </c>
      <c r="U287" s="2">
        <f>'AFI-F5'!N16</f>
        <v>100</v>
      </c>
      <c r="V287" s="2">
        <f>'AFI-F5'!O16</f>
        <v>100</v>
      </c>
      <c r="W287" s="2" t="str">
        <f>'AFI-F5'!P16</f>
        <v>Sofia</v>
      </c>
      <c r="X287" s="5">
        <f>'AFI-F5'!Q16</f>
        <v>200</v>
      </c>
      <c r="Y287" s="1"/>
      <c r="Z287" s="1"/>
      <c r="AA287" s="1"/>
    </row>
    <row r="288">
      <c r="A288" s="1"/>
      <c r="B288" s="14">
        <f t="shared" si="9"/>
        <v>13</v>
      </c>
      <c r="C288" s="15" t="str">
        <f t="shared" si="1"/>
        <v>diciembre</v>
      </c>
      <c r="D288" s="15">
        <f t="shared" si="2"/>
        <v>52</v>
      </c>
      <c r="E288" s="16" t="str">
        <f t="shared" si="3"/>
        <v>sábado</v>
      </c>
      <c r="F288" s="15">
        <f t="shared" si="4"/>
        <v>30</v>
      </c>
      <c r="G288" s="15" t="s">
        <v>23</v>
      </c>
      <c r="H288" s="3">
        <f>'AFI-F5'!$G$3</f>
        <v>45688</v>
      </c>
      <c r="I288" s="24" t="str">
        <f>'AFI-F5'!B17</f>
        <v/>
      </c>
      <c r="J288" s="2" t="str">
        <f>'AFI-F5'!C17</f>
        <v/>
      </c>
      <c r="K288" s="2" t="str">
        <f>'AFI-F5'!D17</f>
        <v/>
      </c>
      <c r="L288" s="2" t="str">
        <f>'AFI-F5'!E17</f>
        <v/>
      </c>
      <c r="M288" s="2" t="str">
        <f>'AFI-F5'!F17</f>
        <v/>
      </c>
      <c r="N288" s="2" t="str">
        <f>'AFI-F5'!G17</f>
        <v/>
      </c>
      <c r="O288" s="2" t="str">
        <f>'AFI-F5'!H17</f>
        <v/>
      </c>
      <c r="P288" s="2" t="str">
        <f>'AFI-F5'!I17</f>
        <v/>
      </c>
      <c r="Q288" s="2" t="str">
        <f>'AFI-F5'!J17</f>
        <v/>
      </c>
      <c r="R288" s="2" t="str">
        <f>'AFI-F5'!K17</f>
        <v/>
      </c>
      <c r="S288" s="2" t="str">
        <f>'AFI-F5'!L17</f>
        <v/>
      </c>
      <c r="T288" s="2" t="str">
        <f>'AFI-F5'!M17</f>
        <v/>
      </c>
      <c r="U288" s="2">
        <f>'AFI-F5'!N17</f>
        <v>180</v>
      </c>
      <c r="V288" s="2" t="str">
        <f>'AFI-F5'!O17</f>
        <v/>
      </c>
      <c r="W288" s="2" t="str">
        <f>'AFI-F5'!P17</f>
        <v>Sofia</v>
      </c>
      <c r="X288" s="5">
        <f>'AFI-F5'!Q17</f>
        <v>180</v>
      </c>
      <c r="Y288" s="1"/>
      <c r="Z288" s="1"/>
      <c r="AA288" s="1"/>
    </row>
    <row r="289">
      <c r="A289" s="1"/>
      <c r="B289" s="14">
        <f t="shared" si="9"/>
        <v>14</v>
      </c>
      <c r="C289" s="15" t="str">
        <f t="shared" si="1"/>
        <v>enero</v>
      </c>
      <c r="D289" s="15">
        <f t="shared" si="2"/>
        <v>4</v>
      </c>
      <c r="E289" s="16" t="str">
        <f t="shared" si="3"/>
        <v>viernes</v>
      </c>
      <c r="F289" s="15">
        <f t="shared" si="4"/>
        <v>23</v>
      </c>
      <c r="G289" s="15" t="s">
        <v>23</v>
      </c>
      <c r="H289" s="3">
        <f>'AFI-F5'!$G$3</f>
        <v>45688</v>
      </c>
      <c r="I289" s="24">
        <f>'AFI-F5'!B18</f>
        <v>46045</v>
      </c>
      <c r="J289" s="2">
        <f>'AFI-F5'!C18</f>
        <v>44767965</v>
      </c>
      <c r="K289" s="2" t="str">
        <f>'AFI-F5'!D18</f>
        <v>Massiel Karolina Ayala Guerra</v>
      </c>
      <c r="L289" s="2" t="str">
        <f>'AFI-F5'!E18</f>
        <v/>
      </c>
      <c r="M289" s="2" t="str">
        <f>'AFI-F5'!F18</f>
        <v/>
      </c>
      <c r="N289" s="2" t="str">
        <f>'AFI-F5'!G18</f>
        <v/>
      </c>
      <c r="O289" s="2" t="str">
        <f>'AFI-F5'!H18</f>
        <v/>
      </c>
      <c r="P289" s="2" t="str">
        <f>'AFI-F5'!I18</f>
        <v>x</v>
      </c>
      <c r="Q289" s="2" t="str">
        <f>'AFI-F5'!J18</f>
        <v/>
      </c>
      <c r="R289" s="2" t="str">
        <f>'AFI-F5'!K18</f>
        <v/>
      </c>
      <c r="S289" s="2" t="str">
        <f>'AFI-F5'!L18</f>
        <v>PAGO</v>
      </c>
      <c r="T289" s="2" t="str">
        <f>'AFI-F5'!M18</f>
        <v/>
      </c>
      <c r="U289" s="2">
        <f>'AFI-F5'!N18</f>
        <v>0</v>
      </c>
      <c r="V289" s="2" t="str">
        <f>'AFI-F5'!O18</f>
        <v/>
      </c>
      <c r="W289" s="2" t="str">
        <f>'AFI-F5'!P18</f>
        <v>Katherine</v>
      </c>
      <c r="X289" s="5">
        <f>'AFI-F5'!Q18</f>
        <v>0</v>
      </c>
      <c r="Y289" s="1"/>
      <c r="Z289" s="1"/>
      <c r="AA289" s="1"/>
    </row>
    <row r="290">
      <c r="A290" s="1"/>
      <c r="B290" s="14">
        <f t="shared" si="9"/>
        <v>15</v>
      </c>
      <c r="C290" s="15" t="str">
        <f t="shared" si="1"/>
        <v>enero</v>
      </c>
      <c r="D290" s="15">
        <f t="shared" si="2"/>
        <v>4</v>
      </c>
      <c r="E290" s="16" t="str">
        <f t="shared" si="3"/>
        <v>sábado</v>
      </c>
      <c r="F290" s="15">
        <f t="shared" si="4"/>
        <v>24</v>
      </c>
      <c r="G290" s="15" t="s">
        <v>23</v>
      </c>
      <c r="H290" s="3">
        <f>'AFI-F5'!$G$3</f>
        <v>45688</v>
      </c>
      <c r="I290" s="24">
        <f>'AFI-F5'!B19</f>
        <v>46046</v>
      </c>
      <c r="J290" s="2">
        <f>'AFI-F5'!C19</f>
        <v>41855242</v>
      </c>
      <c r="K290" s="2" t="str">
        <f>'AFI-F5'!D18</f>
        <v>Massiel Karolina Ayala Guerra</v>
      </c>
      <c r="L290" s="2" t="str">
        <f>'AFI-F5'!E19</f>
        <v>Jimmijoel123@hotmail.com</v>
      </c>
      <c r="M290" s="2" t="str">
        <f>'AFI-F5'!F19</f>
        <v>Huacho</v>
      </c>
      <c r="N290" s="2">
        <f>'AFI-F5'!G19</f>
        <v>934091909</v>
      </c>
      <c r="O290" s="2" t="str">
        <f>'AFI-F5'!H19</f>
        <v>X</v>
      </c>
      <c r="P290" s="2" t="str">
        <f>'AFI-F5'!I19</f>
        <v>X</v>
      </c>
      <c r="Q290" s="2">
        <f>'AFI-F5'!J19</f>
        <v>200</v>
      </c>
      <c r="R290" s="2">
        <f>'AFI-F5'!K19</f>
        <v>150</v>
      </c>
      <c r="S290" s="2" t="str">
        <f>'AFI-F5'!L19</f>
        <v>COBR</v>
      </c>
      <c r="T290" s="2" t="str">
        <f>'AFI-F5'!M19</f>
        <v>BBVA JL</v>
      </c>
      <c r="U290" s="2">
        <f>'AFI-F5'!N19</f>
        <v>200</v>
      </c>
      <c r="V290" s="2">
        <f>'AFI-F5'!O19</f>
        <v>150</v>
      </c>
      <c r="W290" s="2" t="str">
        <f>'AFI-F5'!P19</f>
        <v>Sofia</v>
      </c>
      <c r="X290" s="5">
        <f>'AFI-F5'!Q19</f>
        <v>350</v>
      </c>
      <c r="Y290" s="1"/>
      <c r="Z290" s="1"/>
      <c r="AA290" s="1"/>
    </row>
    <row r="291">
      <c r="A291" s="1"/>
      <c r="B291" s="14">
        <f t="shared" si="9"/>
        <v>16</v>
      </c>
      <c r="C291" s="15" t="str">
        <f t="shared" si="1"/>
        <v>enero</v>
      </c>
      <c r="D291" s="15">
        <f t="shared" si="2"/>
        <v>5</v>
      </c>
      <c r="E291" s="16" t="str">
        <f t="shared" si="3"/>
        <v>domingo</v>
      </c>
      <c r="F291" s="15">
        <f t="shared" si="4"/>
        <v>25</v>
      </c>
      <c r="G291" s="15" t="s">
        <v>23</v>
      </c>
      <c r="H291" s="3">
        <f>'AFI-F5'!$G$3</f>
        <v>45688</v>
      </c>
      <c r="I291" s="24">
        <f>'AFI-F5'!B20</f>
        <v>46047</v>
      </c>
      <c r="J291" s="2" t="str">
        <f>'AFI-F5'!C20</f>
        <v>40 767009</v>
      </c>
      <c r="K291" s="2" t="str">
        <f>'AFI-F5'!D20</f>
        <v>Angela Geraldine quiñones granados</v>
      </c>
      <c r="L291" s="2" t="str">
        <f>'AFI-F5'!E20</f>
        <v>Jimmijoel123@hotmail.com</v>
      </c>
      <c r="M291" s="2" t="str">
        <f>'AFI-F5'!F20</f>
        <v>Huacho</v>
      </c>
      <c r="N291" s="2">
        <f>'AFI-F5'!G20</f>
        <v>934091909</v>
      </c>
      <c r="O291" s="2" t="str">
        <f>'AFI-F5'!H20</f>
        <v>X</v>
      </c>
      <c r="P291" s="2" t="str">
        <f>'AFI-F5'!I20</f>
        <v>X</v>
      </c>
      <c r="Q291" s="2">
        <f>'AFI-F5'!J20</f>
        <v>200</v>
      </c>
      <c r="R291" s="2">
        <f>'AFI-F5'!K20</f>
        <v>150</v>
      </c>
      <c r="S291" s="2" t="str">
        <f>'AFI-F5'!L20</f>
        <v>COBR</v>
      </c>
      <c r="T291" s="2" t="str">
        <f>'AFI-F5'!M20</f>
        <v>BBVA JL</v>
      </c>
      <c r="U291" s="2">
        <f>'AFI-F5'!N20</f>
        <v>200</v>
      </c>
      <c r="V291" s="2">
        <f>'AFI-F5'!O20</f>
        <v>150</v>
      </c>
      <c r="W291" s="2" t="str">
        <f>'AFI-F5'!P20</f>
        <v>Sofia</v>
      </c>
      <c r="X291" s="5">
        <f>'AFI-F5'!Q20</f>
        <v>350</v>
      </c>
      <c r="Y291" s="1"/>
      <c r="Z291" s="1"/>
      <c r="AA291" s="1"/>
    </row>
    <row r="292">
      <c r="A292" s="1"/>
      <c r="B292" s="14">
        <f t="shared" si="9"/>
        <v>17</v>
      </c>
      <c r="C292" s="15" t="str">
        <f t="shared" si="1"/>
        <v>enero</v>
      </c>
      <c r="D292" s="15">
        <f t="shared" si="2"/>
        <v>4</v>
      </c>
      <c r="E292" s="16" t="str">
        <f t="shared" si="3"/>
        <v>sábado</v>
      </c>
      <c r="F292" s="15">
        <f t="shared" si="4"/>
        <v>24</v>
      </c>
      <c r="G292" s="15" t="s">
        <v>23</v>
      </c>
      <c r="H292" s="3">
        <f>'AFI-F5'!$G$3</f>
        <v>45688</v>
      </c>
      <c r="I292" s="24">
        <f>'AFI-F5'!B21</f>
        <v>46046</v>
      </c>
      <c r="J292" s="2">
        <f>'AFI-F5'!C21</f>
        <v>72190417</v>
      </c>
      <c r="K292" s="2" t="str">
        <f>'AFI-F5'!D21</f>
        <v>Omar Bruno Guillén Sánchez </v>
      </c>
      <c r="L292" s="2" t="str">
        <f>'AFI-F5'!E21</f>
        <v>brunohuarcaya2@gmail.com</v>
      </c>
      <c r="M292" s="2" t="str">
        <f>'AFI-F5'!F21</f>
        <v>SJM</v>
      </c>
      <c r="N292" s="2" t="str">
        <f>'AFI-F5'!G21</f>
        <v/>
      </c>
      <c r="O292" s="2" t="str">
        <f>'AFI-F5'!H21</f>
        <v/>
      </c>
      <c r="P292" s="2" t="str">
        <f>'AFI-F5'!I21</f>
        <v>x</v>
      </c>
      <c r="Q292" s="2">
        <f>'AFI-F5'!J21</f>
        <v>0</v>
      </c>
      <c r="R292" s="2" t="str">
        <f>'AFI-F5'!K21</f>
        <v/>
      </c>
      <c r="S292" s="2" t="str">
        <f>'AFI-F5'!L21</f>
        <v/>
      </c>
      <c r="T292" s="2" t="str">
        <f>'AFI-F5'!M21</f>
        <v/>
      </c>
      <c r="U292" s="2">
        <f>'AFI-F5'!N21</f>
        <v>0</v>
      </c>
      <c r="V292" s="2" t="str">
        <f>'AFI-F5'!O21</f>
        <v/>
      </c>
      <c r="W292" s="2" t="str">
        <f>'AFI-F5'!P21</f>
        <v/>
      </c>
      <c r="X292" s="5">
        <f>'AFI-F5'!Q21</f>
        <v>0</v>
      </c>
      <c r="Y292" s="1"/>
      <c r="Z292" s="1"/>
      <c r="AA292" s="1"/>
    </row>
    <row r="293">
      <c r="A293" s="1"/>
      <c r="B293" s="14">
        <f t="shared" si="9"/>
        <v>18</v>
      </c>
      <c r="C293" s="15" t="str">
        <f t="shared" si="1"/>
        <v>enero</v>
      </c>
      <c r="D293" s="15">
        <f t="shared" si="2"/>
        <v>5</v>
      </c>
      <c r="E293" s="16" t="str">
        <f t="shared" si="3"/>
        <v>domingo</v>
      </c>
      <c r="F293" s="15">
        <f t="shared" si="4"/>
        <v>25</v>
      </c>
      <c r="G293" s="15" t="s">
        <v>23</v>
      </c>
      <c r="H293" s="3">
        <f>'AFI-F5'!$G$3</f>
        <v>45688</v>
      </c>
      <c r="I293" s="24">
        <f>'AFI-F5'!B22</f>
        <v>46047</v>
      </c>
      <c r="J293" s="2" t="str">
        <f>'AFI-F5'!C22</f>
        <v/>
      </c>
      <c r="K293" s="2" t="str">
        <f>'AFI-F5'!D22</f>
        <v>wilbert palomino</v>
      </c>
      <c r="L293" s="2" t="str">
        <f>'AFI-F5'!E22</f>
        <v>wpa.rocaalta@gmail.com </v>
      </c>
      <c r="M293" s="2" t="str">
        <f>'AFI-F5'!F22</f>
        <v>El Agustino</v>
      </c>
      <c r="N293" s="2">
        <f>'AFI-F5'!G22</f>
        <v>51987402177</v>
      </c>
      <c r="O293" s="2" t="str">
        <f>'AFI-F5'!H22</f>
        <v/>
      </c>
      <c r="P293" s="2" t="str">
        <f>'AFI-F5'!I22</f>
        <v>x</v>
      </c>
      <c r="Q293" s="2">
        <f>'AFI-F5'!J22</f>
        <v>190</v>
      </c>
      <c r="R293" s="2" t="str">
        <f>'AFI-F5'!K22</f>
        <v/>
      </c>
      <c r="S293" s="2" t="str">
        <f>'AFI-F5'!L22</f>
        <v>PAGO</v>
      </c>
      <c r="T293" s="2" t="str">
        <f>'AFI-F5'!M22</f>
        <v>YAPE JL</v>
      </c>
      <c r="U293" s="2">
        <f>'AFI-F5'!N22</f>
        <v>190</v>
      </c>
      <c r="V293" s="2" t="str">
        <f>'AFI-F5'!O22</f>
        <v/>
      </c>
      <c r="W293" s="2" t="str">
        <f>'AFI-F5'!P22</f>
        <v>Sofia</v>
      </c>
      <c r="X293" s="5">
        <f>'AFI-F5'!Q22</f>
        <v>190</v>
      </c>
      <c r="Y293" s="1"/>
      <c r="Z293" s="1"/>
      <c r="AA293" s="1"/>
    </row>
    <row r="294">
      <c r="A294" s="1"/>
      <c r="B294" s="14">
        <f t="shared" si="9"/>
        <v>19</v>
      </c>
      <c r="C294" s="15" t="str">
        <f t="shared" si="1"/>
        <v>enero</v>
      </c>
      <c r="D294" s="15">
        <f t="shared" si="2"/>
        <v>5</v>
      </c>
      <c r="E294" s="16" t="str">
        <f t="shared" si="3"/>
        <v>lunes</v>
      </c>
      <c r="F294" s="15">
        <f t="shared" si="4"/>
        <v>26</v>
      </c>
      <c r="G294" s="15" t="s">
        <v>23</v>
      </c>
      <c r="H294" s="3">
        <f>'AFI-F5'!$G$3</f>
        <v>45688</v>
      </c>
      <c r="I294" s="24">
        <f>'AFI-F5'!B23</f>
        <v>46048</v>
      </c>
      <c r="J294" s="2" t="str">
        <f>'AFI-F5'!C23</f>
        <v>*08537300</v>
      </c>
      <c r="K294" s="2" t="str">
        <f>'AFI-F5'!D23</f>
        <v>Fabio Martin Vilca Romero</v>
      </c>
      <c r="L294" s="2" t="str">
        <f>'AFI-F5'!E23</f>
        <v>vrmartin1966@gmail.com</v>
      </c>
      <c r="M294" s="2" t="str">
        <f>'AFI-F5'!F23</f>
        <v>Pueblo Libre</v>
      </c>
      <c r="N294" s="2" t="str">
        <f>'AFI-F5'!G23</f>
        <v>998 177 293</v>
      </c>
      <c r="O294" s="2" t="str">
        <f>'AFI-F5'!H23</f>
        <v>x</v>
      </c>
      <c r="P294" s="2" t="str">
        <f>'AFI-F5'!I23</f>
        <v/>
      </c>
      <c r="Q294" s="2">
        <f>'AFI-F5'!J23</f>
        <v>150</v>
      </c>
      <c r="R294" s="2" t="str">
        <f>'AFI-F5'!K23</f>
        <v/>
      </c>
      <c r="S294" s="2" t="str">
        <f>'AFI-F5'!L23</f>
        <v>PAGO</v>
      </c>
      <c r="T294" s="2" t="str">
        <f>'AFI-F5'!M23</f>
        <v>BCP JL</v>
      </c>
      <c r="U294" s="2">
        <f>'AFI-F5'!N23</f>
        <v>150</v>
      </c>
      <c r="V294" s="2" t="str">
        <f>'AFI-F5'!O23</f>
        <v/>
      </c>
      <c r="W294" s="2" t="str">
        <f>'AFI-F5'!P23</f>
        <v>Gabriela</v>
      </c>
      <c r="X294" s="5">
        <f>'AFI-F5'!Q23</f>
        <v>150</v>
      </c>
      <c r="Y294" s="1"/>
      <c r="Z294" s="1"/>
      <c r="AA294" s="1"/>
    </row>
    <row r="295">
      <c r="A295" s="1"/>
      <c r="B295" s="14">
        <f t="shared" si="9"/>
        <v>20</v>
      </c>
      <c r="C295" s="15" t="str">
        <f t="shared" si="1"/>
        <v>enero</v>
      </c>
      <c r="D295" s="15">
        <f t="shared" si="2"/>
        <v>5</v>
      </c>
      <c r="E295" s="16" t="str">
        <f t="shared" si="3"/>
        <v>lunes</v>
      </c>
      <c r="F295" s="15">
        <f t="shared" si="4"/>
        <v>26</v>
      </c>
      <c r="G295" s="15" t="s">
        <v>23</v>
      </c>
      <c r="H295" s="3">
        <f>'AFI-F5'!$G$3</f>
        <v>45688</v>
      </c>
      <c r="I295" s="24">
        <f>'AFI-F5'!B24</f>
        <v>46048</v>
      </c>
      <c r="J295" s="2" t="str">
        <f>'AFI-F5'!C24</f>
        <v>⁠15434915</v>
      </c>
      <c r="K295" s="2" t="str">
        <f>'AFI-F5'!D24</f>
        <v>Alicia Ysabel Huaman Álvarez</v>
      </c>
      <c r="L295" s="2" t="str">
        <f>'AFI-F5'!E24</f>
        <v>4. ⁠omar_antonio_2015@hotmail.com</v>
      </c>
      <c r="M295" s="2" t="str">
        <f>'AFI-F5'!F24</f>
        <v>Surco</v>
      </c>
      <c r="N295" s="2" t="str">
        <f>'AFI-F5'!G24</f>
        <v>970 363 381</v>
      </c>
      <c r="O295" s="2" t="str">
        <f>'AFI-F5'!H24</f>
        <v>x</v>
      </c>
      <c r="P295" s="2" t="str">
        <f>'AFI-F5'!I24</f>
        <v/>
      </c>
      <c r="Q295" s="2">
        <f>'AFI-F5'!J24</f>
        <v>190</v>
      </c>
      <c r="R295" s="2">
        <f>'AFI-F5'!K24</f>
        <v>190</v>
      </c>
      <c r="S295" s="2" t="str">
        <f>'AFI-F5'!L24</f>
        <v/>
      </c>
      <c r="T295" s="2" t="str">
        <f>'AFI-F5'!M24</f>
        <v/>
      </c>
      <c r="U295" s="2">
        <f>'AFI-F5'!N24</f>
        <v>190</v>
      </c>
      <c r="V295" s="2">
        <f>'AFI-F5'!O24</f>
        <v>190</v>
      </c>
      <c r="W295" s="2" t="str">
        <f>'AFI-F5'!P24</f>
        <v>Sofia</v>
      </c>
      <c r="X295" s="5">
        <f>'AFI-F5'!Q24</f>
        <v>380</v>
      </c>
      <c r="Y295" s="1"/>
      <c r="Z295" s="1"/>
      <c r="AA295" s="1"/>
    </row>
    <row r="296">
      <c r="A296" s="1"/>
      <c r="B296" s="14">
        <f t="shared" si="9"/>
        <v>21</v>
      </c>
      <c r="C296" s="15" t="str">
        <f t="shared" si="1"/>
        <v>enero</v>
      </c>
      <c r="D296" s="15">
        <f t="shared" si="2"/>
        <v>5</v>
      </c>
      <c r="E296" s="16" t="str">
        <f t="shared" si="3"/>
        <v>martes</v>
      </c>
      <c r="F296" s="15">
        <f t="shared" si="4"/>
        <v>27</v>
      </c>
      <c r="G296" s="15" t="s">
        <v>23</v>
      </c>
      <c r="H296" s="3">
        <f>'AFI-F5'!$G$3</f>
        <v>45688</v>
      </c>
      <c r="I296" s="24">
        <f>'AFI-F5'!B25</f>
        <v>46049</v>
      </c>
      <c r="J296" s="2">
        <f>'AFI-F5'!C25</f>
        <v>42949843</v>
      </c>
      <c r="K296" s="2" t="str">
        <f>'AFI-F5'!D25</f>
        <v>Jesús Ángel Ramos Salas</v>
      </c>
      <c r="L296" s="2" t="str">
        <f>'AFI-F5'!E25</f>
        <v>ramossalasjesus@gmail.com</v>
      </c>
      <c r="M296" s="2" t="str">
        <f>'AFI-F5'!F25</f>
        <v>Villa el Salvador</v>
      </c>
      <c r="N296" s="2" t="str">
        <f>'AFI-F5'!G25</f>
        <v>987 351 312</v>
      </c>
      <c r="O296" s="2" t="str">
        <f>'AFI-F5'!H25</f>
        <v/>
      </c>
      <c r="P296" s="2" t="str">
        <f>'AFI-F5'!I25</f>
        <v>x</v>
      </c>
      <c r="Q296" s="2">
        <f>'AFI-F5'!J25</f>
        <v>220</v>
      </c>
      <c r="R296" s="2" t="str">
        <f>'AFI-F5'!K25</f>
        <v/>
      </c>
      <c r="S296" s="2" t="str">
        <f>'AFI-F5'!L25</f>
        <v>PAGO</v>
      </c>
      <c r="T296" s="2" t="str">
        <f>'AFI-F5'!M25</f>
        <v>BCP JL</v>
      </c>
      <c r="U296" s="2">
        <f>'AFI-F5'!N25</f>
        <v>220</v>
      </c>
      <c r="V296" s="2" t="str">
        <f>'AFI-F5'!O25</f>
        <v/>
      </c>
      <c r="W296" s="2" t="str">
        <f>'AFI-F5'!P25</f>
        <v>Tania</v>
      </c>
      <c r="X296" s="5">
        <f>'AFI-F5'!Q25</f>
        <v>220</v>
      </c>
      <c r="Y296" s="1"/>
      <c r="Z296" s="1"/>
      <c r="AA296" s="1"/>
    </row>
    <row r="297">
      <c r="A297" s="1"/>
      <c r="B297" s="14">
        <f t="shared" si="9"/>
        <v>22</v>
      </c>
      <c r="C297" s="15" t="str">
        <f t="shared" si="1"/>
        <v>enero</v>
      </c>
      <c r="D297" s="15">
        <f t="shared" si="2"/>
        <v>5</v>
      </c>
      <c r="E297" s="16" t="str">
        <f t="shared" si="3"/>
        <v>martes</v>
      </c>
      <c r="F297" s="15">
        <f t="shared" si="4"/>
        <v>27</v>
      </c>
      <c r="G297" s="15" t="s">
        <v>23</v>
      </c>
      <c r="H297" s="3">
        <f>'AFI-F5'!$G$3</f>
        <v>45688</v>
      </c>
      <c r="I297" s="24">
        <f>'AFI-F5'!B26</f>
        <v>46049</v>
      </c>
      <c r="J297" s="2">
        <f>'AFI-F5'!C26</f>
        <v>43889926</v>
      </c>
      <c r="K297" s="2" t="str">
        <f>'AFI-F5'!D26</f>
        <v>Nikola Vera Torres</v>
      </c>
      <c r="L297" s="2" t="str">
        <f>'AFI-F5'!E26</f>
        <v>Nikolavera26@gmail.com</v>
      </c>
      <c r="M297" s="2" t="str">
        <f>'AFI-F5'!F26</f>
        <v>SJM</v>
      </c>
      <c r="N297" s="2" t="str">
        <f>'AFI-F5'!G26</f>
        <v>938 375 442</v>
      </c>
      <c r="O297" s="2" t="str">
        <f>'AFI-F5'!H26</f>
        <v>X</v>
      </c>
      <c r="P297" s="2" t="str">
        <f>'AFI-F5'!I26</f>
        <v/>
      </c>
      <c r="Q297" s="2">
        <f>'AFI-F5'!J26</f>
        <v>90</v>
      </c>
      <c r="R297" s="2">
        <f>'AFI-F5'!K26</f>
        <v>90</v>
      </c>
      <c r="S297" s="2" t="str">
        <f>'AFI-F5'!L26</f>
        <v>COBR</v>
      </c>
      <c r="T297" s="2" t="str">
        <f>'AFI-F5'!M26</f>
        <v>MERC-PAG</v>
      </c>
      <c r="U297" s="2">
        <f>'AFI-F5'!N26</f>
        <v>82.5</v>
      </c>
      <c r="V297" s="2">
        <f>'AFI-F5'!O26</f>
        <v>0</v>
      </c>
      <c r="W297" s="2" t="str">
        <f>'AFI-F5'!P26</f>
        <v>Yadhira</v>
      </c>
      <c r="X297" s="5">
        <f>'AFI-F5'!Q26</f>
        <v>82.5</v>
      </c>
      <c r="Y297" s="1"/>
      <c r="Z297" s="1"/>
      <c r="AA297" s="1"/>
    </row>
    <row r="298">
      <c r="A298" s="1"/>
      <c r="B298" s="14">
        <f t="shared" si="9"/>
        <v>23</v>
      </c>
      <c r="C298" s="15" t="str">
        <f t="shared" si="1"/>
        <v>enero</v>
      </c>
      <c r="D298" s="15">
        <f t="shared" si="2"/>
        <v>5</v>
      </c>
      <c r="E298" s="16" t="str">
        <f t="shared" si="3"/>
        <v>martes</v>
      </c>
      <c r="F298" s="15">
        <f t="shared" si="4"/>
        <v>27</v>
      </c>
      <c r="G298" s="15" t="s">
        <v>23</v>
      </c>
      <c r="H298" s="3">
        <f>'AFI-F5'!$G$3</f>
        <v>45688</v>
      </c>
      <c r="I298" s="24">
        <f>'AFI-F5'!B27</f>
        <v>46049</v>
      </c>
      <c r="J298" s="2">
        <f>'AFI-F5'!C27</f>
        <v>81007981</v>
      </c>
      <c r="K298" s="2" t="str">
        <f>'AFI-F5'!D27</f>
        <v>Megan Vera Tapia</v>
      </c>
      <c r="L298" s="2" t="str">
        <f>'AFI-F5'!E27</f>
        <v>Nikolavera26@gmail.com</v>
      </c>
      <c r="M298" s="2" t="str">
        <f>'AFI-F5'!F27</f>
        <v>SJM</v>
      </c>
      <c r="N298" s="2" t="str">
        <f>'AFI-F5'!G27</f>
        <v>938 375 442</v>
      </c>
      <c r="O298" s="2" t="str">
        <f>'AFI-F5'!H27</f>
        <v>X</v>
      </c>
      <c r="P298" s="2" t="str">
        <f>'AFI-F5'!I27</f>
        <v/>
      </c>
      <c r="Q298" s="2">
        <f>'AFI-F5'!J27</f>
        <v>90</v>
      </c>
      <c r="R298" s="2">
        <f>'AFI-F5'!K27</f>
        <v>90</v>
      </c>
      <c r="S298" s="2" t="str">
        <f>'AFI-F5'!L27</f>
        <v>COBR</v>
      </c>
      <c r="T298" s="2" t="str">
        <f>'AFI-F5'!M27</f>
        <v>MERC-PAG</v>
      </c>
      <c r="U298" s="2">
        <f>'AFI-F5'!N27</f>
        <v>82.5</v>
      </c>
      <c r="V298" s="2">
        <f>'AFI-F5'!O27</f>
        <v>0</v>
      </c>
      <c r="W298" s="2" t="str">
        <f>'AFI-F5'!P27</f>
        <v>Yadhira</v>
      </c>
      <c r="X298" s="5">
        <f>'AFI-F5'!Q27</f>
        <v>82.5</v>
      </c>
      <c r="Y298" s="1"/>
      <c r="Z298" s="1"/>
      <c r="AA298" s="1"/>
    </row>
    <row r="299">
      <c r="A299" s="1"/>
      <c r="B299" s="14">
        <f t="shared" si="9"/>
        <v>24</v>
      </c>
      <c r="C299" s="15" t="str">
        <f t="shared" si="1"/>
        <v>enero</v>
      </c>
      <c r="D299" s="15">
        <f t="shared" si="2"/>
        <v>5</v>
      </c>
      <c r="E299" s="16" t="str">
        <f t="shared" si="3"/>
        <v>martes</v>
      </c>
      <c r="F299" s="15">
        <f t="shared" si="4"/>
        <v>27</v>
      </c>
      <c r="G299" s="15" t="s">
        <v>23</v>
      </c>
      <c r="H299" s="3">
        <f>'AFI-F5'!$G$3</f>
        <v>45688</v>
      </c>
      <c r="I299" s="24">
        <f>'AFI-F5'!B28</f>
        <v>46049</v>
      </c>
      <c r="J299" s="2">
        <f>'AFI-F5'!C28</f>
        <v>42506745</v>
      </c>
      <c r="K299" s="2" t="str">
        <f>'AFI-F5'!D28</f>
        <v>Santiago Alex Loayza Briceño</v>
      </c>
      <c r="L299" s="2" t="str">
        <f>'AFI-F5'!E28</f>
        <v>saloayzab@gmail.com</v>
      </c>
      <c r="M299" s="2" t="str">
        <f>'AFI-F5'!F28</f>
        <v>Trujillo </v>
      </c>
      <c r="N299" s="2" t="str">
        <f>'AFI-F5'!G28</f>
        <v>942 839 138</v>
      </c>
      <c r="O299" s="2" t="str">
        <f>'AFI-F5'!H28</f>
        <v>x</v>
      </c>
      <c r="P299" s="2" t="str">
        <f>'AFI-F5'!I28</f>
        <v>x</v>
      </c>
      <c r="Q299" s="2">
        <f>'AFI-F5'!J28</f>
        <v>380</v>
      </c>
      <c r="R299" s="2" t="str">
        <f>'AFI-F5'!K28</f>
        <v/>
      </c>
      <c r="S299" s="2" t="str">
        <f>'AFI-F5'!L28</f>
        <v>PAGO</v>
      </c>
      <c r="T299" s="2" t="str">
        <f>'AFI-F5'!M28</f>
        <v>PLIN JL</v>
      </c>
      <c r="U299" s="2">
        <f>'AFI-F5'!N28</f>
        <v>380</v>
      </c>
      <c r="V299" s="2" t="str">
        <f>'AFI-F5'!O28</f>
        <v/>
      </c>
      <c r="W299" s="2" t="str">
        <f>'AFI-F5'!P28</f>
        <v>Tania</v>
      </c>
      <c r="X299" s="5">
        <f>'AFI-F5'!Q28</f>
        <v>380</v>
      </c>
      <c r="Y299" s="1"/>
      <c r="Z299" s="1"/>
      <c r="AA299" s="1"/>
    </row>
    <row r="300">
      <c r="A300" s="1"/>
      <c r="B300" s="14">
        <f t="shared" si="9"/>
        <v>25</v>
      </c>
      <c r="C300" s="15" t="str">
        <f t="shared" si="1"/>
        <v>enero</v>
      </c>
      <c r="D300" s="15">
        <f t="shared" si="2"/>
        <v>5</v>
      </c>
      <c r="E300" s="16" t="str">
        <f t="shared" si="3"/>
        <v>martes</v>
      </c>
      <c r="F300" s="15">
        <f t="shared" si="4"/>
        <v>27</v>
      </c>
      <c r="G300" s="15" t="s">
        <v>23</v>
      </c>
      <c r="H300" s="3">
        <f>'AFI-F5'!$G$3</f>
        <v>45688</v>
      </c>
      <c r="I300" s="24">
        <f>'AFI-F5'!B29</f>
        <v>46049</v>
      </c>
      <c r="J300" s="2">
        <f>'AFI-F5'!C29</f>
        <v>47428047</v>
      </c>
      <c r="K300" s="2" t="str">
        <f>'AFI-F5'!D29</f>
        <v>José Freundt Montoya</v>
      </c>
      <c r="L300" s="2" t="str">
        <f>'AFI-F5'!E29</f>
        <v>Je.freundt@hotmail.com</v>
      </c>
      <c r="M300" s="2" t="str">
        <f>'AFI-F5'!F29</f>
        <v>LINCE</v>
      </c>
      <c r="N300" s="2" t="str">
        <f>'AFI-F5'!G29</f>
        <v>944 368 518</v>
      </c>
      <c r="O300" s="2" t="str">
        <f>'AFI-F5'!H29</f>
        <v>X</v>
      </c>
      <c r="P300" s="2" t="str">
        <f>'AFI-F5'!I29</f>
        <v/>
      </c>
      <c r="Q300" s="2">
        <f>'AFI-F5'!J29</f>
        <v>200</v>
      </c>
      <c r="R300" s="2" t="str">
        <f>'AFI-F5'!K29</f>
        <v/>
      </c>
      <c r="S300" s="2" t="str">
        <f>'AFI-F5'!L29</f>
        <v>PAGO</v>
      </c>
      <c r="T300" s="2" t="str">
        <f>'AFI-F5'!M29</f>
        <v>PLIN JL</v>
      </c>
      <c r="U300" s="2">
        <f>'AFI-F5'!N29</f>
        <v>200</v>
      </c>
      <c r="V300" s="2" t="str">
        <f>'AFI-F5'!O29</f>
        <v/>
      </c>
      <c r="W300" s="2" t="str">
        <f>'AFI-F5'!P29</f>
        <v>Greici</v>
      </c>
      <c r="X300" s="5">
        <f>'AFI-F5'!Q29</f>
        <v>200</v>
      </c>
      <c r="Y300" s="1"/>
      <c r="Z300" s="1"/>
      <c r="AA300" s="1"/>
    </row>
    <row r="301">
      <c r="A301" s="1"/>
      <c r="B301" s="14">
        <f t="shared" si="9"/>
        <v>26</v>
      </c>
      <c r="C301" s="15" t="str">
        <f t="shared" si="1"/>
        <v>enero</v>
      </c>
      <c r="D301" s="15">
        <f t="shared" si="2"/>
        <v>5</v>
      </c>
      <c r="E301" s="16" t="str">
        <f t="shared" si="3"/>
        <v>martes</v>
      </c>
      <c r="F301" s="15">
        <f t="shared" si="4"/>
        <v>27</v>
      </c>
      <c r="G301" s="15" t="s">
        <v>23</v>
      </c>
      <c r="H301" s="3">
        <f>'AFI-F5'!$G$3</f>
        <v>45688</v>
      </c>
      <c r="I301" s="24">
        <f>'AFI-F5'!B30</f>
        <v>46049</v>
      </c>
      <c r="J301" s="2">
        <f>'AFI-F5'!C30</f>
        <v>48263528</v>
      </c>
      <c r="K301" s="2" t="str">
        <f>'AFI-F5'!D30</f>
        <v>Mercy Apaza Cayó</v>
      </c>
      <c r="L301" s="2" t="str">
        <f>'AFI-F5'!E30</f>
        <v>mercyapazacayod@gmail.com</v>
      </c>
      <c r="M301" s="2" t="str">
        <f>'AFI-F5'!F30</f>
        <v/>
      </c>
      <c r="N301" s="2" t="str">
        <f>'AFI-F5'!G30</f>
        <v>982 022 591</v>
      </c>
      <c r="O301" s="2" t="str">
        <f>'AFI-F5'!H30</f>
        <v>x</v>
      </c>
      <c r="P301" s="2" t="str">
        <f>'AFI-F5'!I30</f>
        <v>x</v>
      </c>
      <c r="Q301" s="2">
        <f>'AFI-F5'!J30</f>
        <v>100</v>
      </c>
      <c r="R301" s="2">
        <f>'AFI-F5'!K30</f>
        <v>280</v>
      </c>
      <c r="S301" s="2" t="str">
        <f>'AFI-F5'!L30</f>
        <v>COBR</v>
      </c>
      <c r="T301" s="2" t="str">
        <f>'AFI-F5'!M30</f>
        <v>PLIN JL</v>
      </c>
      <c r="U301" s="2">
        <f>'AFI-F5'!N30</f>
        <v>100</v>
      </c>
      <c r="V301" s="2">
        <f>'AFI-F5'!O30</f>
        <v>280</v>
      </c>
      <c r="W301" s="2" t="str">
        <f>'AFI-F5'!P30</f>
        <v>Gabriela</v>
      </c>
      <c r="X301" s="5">
        <f>'AFI-F5'!Q30</f>
        <v>380</v>
      </c>
      <c r="Y301" s="1"/>
      <c r="Z301" s="1"/>
      <c r="AA301" s="1"/>
    </row>
    <row r="302">
      <c r="A302" s="1"/>
      <c r="B302" s="14">
        <f t="shared" si="9"/>
        <v>27</v>
      </c>
      <c r="C302" s="15" t="str">
        <f t="shared" si="1"/>
        <v>enero</v>
      </c>
      <c r="D302" s="15">
        <f t="shared" si="2"/>
        <v>5</v>
      </c>
      <c r="E302" s="16" t="str">
        <f t="shared" si="3"/>
        <v>miércoles</v>
      </c>
      <c r="F302" s="15">
        <f t="shared" si="4"/>
        <v>28</v>
      </c>
      <c r="G302" s="15" t="s">
        <v>23</v>
      </c>
      <c r="H302" s="3">
        <f>'AFI-F5'!$G$3</f>
        <v>45688</v>
      </c>
      <c r="I302" s="24">
        <f>'AFI-F5'!B31</f>
        <v>46050</v>
      </c>
      <c r="J302" s="2" t="str">
        <f>'AFI-F5'!C31</f>
        <v>*08057676</v>
      </c>
      <c r="K302" s="2" t="str">
        <f>'AFI-F5'!D31</f>
        <v>Cornelio ortiz jaimes</v>
      </c>
      <c r="L302" s="2" t="str">
        <f>'AFI-F5'!E31</f>
        <v>cimacorsac@hotmail.com</v>
      </c>
      <c r="M302" s="2" t="str">
        <f>'AFI-F5'!F31</f>
        <v>Puente Piedra</v>
      </c>
      <c r="N302" s="2" t="str">
        <f>'AFI-F5'!G31</f>
        <v/>
      </c>
      <c r="O302" s="2" t="str">
        <f>'AFI-F5'!H31</f>
        <v>x</v>
      </c>
      <c r="P302" s="2" t="str">
        <f>'AFI-F5'!I31</f>
        <v/>
      </c>
      <c r="Q302" s="2">
        <f>'AFI-F5'!J31</f>
        <v>220</v>
      </c>
      <c r="R302" s="2" t="str">
        <f>'AFI-F5'!K31</f>
        <v/>
      </c>
      <c r="S302" s="2" t="str">
        <f>'AFI-F5'!L31</f>
        <v>PAGO</v>
      </c>
      <c r="T302" s="2" t="str">
        <f>'AFI-F5'!M31</f>
        <v>BCP JL</v>
      </c>
      <c r="U302" s="2">
        <f>'AFI-F5'!N31</f>
        <v>220</v>
      </c>
      <c r="V302" s="2" t="str">
        <f>'AFI-F5'!O31</f>
        <v/>
      </c>
      <c r="W302" s="2" t="str">
        <f>'AFI-F5'!P31</f>
        <v>Gabriela</v>
      </c>
      <c r="X302" s="5">
        <f>'AFI-F5'!Q31</f>
        <v>220</v>
      </c>
      <c r="Y302" s="1"/>
      <c r="Z302" s="1"/>
      <c r="AA302" s="1"/>
    </row>
    <row r="303">
      <c r="A303" s="1"/>
      <c r="B303" s="14">
        <f t="shared" si="9"/>
        <v>28</v>
      </c>
      <c r="C303" s="15" t="str">
        <f t="shared" si="1"/>
        <v>enero</v>
      </c>
      <c r="D303" s="15">
        <f t="shared" si="2"/>
        <v>5</v>
      </c>
      <c r="E303" s="16" t="str">
        <f t="shared" si="3"/>
        <v>miércoles</v>
      </c>
      <c r="F303" s="15">
        <f t="shared" si="4"/>
        <v>28</v>
      </c>
      <c r="G303" s="15" t="s">
        <v>23</v>
      </c>
      <c r="H303" s="3">
        <f>'AFI-F5'!$G$3</f>
        <v>45688</v>
      </c>
      <c r="I303" s="24">
        <f>'AFI-F5'!B32</f>
        <v>46050</v>
      </c>
      <c r="J303" s="2">
        <f>'AFI-F5'!C32</f>
        <v>74501400</v>
      </c>
      <c r="K303" s="2" t="str">
        <f>'AFI-F5'!D32</f>
        <v> JUAN DIEGO ALBINO RAMOS</v>
      </c>
      <c r="L303" s="2" t="str">
        <f>'AFI-F5'!E32</f>
        <v>4. jdalbinoramos@gmail.com</v>
      </c>
      <c r="M303" s="2" t="str">
        <f>'AFI-F5'!F32</f>
        <v>santiago de surco</v>
      </c>
      <c r="N303" s="2">
        <f>'AFI-F5'!G32</f>
        <v>51999292184</v>
      </c>
      <c r="O303" s="2" t="str">
        <f>'AFI-F5'!H32</f>
        <v>X</v>
      </c>
      <c r="P303" s="2" t="str">
        <f>'AFI-F5'!I32</f>
        <v/>
      </c>
      <c r="Q303" s="2">
        <f>'AFI-F5'!J32</f>
        <v>90</v>
      </c>
      <c r="R303" s="2">
        <f>'AFI-F5'!K32</f>
        <v>90</v>
      </c>
      <c r="S303" s="2" t="str">
        <f>'AFI-F5'!L32</f>
        <v>COBR</v>
      </c>
      <c r="T303" s="2" t="str">
        <f>'AFI-F5'!M32</f>
        <v>PLIN JL</v>
      </c>
      <c r="U303" s="2">
        <f>'AFI-F5'!N32</f>
        <v>90</v>
      </c>
      <c r="V303" s="2">
        <f>'AFI-F5'!O32</f>
        <v>90</v>
      </c>
      <c r="W303" s="2" t="str">
        <f>'AFI-F5'!P32</f>
        <v>Sofia</v>
      </c>
      <c r="X303" s="5">
        <f>'AFI-F5'!Q32</f>
        <v>180</v>
      </c>
      <c r="Y303" s="1"/>
      <c r="Z303" s="1"/>
      <c r="AA303" s="1"/>
    </row>
    <row r="304">
      <c r="A304" s="1"/>
      <c r="B304" s="14">
        <f t="shared" si="9"/>
        <v>29</v>
      </c>
      <c r="C304" s="15" t="str">
        <f t="shared" si="1"/>
        <v>enero</v>
      </c>
      <c r="D304" s="15">
        <f t="shared" si="2"/>
        <v>5</v>
      </c>
      <c r="E304" s="16" t="str">
        <f t="shared" si="3"/>
        <v>miércoles</v>
      </c>
      <c r="F304" s="15">
        <f t="shared" si="4"/>
        <v>28</v>
      </c>
      <c r="G304" s="15" t="s">
        <v>23</v>
      </c>
      <c r="H304" s="3">
        <f>'AFI-F5'!$G$3</f>
        <v>45688</v>
      </c>
      <c r="I304" s="24">
        <f>'AFI-F5'!B33</f>
        <v>46050</v>
      </c>
      <c r="J304" s="2" t="str">
        <f>'AFI-F5'!C33</f>
        <v> ⁠43278388</v>
      </c>
      <c r="K304" s="2" t="str">
        <f>'AFI-F5'!D33</f>
        <v>Michael Parraga</v>
      </c>
      <c r="L304" s="2" t="str">
        <f>'AFI-F5'!E33</f>
        <v>michael.parraga@gmail.com</v>
      </c>
      <c r="M304" s="2" t="str">
        <f>'AFI-F5'!F33</f>
        <v>miraflores</v>
      </c>
      <c r="N304" s="2">
        <f>'AFI-F5'!G33</f>
        <v>51999292184</v>
      </c>
      <c r="O304" s="2" t="str">
        <f>'AFI-F5'!H33</f>
        <v>X</v>
      </c>
      <c r="P304" s="2" t="str">
        <f>'AFI-F5'!I33</f>
        <v/>
      </c>
      <c r="Q304" s="2">
        <f>'AFI-F5'!J33</f>
        <v>90</v>
      </c>
      <c r="R304" s="2">
        <f>'AFI-F5'!K33</f>
        <v>90</v>
      </c>
      <c r="S304" s="2" t="str">
        <f>'AFI-F5'!L33</f>
        <v>COBR</v>
      </c>
      <c r="T304" s="2" t="str">
        <f>'AFI-F5'!M33</f>
        <v>PLIN JL</v>
      </c>
      <c r="U304" s="2">
        <f>'AFI-F5'!N33</f>
        <v>90</v>
      </c>
      <c r="V304" s="2">
        <f>'AFI-F5'!O33</f>
        <v>90</v>
      </c>
      <c r="W304" s="2" t="str">
        <f>'AFI-F5'!P33</f>
        <v>Sofia</v>
      </c>
      <c r="X304" s="5">
        <f>'AFI-F5'!Q33</f>
        <v>180</v>
      </c>
      <c r="Y304" s="1"/>
      <c r="Z304" s="1"/>
      <c r="AA304" s="1"/>
    </row>
    <row r="305">
      <c r="A305" s="1"/>
      <c r="B305" s="14">
        <f t="shared" si="9"/>
        <v>30</v>
      </c>
      <c r="C305" s="15" t="str">
        <f t="shared" si="1"/>
        <v>enero</v>
      </c>
      <c r="D305" s="15">
        <f t="shared" si="2"/>
        <v>5</v>
      </c>
      <c r="E305" s="16" t="str">
        <f t="shared" si="3"/>
        <v>miércoles</v>
      </c>
      <c r="F305" s="15">
        <f t="shared" si="4"/>
        <v>28</v>
      </c>
      <c r="G305" s="15" t="s">
        <v>23</v>
      </c>
      <c r="H305" s="3">
        <f>'AFI-F5'!$G$3</f>
        <v>45688</v>
      </c>
      <c r="I305" s="24">
        <f>'AFI-F5'!B34</f>
        <v>46050</v>
      </c>
      <c r="J305" s="2">
        <f>'AFI-F5'!C34</f>
        <v>41967125</v>
      </c>
      <c r="K305" s="2" t="str">
        <f>'AFI-F5'!D34</f>
        <v>Luis Manuel villa solis</v>
      </c>
      <c r="L305" s="2" t="str">
        <f>'AFI-F5'!E34</f>
        <v>lvillasolis@gmail.com</v>
      </c>
      <c r="M305" s="2" t="str">
        <f>'AFI-F5'!F34</f>
        <v>SJM</v>
      </c>
      <c r="N305" s="2" t="str">
        <f>'AFI-F5'!G34</f>
        <v>997 788 156</v>
      </c>
      <c r="O305" s="2" t="str">
        <f>'AFI-F5'!H34</f>
        <v>X</v>
      </c>
      <c r="P305" s="2" t="str">
        <f>'AFI-F5'!I34</f>
        <v/>
      </c>
      <c r="Q305" s="2">
        <f>'AFI-F5'!J34</f>
        <v>100</v>
      </c>
      <c r="R305" s="2">
        <f>'AFI-F5'!K34</f>
        <v>100</v>
      </c>
      <c r="S305" s="2" t="str">
        <f>'AFI-F5'!L34</f>
        <v>COBR</v>
      </c>
      <c r="T305" s="2" t="str">
        <f>'AFI-F5'!M34</f>
        <v>BBVA JL</v>
      </c>
      <c r="U305" s="2">
        <f>'AFI-F5'!N34</f>
        <v>100</v>
      </c>
      <c r="V305" s="2">
        <f>'AFI-F5'!O34</f>
        <v>100</v>
      </c>
      <c r="W305" s="2" t="str">
        <f>'AFI-F5'!P34</f>
        <v>Yadhira</v>
      </c>
      <c r="X305" s="5">
        <f>'AFI-F5'!Q34</f>
        <v>200</v>
      </c>
      <c r="Y305" s="1"/>
      <c r="Z305" s="1"/>
      <c r="AA305" s="1"/>
    </row>
    <row r="306">
      <c r="A306" s="1"/>
      <c r="B306" s="14">
        <f t="shared" si="9"/>
        <v>31</v>
      </c>
      <c r="C306" s="15" t="str">
        <f t="shared" si="1"/>
        <v>enero</v>
      </c>
      <c r="D306" s="15">
        <f t="shared" si="2"/>
        <v>5</v>
      </c>
      <c r="E306" s="16" t="str">
        <f t="shared" si="3"/>
        <v>miércoles</v>
      </c>
      <c r="F306" s="15">
        <f t="shared" si="4"/>
        <v>28</v>
      </c>
      <c r="G306" s="15" t="s">
        <v>23</v>
      </c>
      <c r="H306" s="3">
        <f>'AFI-F5'!$G$3</f>
        <v>45688</v>
      </c>
      <c r="I306" s="24">
        <f>'AFI-F5'!B35</f>
        <v>46050</v>
      </c>
      <c r="J306" s="2" t="str">
        <f>'AFI-F5'!C35</f>
        <v/>
      </c>
      <c r="K306" s="2" t="str">
        <f>'AFI-F5'!D35</f>
        <v>Leonel villa abril</v>
      </c>
      <c r="L306" s="32" t="str">
        <f>'AFI-F5'!E35</f>
        <v>lvillasolis@gmail.com</v>
      </c>
      <c r="M306" s="2" t="str">
        <f>'AFI-F5'!F35</f>
        <v>SJM</v>
      </c>
      <c r="N306" s="2" t="str">
        <f>'AFI-F5'!G35</f>
        <v>997 788 156</v>
      </c>
      <c r="O306" s="2" t="str">
        <f>'AFI-F5'!H35</f>
        <v>X</v>
      </c>
      <c r="P306" s="2" t="str">
        <f>'AFI-F5'!I35</f>
        <v/>
      </c>
      <c r="Q306" s="2">
        <f>'AFI-F5'!J35</f>
        <v>50</v>
      </c>
      <c r="R306" s="2">
        <f>'AFI-F5'!K35</f>
        <v>50</v>
      </c>
      <c r="S306" s="2" t="str">
        <f>'AFI-F5'!L35</f>
        <v>COBR</v>
      </c>
      <c r="T306" s="2" t="str">
        <f>'AFI-F5'!M35</f>
        <v>BBVA JL</v>
      </c>
      <c r="U306" s="2">
        <f>'AFI-F5'!N35</f>
        <v>50</v>
      </c>
      <c r="V306" s="2">
        <f>'AFI-F5'!O35</f>
        <v>50</v>
      </c>
      <c r="W306" s="2" t="str">
        <f>'AFI-F5'!P35</f>
        <v>Yadhira</v>
      </c>
      <c r="X306" s="5">
        <f>'AFI-F5'!Q35</f>
        <v>100</v>
      </c>
      <c r="Y306" s="1"/>
      <c r="Z306" s="1"/>
      <c r="AA306" s="1"/>
    </row>
    <row r="307">
      <c r="A307" s="1"/>
      <c r="B307" s="14">
        <f t="shared" si="9"/>
        <v>32</v>
      </c>
      <c r="C307" s="15" t="str">
        <f t="shared" si="1"/>
        <v>enero</v>
      </c>
      <c r="D307" s="15">
        <f t="shared" si="2"/>
        <v>5</v>
      </c>
      <c r="E307" s="16" t="str">
        <f t="shared" si="3"/>
        <v>miércoles</v>
      </c>
      <c r="F307" s="15">
        <f t="shared" si="4"/>
        <v>28</v>
      </c>
      <c r="G307" s="15" t="s">
        <v>23</v>
      </c>
      <c r="H307" s="3">
        <f>'AFI-F5'!$G$3</f>
        <v>45688</v>
      </c>
      <c r="I307" s="24">
        <f>'AFI-F5'!B36</f>
        <v>46050</v>
      </c>
      <c r="J307" s="2">
        <f>'AFI-F5'!C36</f>
        <v>73180684</v>
      </c>
      <c r="K307" s="2" t="str">
        <f>'AFI-F5'!D36</f>
        <v>Diana Vicuña</v>
      </c>
      <c r="L307" s="2" t="str">
        <f>'AFI-F5'!E36</f>
        <v/>
      </c>
      <c r="M307" s="2" t="str">
        <f>'AFI-F5'!F36</f>
        <v>surco</v>
      </c>
      <c r="N307" s="2" t="str">
        <f>'AFI-F5'!G36</f>
        <v/>
      </c>
      <c r="O307" s="2" t="str">
        <f>'AFI-F5'!H36</f>
        <v>x</v>
      </c>
      <c r="P307" s="2" t="str">
        <f>'AFI-F5'!I36</f>
        <v/>
      </c>
      <c r="Q307" s="2">
        <f>'AFI-F5'!J36</f>
        <v>180</v>
      </c>
      <c r="R307" s="2" t="str">
        <f>'AFI-F5'!K36</f>
        <v/>
      </c>
      <c r="S307" s="2" t="str">
        <f>'AFI-F5'!L36</f>
        <v>PAGO</v>
      </c>
      <c r="T307" s="2" t="str">
        <f>'AFI-F5'!M36</f>
        <v>PLIN JL</v>
      </c>
      <c r="U307" s="2">
        <f>'AFI-F5'!N36</f>
        <v>180</v>
      </c>
      <c r="V307" s="2" t="str">
        <f>'AFI-F5'!O36</f>
        <v/>
      </c>
      <c r="W307" s="2" t="str">
        <f>'AFI-F5'!P36</f>
        <v>Katherine</v>
      </c>
      <c r="X307" s="5">
        <f>'AFI-F5'!Q36</f>
        <v>180</v>
      </c>
      <c r="Y307" s="1"/>
      <c r="Z307" s="1"/>
      <c r="AA307" s="1"/>
    </row>
    <row r="308">
      <c r="A308" s="1"/>
      <c r="B308" s="14">
        <f t="shared" si="9"/>
        <v>33</v>
      </c>
      <c r="C308" s="15" t="str">
        <f t="shared" si="1"/>
        <v>enero</v>
      </c>
      <c r="D308" s="15">
        <f t="shared" si="2"/>
        <v>5</v>
      </c>
      <c r="E308" s="16" t="str">
        <f t="shared" si="3"/>
        <v>miércoles</v>
      </c>
      <c r="F308" s="15">
        <f t="shared" si="4"/>
        <v>28</v>
      </c>
      <c r="G308" s="15" t="s">
        <v>23</v>
      </c>
      <c r="H308" s="3">
        <f>'AFI-F5'!$G$3</f>
        <v>45688</v>
      </c>
      <c r="I308" s="24">
        <f>'AFI-F5'!B37</f>
        <v>46050</v>
      </c>
      <c r="J308" s="2">
        <f>'AFI-F5'!C37</f>
        <v>47810241</v>
      </c>
      <c r="K308" s="2" t="str">
        <f>'AFI-F5'!D37</f>
        <v>Franco Leon</v>
      </c>
      <c r="L308" s="2" t="str">
        <f>'AFI-F5'!E37</f>
        <v/>
      </c>
      <c r="M308" s="2" t="str">
        <f>'AFI-F5'!F37</f>
        <v>surco</v>
      </c>
      <c r="N308" s="2" t="str">
        <f>'AFI-F5'!G37</f>
        <v/>
      </c>
      <c r="O308" s="2" t="str">
        <f>'AFI-F5'!H37</f>
        <v>x</v>
      </c>
      <c r="P308" s="2" t="str">
        <f>'AFI-F5'!I37</f>
        <v/>
      </c>
      <c r="Q308" s="2">
        <f>'AFI-F5'!J37</f>
        <v>180</v>
      </c>
      <c r="R308" s="2" t="str">
        <f>'AFI-F5'!K37</f>
        <v/>
      </c>
      <c r="S308" s="2" t="str">
        <f>'AFI-F5'!L37</f>
        <v>PAGO</v>
      </c>
      <c r="T308" s="2" t="str">
        <f>'AFI-F5'!M37</f>
        <v>PLIN JL</v>
      </c>
      <c r="U308" s="2">
        <f>'AFI-F5'!N37</f>
        <v>180</v>
      </c>
      <c r="V308" s="2" t="str">
        <f>'AFI-F5'!O37</f>
        <v/>
      </c>
      <c r="W308" s="2" t="str">
        <f>'AFI-F5'!P37</f>
        <v>Katherine</v>
      </c>
      <c r="X308" s="5">
        <f>'AFI-F5'!Q37</f>
        <v>180</v>
      </c>
      <c r="Y308" s="1"/>
      <c r="Z308" s="1"/>
      <c r="AA308" s="1"/>
    </row>
    <row r="309">
      <c r="A309" s="1"/>
      <c r="B309" s="14">
        <f t="shared" si="9"/>
        <v>34</v>
      </c>
      <c r="C309" s="15" t="str">
        <f t="shared" si="1"/>
        <v>enero</v>
      </c>
      <c r="D309" s="15">
        <f t="shared" si="2"/>
        <v>5</v>
      </c>
      <c r="E309" s="16" t="str">
        <f t="shared" si="3"/>
        <v>miércoles</v>
      </c>
      <c r="F309" s="15">
        <f t="shared" si="4"/>
        <v>28</v>
      </c>
      <c r="G309" s="15" t="s">
        <v>23</v>
      </c>
      <c r="H309" s="3">
        <f>'AFI-F5'!$G$3</f>
        <v>45688</v>
      </c>
      <c r="I309" s="24">
        <f>'AFI-F5'!B38</f>
        <v>46050</v>
      </c>
      <c r="J309" s="2">
        <f>'AFI-F5'!C38</f>
        <v>7508517</v>
      </c>
      <c r="K309" s="2" t="str">
        <f>'AFI-F5'!D38</f>
        <v>Miguel Nicho Pacheco</v>
      </c>
      <c r="L309" s="2" t="str">
        <f>'AFI-F5'!E38</f>
        <v/>
      </c>
      <c r="M309" s="2" t="str">
        <f>'AFI-F5'!F38</f>
        <v>smp</v>
      </c>
      <c r="N309" s="2" t="str">
        <f>'AFI-F5'!G38</f>
        <v/>
      </c>
      <c r="O309" s="2" t="str">
        <f>'AFI-F5'!H38</f>
        <v/>
      </c>
      <c r="P309" s="2" t="str">
        <f>'AFI-F5'!I38</f>
        <v>x</v>
      </c>
      <c r="Q309" s="2">
        <f>'AFI-F5'!J38</f>
        <v>200</v>
      </c>
      <c r="R309" s="2" t="str">
        <f>'AFI-F5'!K38</f>
        <v/>
      </c>
      <c r="S309" s="2" t="str">
        <f>'AFI-F5'!L38</f>
        <v>PAGO</v>
      </c>
      <c r="T309" s="2" t="str">
        <f>'AFI-F5'!M38</f>
        <v>BCP JL</v>
      </c>
      <c r="U309" s="2">
        <f>'AFI-F5'!N38</f>
        <v>200</v>
      </c>
      <c r="V309" s="2" t="str">
        <f>'AFI-F5'!O38</f>
        <v/>
      </c>
      <c r="W309" s="2" t="str">
        <f>'AFI-F5'!P38</f>
        <v>Katherine</v>
      </c>
      <c r="X309" s="5">
        <f>'AFI-F5'!Q38</f>
        <v>200</v>
      </c>
      <c r="Y309" s="1"/>
      <c r="Z309" s="1"/>
      <c r="AA309" s="1"/>
    </row>
    <row r="310">
      <c r="A310" s="1"/>
      <c r="B310" s="14">
        <f t="shared" si="9"/>
        <v>35</v>
      </c>
      <c r="C310" s="15" t="str">
        <f t="shared" si="1"/>
        <v>enero</v>
      </c>
      <c r="D310" s="15">
        <f t="shared" si="2"/>
        <v>5</v>
      </c>
      <c r="E310" s="16" t="str">
        <f t="shared" si="3"/>
        <v>jueves</v>
      </c>
      <c r="F310" s="15">
        <f t="shared" si="4"/>
        <v>29</v>
      </c>
      <c r="G310" s="15" t="s">
        <v>23</v>
      </c>
      <c r="H310" s="3">
        <f>'AFI-F5'!$G$3</f>
        <v>45688</v>
      </c>
      <c r="I310" s="24">
        <f>'AFI-F5'!B39</f>
        <v>46051</v>
      </c>
      <c r="J310" s="2" t="str">
        <f>'AFI-F5'!C39</f>
        <v>4295 3767</v>
      </c>
      <c r="K310" s="2" t="str">
        <f>'AFI-F5'!D39</f>
        <v>Jose Elías López Acostupa</v>
      </c>
      <c r="L310" s="2" t="str">
        <f>'AFI-F5'!E39</f>
        <v>Joseelíaslopezacostupa@gmail.com</v>
      </c>
      <c r="M310" s="2" t="str">
        <f>'AFI-F5'!F39</f>
        <v>Miraflores</v>
      </c>
      <c r="N310" s="2">
        <f>'AFI-F5'!G39</f>
        <v>51963748480</v>
      </c>
      <c r="O310" s="2" t="str">
        <f>'AFI-F5'!H39</f>
        <v>x</v>
      </c>
      <c r="P310" s="2" t="str">
        <f>'AFI-F5'!I39</f>
        <v/>
      </c>
      <c r="Q310" s="2">
        <f>'AFI-F5'!J39</f>
        <v>180</v>
      </c>
      <c r="R310" s="2">
        <f>'AFI-F5'!K39</f>
        <v>180</v>
      </c>
      <c r="S310" s="2" t="str">
        <f>'AFI-F5'!L39</f>
        <v>COBR</v>
      </c>
      <c r="T310" s="2" t="str">
        <f>'AFI-F5'!M39</f>
        <v>BCP JL</v>
      </c>
      <c r="U310" s="2">
        <f>'AFI-F5'!N39</f>
        <v>180</v>
      </c>
      <c r="V310" s="2">
        <f>'AFI-F5'!O39</f>
        <v>180</v>
      </c>
      <c r="W310" s="2" t="str">
        <f>'AFI-F5'!P39</f>
        <v>Sofia</v>
      </c>
      <c r="X310" s="5">
        <f>'AFI-F5'!Q39</f>
        <v>360</v>
      </c>
      <c r="Y310" s="1"/>
      <c r="Z310" s="1"/>
      <c r="AA310" s="1"/>
    </row>
    <row r="311">
      <c r="A311" s="1"/>
      <c r="B311" s="14">
        <f t="shared" si="9"/>
        <v>36</v>
      </c>
      <c r="C311" s="15" t="str">
        <f t="shared" si="1"/>
        <v>enero</v>
      </c>
      <c r="D311" s="15">
        <f t="shared" si="2"/>
        <v>5</v>
      </c>
      <c r="E311" s="16" t="str">
        <f t="shared" si="3"/>
        <v>jueves</v>
      </c>
      <c r="F311" s="15">
        <f t="shared" si="4"/>
        <v>29</v>
      </c>
      <c r="G311" s="15" t="s">
        <v>23</v>
      </c>
      <c r="H311" s="3">
        <f>'AFI-F5'!$G$3</f>
        <v>45688</v>
      </c>
      <c r="I311" s="24">
        <f>'AFI-F5'!B40</f>
        <v>46051</v>
      </c>
      <c r="J311" s="2">
        <f>'AFI-F5'!C40</f>
        <v>9601263</v>
      </c>
      <c r="K311" s="2" t="str">
        <f>'AFI-F5'!D40</f>
        <v>MARCO ANTONIO PRADO VALERA</v>
      </c>
      <c r="L311" s="2" t="str">
        <f>'AFI-F5'!E40</f>
        <v/>
      </c>
      <c r="M311" s="2" t="str">
        <f>'AFI-F5'!F40</f>
        <v/>
      </c>
      <c r="N311" s="2" t="str">
        <f>'AFI-F5'!G40</f>
        <v/>
      </c>
      <c r="O311" s="2" t="str">
        <f>'AFI-F5'!H40</f>
        <v/>
      </c>
      <c r="P311" s="2" t="str">
        <f>'AFI-F5'!I40</f>
        <v>x</v>
      </c>
      <c r="Q311" s="2">
        <f>'AFI-F5'!J40</f>
        <v>200</v>
      </c>
      <c r="R311" s="2" t="str">
        <f>'AFI-F5'!K40</f>
        <v/>
      </c>
      <c r="S311" s="2" t="str">
        <f>'AFI-F5'!L40</f>
        <v>PAGO</v>
      </c>
      <c r="T311" s="2" t="str">
        <f>'AFI-F5'!M40</f>
        <v>BBVA JL</v>
      </c>
      <c r="U311" s="2">
        <f>'AFI-F5'!N40</f>
        <v>200</v>
      </c>
      <c r="V311" s="2" t="str">
        <f>'AFI-F5'!O40</f>
        <v/>
      </c>
      <c r="W311" s="2" t="str">
        <f>'AFI-F5'!P40</f>
        <v>Katherine</v>
      </c>
      <c r="X311" s="5">
        <f>'AFI-F5'!Q40</f>
        <v>200</v>
      </c>
      <c r="Y311" s="1"/>
      <c r="Z311" s="1"/>
      <c r="AA311" s="1"/>
    </row>
    <row r="312">
      <c r="A312" s="1"/>
      <c r="B312" s="14">
        <f t="shared" si="9"/>
        <v>37</v>
      </c>
      <c r="C312" s="15" t="str">
        <f t="shared" si="1"/>
        <v>enero</v>
      </c>
      <c r="D312" s="15">
        <f t="shared" si="2"/>
        <v>5</v>
      </c>
      <c r="E312" s="16" t="str">
        <f t="shared" si="3"/>
        <v>jueves</v>
      </c>
      <c r="F312" s="15">
        <f t="shared" si="4"/>
        <v>29</v>
      </c>
      <c r="G312" s="15" t="s">
        <v>23</v>
      </c>
      <c r="H312" s="3">
        <f>'AFI-F5'!$G$3</f>
        <v>45688</v>
      </c>
      <c r="I312" s="24">
        <f>'AFI-F5'!B41</f>
        <v>46051</v>
      </c>
      <c r="J312" s="2">
        <f>'AFI-F5'!C41</f>
        <v>72510875</v>
      </c>
      <c r="K312" s="2" t="str">
        <f>'AFI-F5'!D41</f>
        <v>Héctor paul peña ajalcriña </v>
      </c>
      <c r="L312" s="2" t="str">
        <f>'AFI-F5'!E41</f>
        <v>Hectorpaul_18@hotmail.com</v>
      </c>
      <c r="M312" s="2" t="str">
        <f>'AFI-F5'!F41</f>
        <v>Pueblo libre </v>
      </c>
      <c r="N312" s="2" t="str">
        <f>'AFI-F5'!G41</f>
        <v> 955 737 238</v>
      </c>
      <c r="O312" s="2" t="str">
        <f>'AFI-F5'!H41</f>
        <v/>
      </c>
      <c r="P312" s="2" t="str">
        <f>'AFI-F5'!I41</f>
        <v>x</v>
      </c>
      <c r="Q312" s="2">
        <f>'AFI-F5'!J41</f>
        <v>220</v>
      </c>
      <c r="R312" s="2" t="str">
        <f>'AFI-F5'!K41</f>
        <v/>
      </c>
      <c r="S312" s="2" t="str">
        <f>'AFI-F5'!L41</f>
        <v>PAGO</v>
      </c>
      <c r="T312" s="2" t="str">
        <f>'AFI-F5'!M41</f>
        <v>PLIN JL</v>
      </c>
      <c r="U312" s="2">
        <f>'AFI-F5'!N41</f>
        <v>220</v>
      </c>
      <c r="V312" s="2" t="str">
        <f>'AFI-F5'!O41</f>
        <v/>
      </c>
      <c r="W312" s="2" t="str">
        <f>'AFI-F5'!P41</f>
        <v>Gabriela</v>
      </c>
      <c r="X312" s="5">
        <f>'AFI-F5'!Q41</f>
        <v>220</v>
      </c>
      <c r="Y312" s="1"/>
      <c r="Z312" s="1"/>
      <c r="AA312" s="1"/>
    </row>
    <row r="313">
      <c r="A313" s="1"/>
      <c r="B313" s="14">
        <f t="shared" si="9"/>
        <v>38</v>
      </c>
      <c r="C313" s="15" t="str">
        <f t="shared" si="1"/>
        <v>enero</v>
      </c>
      <c r="D313" s="15">
        <f t="shared" si="2"/>
        <v>5</v>
      </c>
      <c r="E313" s="16" t="str">
        <f t="shared" si="3"/>
        <v>jueves</v>
      </c>
      <c r="F313" s="15">
        <f t="shared" si="4"/>
        <v>29</v>
      </c>
      <c r="G313" s="15" t="s">
        <v>23</v>
      </c>
      <c r="H313" s="3">
        <f>'AFI-F5'!$G$3</f>
        <v>45688</v>
      </c>
      <c r="I313" s="24">
        <f>'AFI-F5'!B42</f>
        <v>46051</v>
      </c>
      <c r="J313" s="2">
        <f>'AFI-F5'!C42</f>
        <v>43154748</v>
      </c>
      <c r="K313" s="2" t="str">
        <f>'AFI-F5'!D42</f>
        <v>Jose Luis Ñahui Ñiquen</v>
      </c>
      <c r="L313" s="2" t="str">
        <f>'AFI-F5'!E42</f>
        <v>Jnahuiniquen@gmail.com</v>
      </c>
      <c r="M313" s="2" t="str">
        <f>'AFI-F5'!F42</f>
        <v>LINCE</v>
      </c>
      <c r="N313" s="2" t="str">
        <f>'AFI-F5'!G42</f>
        <v>948 714 975</v>
      </c>
      <c r="O313" s="2" t="str">
        <f>'AFI-F5'!H42</f>
        <v>X</v>
      </c>
      <c r="P313" s="2" t="str">
        <f>'AFI-F5'!I42</f>
        <v/>
      </c>
      <c r="Q313" s="2">
        <f>'AFI-F5'!J42</f>
        <v>180</v>
      </c>
      <c r="R313" s="2">
        <f>'AFI-F5'!K42</f>
        <v>180</v>
      </c>
      <c r="S313" s="2" t="str">
        <f>'AFI-F5'!L42</f>
        <v>COBR</v>
      </c>
      <c r="T313" s="2" t="str">
        <f>'AFI-F5'!M42</f>
        <v>PLIN JL</v>
      </c>
      <c r="U313" s="2">
        <f>'AFI-F5'!N42</f>
        <v>180</v>
      </c>
      <c r="V313" s="2">
        <f>'AFI-F5'!O42</f>
        <v>180</v>
      </c>
      <c r="W313" s="2" t="str">
        <f>'AFI-F5'!P42</f>
        <v>Yadhira</v>
      </c>
      <c r="X313" s="5">
        <f>'AFI-F5'!Q42</f>
        <v>360</v>
      </c>
      <c r="Y313" s="1"/>
      <c r="Z313" s="1"/>
      <c r="AA313" s="1"/>
    </row>
    <row r="314">
      <c r="A314" s="1"/>
      <c r="B314" s="14">
        <f t="shared" si="9"/>
        <v>39</v>
      </c>
      <c r="C314" s="15" t="str">
        <f t="shared" si="1"/>
        <v>diciembre</v>
      </c>
      <c r="D314" s="15">
        <f t="shared" si="2"/>
        <v>52</v>
      </c>
      <c r="E314" s="16" t="str">
        <f t="shared" si="3"/>
        <v>martes</v>
      </c>
      <c r="F314" s="15">
        <f t="shared" si="4"/>
        <v>22</v>
      </c>
      <c r="G314" s="15" t="s">
        <v>23</v>
      </c>
      <c r="H314" s="3">
        <f>'AFI-F5'!$G$3</f>
        <v>45688</v>
      </c>
      <c r="I314" s="24">
        <f>'AFI-F5'!B43</f>
        <v>46378</v>
      </c>
      <c r="J314" s="2">
        <f>'AFI-F5'!C43</f>
        <v>2908730</v>
      </c>
      <c r="K314" s="2" t="str">
        <f>'AFI-F5'!D43</f>
        <v>Gino Garamendi</v>
      </c>
      <c r="L314" s="2" t="str">
        <f>'AFI-F5'!E43</f>
        <v/>
      </c>
      <c r="M314" s="2" t="str">
        <f>'AFI-F5'!F43</f>
        <v/>
      </c>
      <c r="N314" s="2" t="str">
        <f>'AFI-F5'!G43</f>
        <v/>
      </c>
      <c r="O314" s="2" t="str">
        <f>'AFI-F5'!H43</f>
        <v/>
      </c>
      <c r="P314" s="2" t="str">
        <f>'AFI-F5'!I43</f>
        <v>x</v>
      </c>
      <c r="Q314" s="2">
        <f>'AFI-F5'!J43</f>
        <v>220</v>
      </c>
      <c r="R314" s="2" t="str">
        <f>'AFI-F5'!K43</f>
        <v/>
      </c>
      <c r="S314" s="2" t="str">
        <f>'AFI-F5'!L43</f>
        <v>PAGO</v>
      </c>
      <c r="T314" s="2" t="str">
        <f>'AFI-F5'!M43</f>
        <v>PLIN JL</v>
      </c>
      <c r="U314" s="2">
        <f>'AFI-F5'!N43</f>
        <v>220</v>
      </c>
      <c r="V314" s="2" t="str">
        <f>'AFI-F5'!O43</f>
        <v/>
      </c>
      <c r="W314" s="2" t="str">
        <f>'AFI-F5'!P43</f>
        <v>Katherine</v>
      </c>
      <c r="X314" s="5">
        <f>'AFI-F5'!Q43</f>
        <v>220</v>
      </c>
      <c r="Y314" s="1"/>
      <c r="Z314" s="1"/>
      <c r="AA314" s="1"/>
    </row>
    <row r="315">
      <c r="A315" s="1"/>
      <c r="B315" s="14">
        <f t="shared" si="9"/>
        <v>40</v>
      </c>
      <c r="C315" s="15" t="str">
        <f t="shared" si="1"/>
        <v>enero</v>
      </c>
      <c r="D315" s="15">
        <f t="shared" si="2"/>
        <v>5</v>
      </c>
      <c r="E315" s="16" t="str">
        <f t="shared" si="3"/>
        <v>jueves</v>
      </c>
      <c r="F315" s="15">
        <f t="shared" si="4"/>
        <v>29</v>
      </c>
      <c r="G315" s="15" t="s">
        <v>23</v>
      </c>
      <c r="H315" s="3">
        <f>'AFI-F5'!$G$3</f>
        <v>45688</v>
      </c>
      <c r="I315" s="24">
        <f>'AFI-F5'!B44</f>
        <v>46051</v>
      </c>
      <c r="J315" s="2">
        <f>'AFI-F5'!C44</f>
        <v>42312770</v>
      </c>
      <c r="K315" s="2" t="str">
        <f>'AFI-F5'!D44</f>
        <v>Edson Palomino Santillan</v>
      </c>
      <c r="L315" s="2" t="str">
        <f>'AFI-F5'!E44</f>
        <v/>
      </c>
      <c r="M315" s="2" t="str">
        <f>'AFI-F5'!F44</f>
        <v/>
      </c>
      <c r="N315" s="2" t="str">
        <f>'AFI-F5'!G44</f>
        <v/>
      </c>
      <c r="O315" s="2" t="str">
        <f>'AFI-F5'!H44</f>
        <v/>
      </c>
      <c r="P315" s="2" t="str">
        <f>'AFI-F5'!I44</f>
        <v>x</v>
      </c>
      <c r="Q315" s="2">
        <f>'AFI-F5'!J44</f>
        <v>220</v>
      </c>
      <c r="R315" s="2" t="str">
        <f>'AFI-F5'!K44</f>
        <v/>
      </c>
      <c r="S315" s="2" t="str">
        <f>'AFI-F5'!L44</f>
        <v>PAGO</v>
      </c>
      <c r="T315" s="2" t="str">
        <f>'AFI-F5'!M44</f>
        <v>PLIN JL</v>
      </c>
      <c r="U315" s="2">
        <f>'AFI-F5'!N44</f>
        <v>220</v>
      </c>
      <c r="V315" s="2" t="str">
        <f>'AFI-F5'!O44</f>
        <v/>
      </c>
      <c r="W315" s="2" t="str">
        <f>'AFI-F5'!P44</f>
        <v>Katherine</v>
      </c>
      <c r="X315" s="5">
        <f>'AFI-F5'!Q44</f>
        <v>220</v>
      </c>
      <c r="Y315" s="1"/>
      <c r="Z315" s="1"/>
      <c r="AA315" s="1"/>
    </row>
    <row r="316">
      <c r="A316" s="1"/>
      <c r="B316" s="14">
        <f t="shared" si="9"/>
        <v>41</v>
      </c>
      <c r="C316" s="15" t="str">
        <f t="shared" si="1"/>
        <v>enero</v>
      </c>
      <c r="D316" s="15">
        <f t="shared" si="2"/>
        <v>5</v>
      </c>
      <c r="E316" s="16" t="str">
        <f t="shared" si="3"/>
        <v>jueves</v>
      </c>
      <c r="F316" s="15">
        <f t="shared" si="4"/>
        <v>29</v>
      </c>
      <c r="G316" s="15" t="s">
        <v>23</v>
      </c>
      <c r="H316" s="3">
        <f>'AFI-F5'!$G$3</f>
        <v>45688</v>
      </c>
      <c r="I316" s="24">
        <f>'AFI-F5'!B45</f>
        <v>46051</v>
      </c>
      <c r="J316" s="2" t="str">
        <f>'AFI-F5'!C45</f>
        <v>08163189</v>
      </c>
      <c r="K316" s="2" t="str">
        <f>'AFI-F5'!D45</f>
        <v>Rossana Casella</v>
      </c>
      <c r="L316" s="2" t="str">
        <f>'AFI-F5'!E45</f>
        <v>rossanacasellav@hotmail.com</v>
      </c>
      <c r="M316" s="2" t="str">
        <f>'AFI-F5'!F45</f>
        <v>RIMAC</v>
      </c>
      <c r="N316" s="2" t="str">
        <f>'AFI-F5'!G45</f>
        <v>990 040 557</v>
      </c>
      <c r="O316" s="2" t="str">
        <f>'AFI-F5'!H45</f>
        <v/>
      </c>
      <c r="P316" s="2" t="str">
        <f>'AFI-F5'!I45</f>
        <v>X</v>
      </c>
      <c r="Q316" s="2">
        <f>'AFI-F5'!J45</f>
        <v>175</v>
      </c>
      <c r="R316" s="2">
        <f>'AFI-F5'!K45</f>
        <v>175</v>
      </c>
      <c r="S316" s="2" t="str">
        <f>'AFI-F5'!L45</f>
        <v>COBR</v>
      </c>
      <c r="T316" s="2" t="str">
        <f>'AFI-F5'!M45</f>
        <v>PLIN JL</v>
      </c>
      <c r="U316" s="2">
        <f>'AFI-F5'!N45</f>
        <v>175</v>
      </c>
      <c r="V316" s="2">
        <f>'AFI-F5'!O45</f>
        <v>175</v>
      </c>
      <c r="W316" s="2" t="str">
        <f>'AFI-F5'!P45</f>
        <v>Greici</v>
      </c>
      <c r="X316" s="5">
        <f>'AFI-F5'!Q45</f>
        <v>350</v>
      </c>
      <c r="Y316" s="1"/>
      <c r="Z316" s="1"/>
      <c r="AA316" s="1"/>
    </row>
    <row r="317">
      <c r="A317" s="1"/>
      <c r="B317" s="14">
        <f t="shared" si="9"/>
        <v>42</v>
      </c>
      <c r="C317" s="15" t="str">
        <f t="shared" si="1"/>
        <v>enero</v>
      </c>
      <c r="D317" s="15">
        <f t="shared" si="2"/>
        <v>5</v>
      </c>
      <c r="E317" s="16" t="str">
        <f t="shared" si="3"/>
        <v>jueves</v>
      </c>
      <c r="F317" s="15">
        <f t="shared" si="4"/>
        <v>29</v>
      </c>
      <c r="G317" s="15" t="s">
        <v>23</v>
      </c>
      <c r="H317" s="3">
        <f>'AFI-F5'!$G$3</f>
        <v>45688</v>
      </c>
      <c r="I317" s="24">
        <f>'AFI-F5'!B46</f>
        <v>46051</v>
      </c>
      <c r="J317" s="2" t="str">
        <f>'AFI-F5'!C46</f>
        <v>08139122</v>
      </c>
      <c r="K317" s="2" t="str">
        <f>'AFI-F5'!D46</f>
        <v>Danilo Véliz</v>
      </c>
      <c r="L317" s="2" t="str">
        <f>'AFI-F5'!E46</f>
        <v>dmvelizs@hotmail.com</v>
      </c>
      <c r="M317" s="2" t="str">
        <f>'AFI-F5'!F46</f>
        <v>RIMAC</v>
      </c>
      <c r="N317" s="2" t="str">
        <f>'AFI-F5'!G46</f>
        <v/>
      </c>
      <c r="O317" s="2" t="str">
        <f>'AFI-F5'!H46</f>
        <v/>
      </c>
      <c r="P317" s="2" t="str">
        <f>'AFI-F5'!I46</f>
        <v>X</v>
      </c>
      <c r="Q317" s="2">
        <f>'AFI-F5'!J46</f>
        <v>175</v>
      </c>
      <c r="R317" s="2">
        <f>'AFI-F5'!K46</f>
        <v>175</v>
      </c>
      <c r="S317" s="2" t="str">
        <f>'AFI-F5'!L46</f>
        <v>COBR</v>
      </c>
      <c r="T317" s="2" t="str">
        <f>'AFI-F5'!M46</f>
        <v>PLIN JL</v>
      </c>
      <c r="U317" s="2">
        <f>'AFI-F5'!N46</f>
        <v>175</v>
      </c>
      <c r="V317" s="2">
        <f>'AFI-F5'!O46</f>
        <v>175</v>
      </c>
      <c r="W317" s="2" t="str">
        <f>'AFI-F5'!P46</f>
        <v>Greici</v>
      </c>
      <c r="X317" s="5">
        <f>'AFI-F5'!Q46</f>
        <v>350</v>
      </c>
      <c r="Y317" s="1"/>
      <c r="Z317" s="1"/>
      <c r="AA317" s="1"/>
    </row>
    <row r="318">
      <c r="A318" s="1"/>
      <c r="B318" s="14">
        <f t="shared" si="9"/>
        <v>43</v>
      </c>
      <c r="C318" s="15" t="str">
        <f t="shared" si="1"/>
        <v>enero</v>
      </c>
      <c r="D318" s="15">
        <f t="shared" si="2"/>
        <v>5</v>
      </c>
      <c r="E318" s="16" t="str">
        <f t="shared" si="3"/>
        <v>viernes</v>
      </c>
      <c r="F318" s="15">
        <f t="shared" si="4"/>
        <v>30</v>
      </c>
      <c r="G318" s="15" t="s">
        <v>23</v>
      </c>
      <c r="H318" s="3">
        <f>'AFI-F5'!$G$3</f>
        <v>45688</v>
      </c>
      <c r="I318" s="24">
        <f>'AFI-F5'!B47</f>
        <v>46052</v>
      </c>
      <c r="J318" s="2" t="str">
        <f>'AFI-F5'!C47</f>
        <v/>
      </c>
      <c r="K318" s="2" t="str">
        <f>'AFI-F5'!D47</f>
        <v>Deyvi la rosa abarca</v>
      </c>
      <c r="L318" s="2" t="str">
        <f>'AFI-F5'!E47</f>
        <v/>
      </c>
      <c r="M318" s="2" t="str">
        <f>'AFI-F5'!F47</f>
        <v>LINCE</v>
      </c>
      <c r="N318" s="2" t="str">
        <f>'AFI-F5'!G47</f>
        <v/>
      </c>
      <c r="O318" s="2" t="str">
        <f>'AFI-F5'!H47</f>
        <v/>
      </c>
      <c r="P318" s="2" t="str">
        <f>'AFI-F5'!I47</f>
        <v>x</v>
      </c>
      <c r="Q318" s="2">
        <f>'AFI-F5'!J47</f>
        <v>190</v>
      </c>
      <c r="R318" s="2" t="str">
        <f>'AFI-F5'!K47</f>
        <v/>
      </c>
      <c r="S318" s="2" t="str">
        <f>'AFI-F5'!L47</f>
        <v>PAGO</v>
      </c>
      <c r="T318" s="2" t="str">
        <f>'AFI-F5'!M47</f>
        <v>PLIN JL</v>
      </c>
      <c r="U318" s="2">
        <f>'AFI-F5'!N47</f>
        <v>190</v>
      </c>
      <c r="V318" s="2" t="str">
        <f>'AFI-F5'!O47</f>
        <v/>
      </c>
      <c r="W318" s="2" t="str">
        <f>'AFI-F5'!P47</f>
        <v>Katherine</v>
      </c>
      <c r="X318" s="5">
        <f>'AFI-F5'!Q47</f>
        <v>190</v>
      </c>
      <c r="Y318" s="1"/>
      <c r="Z318" s="1"/>
      <c r="AA318" s="1"/>
    </row>
    <row r="319">
      <c r="A319" s="1"/>
      <c r="B319" s="14">
        <f t="shared" si="9"/>
        <v>44</v>
      </c>
      <c r="C319" s="15" t="str">
        <f t="shared" si="1"/>
        <v>enero</v>
      </c>
      <c r="D319" s="15">
        <f t="shared" si="2"/>
        <v>5</v>
      </c>
      <c r="E319" s="16" t="str">
        <f t="shared" si="3"/>
        <v>viernes</v>
      </c>
      <c r="F319" s="15">
        <f t="shared" si="4"/>
        <v>30</v>
      </c>
      <c r="G319" s="15" t="s">
        <v>23</v>
      </c>
      <c r="H319" s="3">
        <f>'AFI-F5'!$G$3</f>
        <v>45688</v>
      </c>
      <c r="I319" s="24">
        <f>'AFI-F5'!B48</f>
        <v>46052</v>
      </c>
      <c r="J319" s="2" t="str">
        <f>'AFI-F5'!C48</f>
        <v/>
      </c>
      <c r="K319" s="2" t="str">
        <f>'AFI-F5'!D48</f>
        <v>Rosa arica chinguel</v>
      </c>
      <c r="L319" s="2" t="str">
        <f>'AFI-F5'!E48</f>
        <v/>
      </c>
      <c r="M319" s="2" t="str">
        <f>'AFI-F5'!F48</f>
        <v>LINCE</v>
      </c>
      <c r="N319" s="2" t="str">
        <f>'AFI-F5'!G48</f>
        <v/>
      </c>
      <c r="O319" s="2" t="str">
        <f>'AFI-F5'!H48</f>
        <v/>
      </c>
      <c r="P319" s="2" t="str">
        <f>'AFI-F5'!I48</f>
        <v>x</v>
      </c>
      <c r="Q319" s="2">
        <f>'AFI-F5'!J48</f>
        <v>190</v>
      </c>
      <c r="R319" s="2" t="str">
        <f>'AFI-F5'!K48</f>
        <v/>
      </c>
      <c r="S319" s="2" t="str">
        <f>'AFI-F5'!L48</f>
        <v>PAGO</v>
      </c>
      <c r="T319" s="2" t="str">
        <f>'AFI-F5'!M48</f>
        <v>PLIN JL</v>
      </c>
      <c r="U319" s="2">
        <f>'AFI-F5'!N48</f>
        <v>190</v>
      </c>
      <c r="V319" s="2" t="str">
        <f>'AFI-F5'!O48</f>
        <v/>
      </c>
      <c r="W319" s="2" t="str">
        <f>'AFI-F5'!P48</f>
        <v>Katherine</v>
      </c>
      <c r="X319" s="5">
        <f>'AFI-F5'!Q48</f>
        <v>190</v>
      </c>
      <c r="Y319" s="1"/>
      <c r="Z319" s="1"/>
      <c r="AA319" s="1"/>
    </row>
    <row r="320">
      <c r="A320" s="1"/>
      <c r="B320" s="14">
        <f t="shared" si="9"/>
        <v>45</v>
      </c>
      <c r="C320" s="15" t="str">
        <f t="shared" si="1"/>
        <v>enero</v>
      </c>
      <c r="D320" s="15">
        <f t="shared" si="2"/>
        <v>5</v>
      </c>
      <c r="E320" s="16" t="str">
        <f t="shared" si="3"/>
        <v>viernes</v>
      </c>
      <c r="F320" s="15">
        <f t="shared" si="4"/>
        <v>30</v>
      </c>
      <c r="G320" s="15" t="s">
        <v>23</v>
      </c>
      <c r="H320" s="3">
        <f>'AFI-F5'!$G$3</f>
        <v>45688</v>
      </c>
      <c r="I320" s="24">
        <f>'AFI-F5'!B49</f>
        <v>46052</v>
      </c>
      <c r="J320" s="2">
        <f>'AFI-F5'!C49</f>
        <v>60758869</v>
      </c>
      <c r="K320" s="2" t="str">
        <f>'AFI-F5'!D49</f>
        <v>Ivan Ramirez</v>
      </c>
      <c r="L320" s="2" t="str">
        <f>'AFI-F5'!E49</f>
        <v>ir253302@gmail.com</v>
      </c>
      <c r="M320" s="2" t="str">
        <f>'AFI-F5'!F49</f>
        <v>PUEBLO LIBRE</v>
      </c>
      <c r="N320" s="2" t="str">
        <f>'AFI-F5'!G49</f>
        <v>999 666 042</v>
      </c>
      <c r="O320" s="2" t="str">
        <f>'AFI-F5'!H49</f>
        <v/>
      </c>
      <c r="P320" s="2" t="str">
        <f>'AFI-F5'!I49</f>
        <v>X</v>
      </c>
      <c r="Q320" s="2">
        <f>'AFI-F5'!J49</f>
        <v>25</v>
      </c>
      <c r="R320" s="2">
        <f>'AFI-F5'!K49</f>
        <v>155</v>
      </c>
      <c r="S320" s="2" t="str">
        <f>'AFI-F5'!L49</f>
        <v>COBR</v>
      </c>
      <c r="T320" s="2" t="str">
        <f>'AFI-F5'!M49</f>
        <v>PLIN JL</v>
      </c>
      <c r="U320" s="2">
        <f>'AFI-F5'!N49</f>
        <v>25</v>
      </c>
      <c r="V320" s="2">
        <f>'AFI-F5'!O49</f>
        <v>155</v>
      </c>
      <c r="W320" s="2" t="str">
        <f>'AFI-F5'!P49</f>
        <v>Yadhira</v>
      </c>
      <c r="X320" s="5">
        <f>'AFI-F5'!Q49</f>
        <v>180</v>
      </c>
      <c r="Y320" s="1"/>
      <c r="Z320" s="1"/>
      <c r="AA320" s="1"/>
    </row>
    <row r="321">
      <c r="A321" s="1"/>
      <c r="B321" s="14">
        <f t="shared" si="9"/>
        <v>46</v>
      </c>
      <c r="C321" s="15" t="str">
        <f t="shared" si="1"/>
        <v>enero</v>
      </c>
      <c r="D321" s="15">
        <f t="shared" si="2"/>
        <v>5</v>
      </c>
      <c r="E321" s="16" t="str">
        <f t="shared" si="3"/>
        <v>viernes</v>
      </c>
      <c r="F321" s="15">
        <f t="shared" si="4"/>
        <v>30</v>
      </c>
      <c r="G321" s="15" t="s">
        <v>23</v>
      </c>
      <c r="H321" s="3">
        <f>'AFI-F5'!$G$3</f>
        <v>45688</v>
      </c>
      <c r="I321" s="24">
        <f>'AFI-F5'!B50</f>
        <v>46052</v>
      </c>
      <c r="J321" s="2">
        <f>'AFI-F5'!C50</f>
        <v>10038690</v>
      </c>
      <c r="K321" s="2" t="str">
        <f>'AFI-F5'!D50</f>
        <v>Marta Ventura</v>
      </c>
      <c r="L321" s="2" t="str">
        <f>'AFI-F5'!E50</f>
        <v>martaventura4242@gmail.com</v>
      </c>
      <c r="M321" s="2" t="str">
        <f>'AFI-F5'!F50</f>
        <v>PUEBLO LIBRE</v>
      </c>
      <c r="N321" s="2" t="str">
        <f>'AFI-F5'!G50</f>
        <v>999 666 042</v>
      </c>
      <c r="O321" s="2" t="str">
        <f>'AFI-F5'!H50</f>
        <v/>
      </c>
      <c r="P321" s="2" t="str">
        <f>'AFI-F5'!I50</f>
        <v>X</v>
      </c>
      <c r="Q321" s="2">
        <f>'AFI-F5'!J50</f>
        <v>25</v>
      </c>
      <c r="R321" s="2">
        <f>'AFI-F5'!K50</f>
        <v>155</v>
      </c>
      <c r="S321" s="2" t="str">
        <f>'AFI-F5'!L50</f>
        <v>COBR</v>
      </c>
      <c r="T321" s="2" t="str">
        <f>'AFI-F5'!M50</f>
        <v>BBVA JL</v>
      </c>
      <c r="U321" s="2">
        <f>'AFI-F5'!N50</f>
        <v>25</v>
      </c>
      <c r="V321" s="2">
        <f>'AFI-F5'!O50</f>
        <v>155</v>
      </c>
      <c r="W321" s="2" t="str">
        <f>'AFI-F5'!P50</f>
        <v>Yadhira</v>
      </c>
      <c r="X321" s="5">
        <f>'AFI-F5'!Q50</f>
        <v>180</v>
      </c>
      <c r="Y321" s="1"/>
      <c r="Z321" s="1"/>
      <c r="AA321" s="1"/>
    </row>
    <row r="322">
      <c r="A322" s="1"/>
      <c r="B322" s="14">
        <f t="shared" si="9"/>
        <v>47</v>
      </c>
      <c r="C322" s="15" t="str">
        <f t="shared" si="1"/>
        <v>enero</v>
      </c>
      <c r="D322" s="15">
        <f t="shared" si="2"/>
        <v>5</v>
      </c>
      <c r="E322" s="16" t="str">
        <f t="shared" si="3"/>
        <v>viernes</v>
      </c>
      <c r="F322" s="15">
        <f t="shared" si="4"/>
        <v>30</v>
      </c>
      <c r="G322" s="15" t="s">
        <v>23</v>
      </c>
      <c r="H322" s="3">
        <f>'AFI-F5'!$G$3</f>
        <v>45688</v>
      </c>
      <c r="I322" s="24">
        <f>'AFI-F5'!B51</f>
        <v>46052</v>
      </c>
      <c r="J322" s="2">
        <f>'AFI-F5'!C51</f>
        <v>9980577</v>
      </c>
      <c r="K322" s="2" t="str">
        <f>'AFI-F5'!D51</f>
        <v>Luís Antonio Cruz Gargate</v>
      </c>
      <c r="L322" s="2" t="str">
        <f>'AFI-F5'!E51</f>
        <v>gargate_74@hotmail.com</v>
      </c>
      <c r="M322" s="2" t="str">
        <f>'AFI-F5'!F51</f>
        <v>CARABAYLLO</v>
      </c>
      <c r="N322" s="2" t="str">
        <f>'AFI-F5'!G51</f>
        <v>998 165 695</v>
      </c>
      <c r="O322" s="2" t="str">
        <f>'AFI-F5'!H51</f>
        <v/>
      </c>
      <c r="P322" s="2" t="str">
        <f>'AFI-F5'!I51</f>
        <v>X</v>
      </c>
      <c r="Q322" s="2">
        <f>'AFI-F5'!J51</f>
        <v>200</v>
      </c>
      <c r="R322" s="2" t="str">
        <f>'AFI-F5'!K51</f>
        <v/>
      </c>
      <c r="S322" s="2" t="str">
        <f>'AFI-F5'!L51</f>
        <v>PAGO</v>
      </c>
      <c r="T322" s="2" t="str">
        <f>'AFI-F5'!M51</f>
        <v>PLIN JL</v>
      </c>
      <c r="U322" s="2">
        <f>'AFI-F5'!N51</f>
        <v>200</v>
      </c>
      <c r="V322" s="2" t="str">
        <f>'AFI-F5'!O51</f>
        <v/>
      </c>
      <c r="W322" s="2" t="str">
        <f>'AFI-F5'!P51</f>
        <v>FH</v>
      </c>
      <c r="X322" s="5">
        <f>'AFI-F5'!Q51</f>
        <v>200</v>
      </c>
      <c r="Y322" s="1"/>
      <c r="Z322" s="1"/>
      <c r="AA322" s="1"/>
    </row>
    <row r="323">
      <c r="A323" s="1"/>
      <c r="B323" s="14">
        <f t="shared" si="9"/>
        <v>48</v>
      </c>
      <c r="C323" s="15" t="str">
        <f t="shared" si="1"/>
        <v>enero</v>
      </c>
      <c r="D323" s="15">
        <f t="shared" si="2"/>
        <v>5</v>
      </c>
      <c r="E323" s="16" t="str">
        <f t="shared" si="3"/>
        <v>viernes</v>
      </c>
      <c r="F323" s="15">
        <f t="shared" si="4"/>
        <v>30</v>
      </c>
      <c r="G323" s="15" t="s">
        <v>23</v>
      </c>
      <c r="H323" s="3">
        <f>'AFI-F5'!$G$3</f>
        <v>45688</v>
      </c>
      <c r="I323" s="24">
        <f>'AFI-F5'!B52</f>
        <v>46052</v>
      </c>
      <c r="J323" s="2" t="str">
        <f>'AFI-F5'!C52</f>
        <v>2- 47608434</v>
      </c>
      <c r="K323" s="2" t="str">
        <f>'AFI-F5'!D52</f>
        <v>Jherson Zapata Quintana</v>
      </c>
      <c r="L323" s="2" t="str">
        <f>'AFI-F5'!E52</f>
        <v>- jhersonzapata@gmail.com</v>
      </c>
      <c r="M323" s="2" t="str">
        <f>'AFI-F5'!F52</f>
        <v>3- Cercado de Lima</v>
      </c>
      <c r="N323" s="2" t="str">
        <f>'AFI-F5'!G52</f>
        <v>938 960 593</v>
      </c>
      <c r="O323" s="2" t="str">
        <f>'AFI-F5'!H52</f>
        <v/>
      </c>
      <c r="P323" s="2" t="str">
        <f>'AFI-F5'!I52</f>
        <v>X</v>
      </c>
      <c r="Q323" s="2">
        <f>'AFI-F5'!J52</f>
        <v>85</v>
      </c>
      <c r="R323" s="2">
        <f>'AFI-F5'!K52</f>
        <v>85</v>
      </c>
      <c r="S323" s="2" t="str">
        <f>'AFI-F5'!L52</f>
        <v>COBR</v>
      </c>
      <c r="T323" s="2" t="str">
        <f>'AFI-F5'!M52</f>
        <v>PLIN JL</v>
      </c>
      <c r="U323" s="2">
        <f>'AFI-F5'!N52</f>
        <v>85</v>
      </c>
      <c r="V323" s="2">
        <f>'AFI-F5'!O52</f>
        <v>85</v>
      </c>
      <c r="W323" s="2" t="str">
        <f>'AFI-F5'!P52</f>
        <v>Sofia</v>
      </c>
      <c r="X323" s="5">
        <f>'AFI-F5'!Q52</f>
        <v>170</v>
      </c>
      <c r="Y323" s="1"/>
      <c r="Z323" s="1"/>
      <c r="AA323" s="1"/>
    </row>
    <row r="324">
      <c r="A324" s="1"/>
      <c r="B324" s="14">
        <f t="shared" si="9"/>
        <v>49</v>
      </c>
      <c r="C324" s="15" t="str">
        <f t="shared" si="1"/>
        <v>enero</v>
      </c>
      <c r="D324" s="15">
        <f t="shared" si="2"/>
        <v>5</v>
      </c>
      <c r="E324" s="16" t="str">
        <f t="shared" si="3"/>
        <v>viernes</v>
      </c>
      <c r="F324" s="15">
        <f t="shared" si="4"/>
        <v>30</v>
      </c>
      <c r="G324" s="15" t="s">
        <v>23</v>
      </c>
      <c r="H324" s="3">
        <f>'AFI-F5'!$G$3</f>
        <v>45688</v>
      </c>
      <c r="I324" s="24">
        <f>'AFI-F5'!B53</f>
        <v>46052</v>
      </c>
      <c r="J324" s="2">
        <f>'AFI-F5'!C53</f>
        <v>40585729</v>
      </c>
      <c r="K324" s="2" t="str">
        <f>'AFI-F5'!D53</f>
        <v>Marco Burgos</v>
      </c>
      <c r="L324" s="2" t="str">
        <f>'AFI-F5'!E53</f>
        <v/>
      </c>
      <c r="M324" s="2" t="str">
        <f>'AFI-F5'!F53</f>
        <v>3- Cercado de Lima</v>
      </c>
      <c r="N324" s="2" t="str">
        <f>'AFI-F5'!G53</f>
        <v>939 960 593</v>
      </c>
      <c r="O324" s="2" t="str">
        <f>'AFI-F5'!H53</f>
        <v/>
      </c>
      <c r="P324" s="2" t="str">
        <f>'AFI-F5'!I53</f>
        <v>X</v>
      </c>
      <c r="Q324" s="2">
        <f>'AFI-F5'!J53</f>
        <v>85</v>
      </c>
      <c r="R324" s="2">
        <f>'AFI-F5'!K53</f>
        <v>85</v>
      </c>
      <c r="S324" s="2" t="str">
        <f>'AFI-F5'!L53</f>
        <v>COBR</v>
      </c>
      <c r="T324" s="2" t="str">
        <f>'AFI-F5'!M53</f>
        <v>PLIN JL</v>
      </c>
      <c r="U324" s="2">
        <f>'AFI-F5'!N53</f>
        <v>85</v>
      </c>
      <c r="V324" s="2">
        <f>'AFI-F5'!O53</f>
        <v>85</v>
      </c>
      <c r="W324" s="2" t="str">
        <f>'AFI-F5'!P53</f>
        <v>Sofia</v>
      </c>
      <c r="X324" s="5">
        <f>'AFI-F5'!Q53</f>
        <v>170</v>
      </c>
      <c r="Y324" s="1"/>
      <c r="Z324" s="1"/>
      <c r="AA324" s="1"/>
    </row>
    <row r="325">
      <c r="A325" s="1"/>
      <c r="B325" s="14">
        <f t="shared" si="9"/>
        <v>50</v>
      </c>
      <c r="C325" s="15" t="str">
        <f t="shared" si="1"/>
        <v>enero</v>
      </c>
      <c r="D325" s="15">
        <f t="shared" si="2"/>
        <v>5</v>
      </c>
      <c r="E325" s="16" t="str">
        <f t="shared" si="3"/>
        <v>viernes</v>
      </c>
      <c r="F325" s="15">
        <f t="shared" si="4"/>
        <v>30</v>
      </c>
      <c r="G325" s="15" t="s">
        <v>23</v>
      </c>
      <c r="H325" s="3">
        <f>'AFI-F5'!$G$3</f>
        <v>45688</v>
      </c>
      <c r="I325" s="24">
        <f>'AFI-F5'!B54</f>
        <v>46052</v>
      </c>
      <c r="J325" s="2">
        <f>'AFI-F5'!C54</f>
        <v>77204820</v>
      </c>
      <c r="K325" s="2" t="str">
        <f>'AFI-F5'!D54</f>
        <v>Edwin Osorio</v>
      </c>
      <c r="L325" s="2" t="str">
        <f>'AFI-F5'!E54</f>
        <v/>
      </c>
      <c r="M325" s="2" t="str">
        <f>'AFI-F5'!F54</f>
        <v>3- Cercado de Lima</v>
      </c>
      <c r="N325" s="2" t="str">
        <f>'AFI-F5'!G54</f>
        <v>940 960 593</v>
      </c>
      <c r="O325" s="2" t="str">
        <f>'AFI-F5'!H54</f>
        <v/>
      </c>
      <c r="P325" s="2" t="str">
        <f>'AFI-F5'!I54</f>
        <v>X</v>
      </c>
      <c r="Q325" s="2">
        <f>'AFI-F5'!J54</f>
        <v>85</v>
      </c>
      <c r="R325" s="2">
        <f>'AFI-F5'!K54</f>
        <v>85</v>
      </c>
      <c r="S325" s="2" t="str">
        <f>'AFI-F5'!L54</f>
        <v>COBR</v>
      </c>
      <c r="T325" s="2" t="str">
        <f>'AFI-F5'!M54</f>
        <v>PLIN JL</v>
      </c>
      <c r="U325" s="2">
        <f>'AFI-F5'!N54</f>
        <v>85</v>
      </c>
      <c r="V325" s="2">
        <f>'AFI-F5'!O54</f>
        <v>85</v>
      </c>
      <c r="W325" s="2" t="str">
        <f>'AFI-F5'!P54</f>
        <v>Sofia</v>
      </c>
      <c r="X325" s="5">
        <f>'AFI-F5'!Q54</f>
        <v>170</v>
      </c>
      <c r="Y325" s="1"/>
      <c r="Z325" s="1"/>
      <c r="AA325" s="1"/>
    </row>
    <row r="326">
      <c r="A326" s="1"/>
      <c r="B326" s="14">
        <f t="shared" si="9"/>
        <v>51</v>
      </c>
      <c r="C326" s="15" t="str">
        <f t="shared" si="1"/>
        <v>enero</v>
      </c>
      <c r="D326" s="15">
        <f t="shared" si="2"/>
        <v>5</v>
      </c>
      <c r="E326" s="16" t="str">
        <f t="shared" si="3"/>
        <v>viernes</v>
      </c>
      <c r="F326" s="15">
        <f t="shared" si="4"/>
        <v>30</v>
      </c>
      <c r="G326" s="15" t="s">
        <v>23</v>
      </c>
      <c r="H326" s="3">
        <f>'AFI-F5'!$G$3</f>
        <v>45688</v>
      </c>
      <c r="I326" s="24">
        <f>'AFI-F5'!B55</f>
        <v>46052</v>
      </c>
      <c r="J326" s="2" t="str">
        <f>'AFI-F5'!C55</f>
        <v/>
      </c>
      <c r="K326" s="2" t="str">
        <f>'AFI-F5'!D55</f>
        <v>RICARDO RUIZ CHAVEZ</v>
      </c>
      <c r="L326" s="2" t="str">
        <f>'AFI-F5'!E55</f>
        <v/>
      </c>
      <c r="M326" s="2" t="str">
        <f>'AFI-F5'!F55</f>
        <v> </v>
      </c>
      <c r="N326" s="2" t="str">
        <f>'AFI-F5'!G55</f>
        <v>955 880 422</v>
      </c>
      <c r="O326" s="2" t="str">
        <f>'AFI-F5'!H55</f>
        <v>X</v>
      </c>
      <c r="P326" s="2" t="str">
        <f>'AFI-F5'!I55</f>
        <v/>
      </c>
      <c r="Q326" s="2">
        <f>'AFI-F5'!J55</f>
        <v>50</v>
      </c>
      <c r="R326" s="2">
        <f>'AFI-F5'!K55</f>
        <v>125</v>
      </c>
      <c r="S326" s="2" t="str">
        <f>'AFI-F5'!L55</f>
        <v>COBR</v>
      </c>
      <c r="T326" s="2" t="str">
        <f>'AFI-F5'!M55</f>
        <v>PLIN JL</v>
      </c>
      <c r="U326" s="2">
        <f>'AFI-F5'!N55</f>
        <v>50</v>
      </c>
      <c r="V326" s="2">
        <f>'AFI-F5'!O55</f>
        <v>125</v>
      </c>
      <c r="W326" s="2" t="str">
        <f>'AFI-F5'!P55</f>
        <v>Greici</v>
      </c>
      <c r="X326" s="5">
        <f>'AFI-F5'!Q55</f>
        <v>175</v>
      </c>
      <c r="Y326" s="1"/>
      <c r="Z326" s="1"/>
      <c r="AA326" s="1"/>
    </row>
    <row r="327">
      <c r="A327" s="1"/>
      <c r="B327" s="14">
        <f t="shared" si="9"/>
        <v>52</v>
      </c>
      <c r="C327" s="15" t="str">
        <f t="shared" si="1"/>
        <v>enero</v>
      </c>
      <c r="D327" s="15">
        <f t="shared" si="2"/>
        <v>5</v>
      </c>
      <c r="E327" s="16" t="str">
        <f t="shared" si="3"/>
        <v>viernes</v>
      </c>
      <c r="F327" s="15">
        <f t="shared" si="4"/>
        <v>30</v>
      </c>
      <c r="G327" s="15" t="s">
        <v>23</v>
      </c>
      <c r="H327" s="3">
        <f>'AFI-F5'!$G$3</f>
        <v>45688</v>
      </c>
      <c r="I327" s="24">
        <f>'AFI-F5'!B56</f>
        <v>46052</v>
      </c>
      <c r="J327" s="2" t="str">
        <f>'AFI-F5'!C56</f>
        <v/>
      </c>
      <c r="K327" s="2" t="str">
        <f>'AFI-F5'!D56</f>
        <v>RAFAEL RUIZ VASQUEZ</v>
      </c>
      <c r="L327" s="2" t="str">
        <f>'AFI-F5'!E56</f>
        <v/>
      </c>
      <c r="M327" s="2" t="str">
        <f>'AFI-F5'!F56</f>
        <v/>
      </c>
      <c r="N327" s="2" t="str">
        <f>'AFI-F5'!G56</f>
        <v>955 880 422</v>
      </c>
      <c r="O327" s="2" t="str">
        <f>'AFI-F5'!H56</f>
        <v>X</v>
      </c>
      <c r="P327" s="2" t="str">
        <f>'AFI-F5'!I56</f>
        <v/>
      </c>
      <c r="Q327" s="2">
        <f>'AFI-F5'!J56</f>
        <v>50</v>
      </c>
      <c r="R327" s="2">
        <f>'AFI-F5'!K56</f>
        <v>125</v>
      </c>
      <c r="S327" s="2" t="str">
        <f>'AFI-F5'!L56</f>
        <v>COBR</v>
      </c>
      <c r="T327" s="2" t="str">
        <f>'AFI-F5'!M56</f>
        <v>PLIN JL</v>
      </c>
      <c r="U327" s="2">
        <f>'AFI-F5'!N56</f>
        <v>50</v>
      </c>
      <c r="V327" s="2">
        <f>'AFI-F5'!O56</f>
        <v>125</v>
      </c>
      <c r="W327" s="2" t="str">
        <f>'AFI-F5'!P56</f>
        <v>Greici</v>
      </c>
      <c r="X327" s="5">
        <f>'AFI-F5'!Q56</f>
        <v>175</v>
      </c>
      <c r="Y327" s="1"/>
      <c r="Z327" s="1"/>
      <c r="AA327" s="1"/>
    </row>
    <row r="328">
      <c r="A328" s="1"/>
      <c r="B328" s="14">
        <f t="shared" si="9"/>
        <v>53</v>
      </c>
      <c r="C328" s="15" t="str">
        <f t="shared" si="1"/>
        <v>enero</v>
      </c>
      <c r="D328" s="15">
        <f t="shared" si="2"/>
        <v>5</v>
      </c>
      <c r="E328" s="16" t="str">
        <f t="shared" si="3"/>
        <v>viernes</v>
      </c>
      <c r="F328" s="15">
        <f t="shared" si="4"/>
        <v>30</v>
      </c>
      <c r="G328" s="15" t="s">
        <v>23</v>
      </c>
      <c r="H328" s="3">
        <f>'AFI-F5'!$G$3</f>
        <v>45688</v>
      </c>
      <c r="I328" s="24">
        <f>'AFI-F5'!B57</f>
        <v>46052</v>
      </c>
      <c r="J328" s="2">
        <f>'AFI-F5'!C57</f>
        <v>72186264</v>
      </c>
      <c r="K328" s="2" t="str">
        <f>'AFI-F5'!D57</f>
        <v>LUIS BARRA</v>
      </c>
      <c r="L328" s="2" t="str">
        <f>'AFI-F5'!E57</f>
        <v/>
      </c>
      <c r="M328" s="2" t="str">
        <f>'AFI-F5'!F57</f>
        <v/>
      </c>
      <c r="N328" s="2" t="str">
        <f>'AFI-F5'!G57</f>
        <v/>
      </c>
      <c r="O328" s="2" t="str">
        <f>'AFI-F5'!H57</f>
        <v>x</v>
      </c>
      <c r="P328" s="2" t="str">
        <f>'AFI-F5'!I57</f>
        <v/>
      </c>
      <c r="Q328" s="2">
        <f>'AFI-F5'!J57</f>
        <v>100</v>
      </c>
      <c r="R328" s="2">
        <f>'AFI-F5'!K57</f>
        <v>100</v>
      </c>
      <c r="S328" s="2" t="str">
        <f>'AFI-F5'!L57</f>
        <v>COBR</v>
      </c>
      <c r="T328" s="2" t="str">
        <f>'AFI-F5'!M57</f>
        <v>PLIN JL</v>
      </c>
      <c r="U328" s="2">
        <f>'AFI-F5'!N57</f>
        <v>100</v>
      </c>
      <c r="V328" s="2">
        <f>'AFI-F5'!O57</f>
        <v>100</v>
      </c>
      <c r="W328" s="2" t="str">
        <f>'AFI-F5'!P57</f>
        <v>Katherine</v>
      </c>
      <c r="X328" s="5">
        <f>'AFI-F5'!Q57</f>
        <v>200</v>
      </c>
      <c r="Y328" s="1"/>
      <c r="Z328" s="1"/>
      <c r="AA328" s="1"/>
    </row>
    <row r="329">
      <c r="A329" s="1"/>
      <c r="B329" s="14">
        <f t="shared" si="9"/>
        <v>54</v>
      </c>
      <c r="C329" s="15" t="str">
        <f t="shared" si="1"/>
        <v>enero</v>
      </c>
      <c r="D329" s="15">
        <f t="shared" si="2"/>
        <v>5</v>
      </c>
      <c r="E329" s="16" t="str">
        <f t="shared" si="3"/>
        <v>viernes</v>
      </c>
      <c r="F329" s="15">
        <f t="shared" si="4"/>
        <v>30</v>
      </c>
      <c r="G329" s="15" t="s">
        <v>23</v>
      </c>
      <c r="H329" s="3">
        <f>'AFI-F5'!$G$3</f>
        <v>45688</v>
      </c>
      <c r="I329" s="24">
        <f>'AFI-F5'!B58</f>
        <v>46052</v>
      </c>
      <c r="J329" s="2" t="str">
        <f>'AFI-F5'!C58</f>
        <v/>
      </c>
      <c r="K329" s="2" t="str">
        <f>'AFI-F5'!D58</f>
        <v>Elio Huayllani candenas</v>
      </c>
      <c r="L329" s="2" t="str">
        <f>'AFI-F5'!E58</f>
        <v> </v>
      </c>
      <c r="M329" s="2" t="str">
        <f>'AFI-F5'!F58</f>
        <v>LA VICTORIA</v>
      </c>
      <c r="N329" s="2" t="str">
        <f>'AFI-F5'!G58</f>
        <v>950 228 116</v>
      </c>
      <c r="O329" s="2" t="str">
        <f>'AFI-F5'!H58</f>
        <v>X</v>
      </c>
      <c r="P329" s="2" t="str">
        <f>'AFI-F5'!I58</f>
        <v/>
      </c>
      <c r="Q329" s="2">
        <f>'AFI-F5'!J58</f>
        <v>50</v>
      </c>
      <c r="R329" s="2">
        <f>'AFI-F5'!K58</f>
        <v>150</v>
      </c>
      <c r="S329" s="2" t="str">
        <f>'AFI-F5'!L58</f>
        <v>COBR</v>
      </c>
      <c r="T329" s="2" t="str">
        <f>'AFI-F5'!M58</f>
        <v>PLIN JL</v>
      </c>
      <c r="U329" s="2">
        <f>'AFI-F5'!N58</f>
        <v>50</v>
      </c>
      <c r="V329" s="2">
        <f>'AFI-F5'!O58</f>
        <v>150</v>
      </c>
      <c r="W329" s="2" t="str">
        <f>'AFI-F5'!P58</f>
        <v>Yadhira</v>
      </c>
      <c r="X329" s="5">
        <f>'AFI-F5'!Q58</f>
        <v>200</v>
      </c>
      <c r="Y329" s="1"/>
      <c r="Z329" s="1"/>
      <c r="AA329" s="1"/>
    </row>
    <row r="330">
      <c r="A330" s="1"/>
      <c r="B330" s="14">
        <f t="shared" si="9"/>
        <v>55</v>
      </c>
      <c r="C330" s="15" t="str">
        <f t="shared" si="1"/>
        <v>enero</v>
      </c>
      <c r="D330" s="15">
        <f t="shared" si="2"/>
        <v>5</v>
      </c>
      <c r="E330" s="16" t="str">
        <f t="shared" si="3"/>
        <v>viernes</v>
      </c>
      <c r="F330" s="15">
        <f t="shared" si="4"/>
        <v>30</v>
      </c>
      <c r="G330" s="15" t="s">
        <v>23</v>
      </c>
      <c r="H330" s="3">
        <f>'AFI-F5'!$G$3</f>
        <v>45688</v>
      </c>
      <c r="I330" s="24">
        <f>'AFI-F5'!B59</f>
        <v>46052</v>
      </c>
      <c r="J330" s="2">
        <f>'AFI-F5'!C59</f>
        <v>75968050</v>
      </c>
      <c r="K330" s="2" t="str">
        <f>'AFI-F5'!D59</f>
        <v>Alberto Jara</v>
      </c>
      <c r="L330" s="2" t="str">
        <f>'AFI-F5'!E59</f>
        <v/>
      </c>
      <c r="M330" s="2" t="str">
        <f>'AFI-F5'!F59</f>
        <v/>
      </c>
      <c r="N330" s="2">
        <f>'AFI-F5'!G59</f>
        <v>51986381281</v>
      </c>
      <c r="O330" s="2" t="str">
        <f>'AFI-F5'!H59</f>
        <v/>
      </c>
      <c r="P330" s="2" t="str">
        <f>'AFI-F5'!I59</f>
        <v>X</v>
      </c>
      <c r="Q330" s="2">
        <f>'AFI-F5'!J59</f>
        <v>90</v>
      </c>
      <c r="R330" s="2">
        <f>'AFI-F5'!K59</f>
        <v>90</v>
      </c>
      <c r="S330" s="2" t="str">
        <f>'AFI-F5'!L59</f>
        <v>COBR</v>
      </c>
      <c r="T330" s="2" t="str">
        <f>'AFI-F5'!M59</f>
        <v>PLIN JL</v>
      </c>
      <c r="U330" s="2">
        <f>'AFI-F5'!N59</f>
        <v>90</v>
      </c>
      <c r="V330" s="2">
        <f>'AFI-F5'!O59</f>
        <v>90</v>
      </c>
      <c r="W330" s="2" t="str">
        <f>'AFI-F5'!P59</f>
        <v>Sofia</v>
      </c>
      <c r="X330" s="5">
        <f>'AFI-F5'!Q59</f>
        <v>180</v>
      </c>
      <c r="Y330" s="1"/>
      <c r="Z330" s="1"/>
      <c r="AA330" s="1"/>
    </row>
    <row r="331">
      <c r="A331" s="1"/>
      <c r="B331" s="14">
        <f t="shared" si="9"/>
        <v>56</v>
      </c>
      <c r="C331" s="15" t="str">
        <f t="shared" si="1"/>
        <v>enero</v>
      </c>
      <c r="D331" s="15">
        <f t="shared" si="2"/>
        <v>5</v>
      </c>
      <c r="E331" s="16" t="str">
        <f t="shared" si="3"/>
        <v>viernes</v>
      </c>
      <c r="F331" s="15">
        <f t="shared" si="4"/>
        <v>30</v>
      </c>
      <c r="G331" s="15" t="s">
        <v>23</v>
      </c>
      <c r="H331" s="3">
        <f>'AFI-F5'!$G$3</f>
        <v>45688</v>
      </c>
      <c r="I331" s="24">
        <f>'AFI-F5'!B60</f>
        <v>46052</v>
      </c>
      <c r="J331" s="2">
        <f>'AFI-F5'!C60</f>
        <v>74609696</v>
      </c>
      <c r="K331" s="2" t="str">
        <f>'AFI-F5'!D60</f>
        <v>Brigitte Oviedo Pérez
</v>
      </c>
      <c r="L331" s="2" t="str">
        <f>'AFI-F5'!E60</f>
        <v/>
      </c>
      <c r="M331" s="2" t="str">
        <f>'AFI-F5'!F60</f>
        <v/>
      </c>
      <c r="N331" s="2">
        <f>'AFI-F5'!G60</f>
        <v>51986381281</v>
      </c>
      <c r="O331" s="2" t="str">
        <f>'AFI-F5'!H60</f>
        <v/>
      </c>
      <c r="P331" s="2" t="str">
        <f>'AFI-F5'!I60</f>
        <v>X</v>
      </c>
      <c r="Q331" s="2">
        <f>'AFI-F5'!J60</f>
        <v>90</v>
      </c>
      <c r="R331" s="2">
        <f>'AFI-F5'!K60</f>
        <v>90</v>
      </c>
      <c r="S331" s="2" t="str">
        <f>'AFI-F5'!L60</f>
        <v>COBR</v>
      </c>
      <c r="T331" s="2" t="str">
        <f>'AFI-F5'!M60</f>
        <v>PLIN JL</v>
      </c>
      <c r="U331" s="2">
        <f>'AFI-F5'!N60</f>
        <v>90</v>
      </c>
      <c r="V331" s="2">
        <f>'AFI-F5'!O60</f>
        <v>90</v>
      </c>
      <c r="W331" s="2" t="str">
        <f>'AFI-F5'!P60</f>
        <v>Sofia</v>
      </c>
      <c r="X331" s="5">
        <f>'AFI-F5'!Q60</f>
        <v>180</v>
      </c>
      <c r="Y331" s="1"/>
      <c r="Z331" s="1"/>
      <c r="AA331" s="1"/>
    </row>
    <row r="332">
      <c r="A332" s="1"/>
      <c r="B332" s="14">
        <f t="shared" si="9"/>
        <v>57</v>
      </c>
      <c r="C332" s="15" t="str">
        <f t="shared" si="1"/>
        <v>enero</v>
      </c>
      <c r="D332" s="15">
        <f t="shared" si="2"/>
        <v>5</v>
      </c>
      <c r="E332" s="16" t="str">
        <f t="shared" si="3"/>
        <v>viernes</v>
      </c>
      <c r="F332" s="15">
        <f t="shared" si="4"/>
        <v>30</v>
      </c>
      <c r="G332" s="15" t="s">
        <v>23</v>
      </c>
      <c r="H332" s="3">
        <f>'AFI-F5'!$G$3</f>
        <v>45688</v>
      </c>
      <c r="I332" s="24">
        <f>'AFI-F5'!B61</f>
        <v>46052</v>
      </c>
      <c r="J332" s="2" t="str">
        <f>'AFI-F5'!C61</f>
        <v/>
      </c>
      <c r="K332" s="2" t="str">
        <f>'AFI-F5'!D61</f>
        <v>Lucas Antonio prado Guerrero</v>
      </c>
      <c r="L332" s="2" t="str">
        <f>'AFI-F5'!E61</f>
        <v/>
      </c>
      <c r="M332" s="2" t="str">
        <f>'AFI-F5'!F61</f>
        <v/>
      </c>
      <c r="N332" s="2" t="str">
        <f>'AFI-F5'!G61</f>
        <v/>
      </c>
      <c r="O332" s="2" t="str">
        <f>'AFI-F5'!H61</f>
        <v/>
      </c>
      <c r="P332" s="2" t="str">
        <f>'AFI-F5'!I61</f>
        <v>x</v>
      </c>
      <c r="Q332" s="2">
        <f>'AFI-F5'!J61</f>
        <v>160</v>
      </c>
      <c r="R332" s="2" t="str">
        <f>'AFI-F5'!K61</f>
        <v/>
      </c>
      <c r="S332" s="2" t="str">
        <f>'AFI-F5'!L61</f>
        <v>PAGO</v>
      </c>
      <c r="T332" s="2" t="str">
        <f>'AFI-F5'!M61</f>
        <v>PLIN JL</v>
      </c>
      <c r="U332" s="2">
        <f>'AFI-F5'!N61</f>
        <v>160</v>
      </c>
      <c r="V332" s="2" t="str">
        <f>'AFI-F5'!O61</f>
        <v/>
      </c>
      <c r="W332" s="2" t="str">
        <f>'AFI-F5'!P61</f>
        <v>Katherine</v>
      </c>
      <c r="X332" s="5">
        <f>'AFI-F5'!Q61</f>
        <v>160</v>
      </c>
      <c r="Y332" s="1"/>
      <c r="Z332" s="1"/>
      <c r="AA332" s="1"/>
    </row>
    <row r="333">
      <c r="A333" s="1"/>
      <c r="B333" s="14">
        <f t="shared" si="9"/>
        <v>58</v>
      </c>
      <c r="C333" s="15" t="str">
        <f t="shared" si="1"/>
        <v>enero</v>
      </c>
      <c r="D333" s="15">
        <f t="shared" si="2"/>
        <v>5</v>
      </c>
      <c r="E333" s="16" t="str">
        <f t="shared" si="3"/>
        <v>viernes</v>
      </c>
      <c r="F333" s="15">
        <f t="shared" si="4"/>
        <v>30</v>
      </c>
      <c r="G333" s="15" t="s">
        <v>23</v>
      </c>
      <c r="H333" s="3">
        <f>'AFI-F5'!$G$3</f>
        <v>45688</v>
      </c>
      <c r="I333" s="24">
        <f>'AFI-F5'!B62</f>
        <v>46052</v>
      </c>
      <c r="J333" s="2" t="str">
        <f>'AFI-F5'!C62</f>
        <v/>
      </c>
      <c r="K333" s="2" t="str">
        <f>'AFI-F5'!D62</f>
        <v>Camila Marroqui</v>
      </c>
      <c r="L333" s="2" t="str">
        <f>'AFI-F5'!E62</f>
        <v/>
      </c>
      <c r="M333" s="2" t="str">
        <f>'AFI-F5'!F62</f>
        <v/>
      </c>
      <c r="N333" s="2" t="str">
        <f>'AFI-F5'!G62</f>
        <v/>
      </c>
      <c r="O333" s="2" t="str">
        <f>'AFI-F5'!H62</f>
        <v>x</v>
      </c>
      <c r="P333" s="2" t="str">
        <f>'AFI-F5'!I62</f>
        <v/>
      </c>
      <c r="Q333" s="2">
        <f>'AFI-F5'!J62</f>
        <v>0</v>
      </c>
      <c r="R333" s="2" t="str">
        <f>'AFI-F5'!K62</f>
        <v/>
      </c>
      <c r="S333" s="2" t="str">
        <f>'AFI-F5'!L62</f>
        <v/>
      </c>
      <c r="T333" s="2" t="str">
        <f>'AFI-F5'!M62</f>
        <v/>
      </c>
      <c r="U333" s="2" t="str">
        <f>'AFI-F5'!N62</f>
        <v/>
      </c>
      <c r="V333" s="2" t="str">
        <f>'AFI-F5'!O62</f>
        <v/>
      </c>
      <c r="W333" s="2" t="str">
        <f>'AFI-F5'!P62</f>
        <v/>
      </c>
      <c r="X333" s="5">
        <f>'AFI-F5'!Q62</f>
        <v>0</v>
      </c>
      <c r="Y333" s="1"/>
      <c r="Z333" s="1"/>
      <c r="AA333" s="1"/>
    </row>
    <row r="334">
      <c r="A334" s="1"/>
      <c r="B334" s="14">
        <f t="shared" si="9"/>
        <v>59</v>
      </c>
      <c r="C334" s="15" t="str">
        <f t="shared" si="1"/>
        <v>enero</v>
      </c>
      <c r="D334" s="15">
        <f t="shared" si="2"/>
        <v>5</v>
      </c>
      <c r="E334" s="16" t="str">
        <f t="shared" si="3"/>
        <v>viernes</v>
      </c>
      <c r="F334" s="15">
        <f t="shared" si="4"/>
        <v>30</v>
      </c>
      <c r="G334" s="15" t="s">
        <v>23</v>
      </c>
      <c r="H334" s="3">
        <f>'AFI-F5'!$G$3</f>
        <v>45688</v>
      </c>
      <c r="I334" s="24">
        <f>'AFI-F5'!B63</f>
        <v>46052</v>
      </c>
      <c r="J334" s="2" t="str">
        <f>'AFI-F5'!C63</f>
        <v/>
      </c>
      <c r="K334" s="2" t="str">
        <f>'AFI-F5'!D63</f>
        <v>Américo Ruiz Gutierrez</v>
      </c>
      <c r="L334" s="2" t="str">
        <f>'AFI-F5'!E63</f>
        <v/>
      </c>
      <c r="M334" s="2" t="str">
        <f>'AFI-F5'!F63</f>
        <v/>
      </c>
      <c r="N334" s="2" t="str">
        <f>'AFI-F5'!G63</f>
        <v/>
      </c>
      <c r="O334" s="2" t="str">
        <f>'AFI-F5'!H63</f>
        <v>X</v>
      </c>
      <c r="P334" s="2" t="str">
        <f>'AFI-F5'!I63</f>
        <v/>
      </c>
      <c r="Q334" s="2">
        <f>'AFI-F5'!J63</f>
        <v>125</v>
      </c>
      <c r="R334" s="2">
        <f>'AFI-F5'!K63</f>
        <v>50</v>
      </c>
      <c r="S334" s="2" t="str">
        <f>'AFI-F5'!L63</f>
        <v>COBR</v>
      </c>
      <c r="T334" s="2" t="str">
        <f>'AFI-F5'!M63</f>
        <v/>
      </c>
      <c r="U334" s="2">
        <f>'AFI-F5'!N63</f>
        <v>125</v>
      </c>
      <c r="V334" s="2">
        <f>'AFI-F5'!O63</f>
        <v>50</v>
      </c>
      <c r="W334" s="2" t="str">
        <f>'AFI-F5'!P63</f>
        <v>Greici</v>
      </c>
      <c r="X334" s="5">
        <f>'AFI-F5'!Q63</f>
        <v>175</v>
      </c>
      <c r="Y334" s="1"/>
      <c r="Z334" s="1"/>
      <c r="AA334" s="1"/>
    </row>
    <row r="335">
      <c r="A335" s="1"/>
      <c r="B335" s="14">
        <f t="shared" si="9"/>
        <v>60</v>
      </c>
      <c r="C335" s="15" t="str">
        <f t="shared" si="1"/>
        <v>enero</v>
      </c>
      <c r="D335" s="15">
        <f t="shared" si="2"/>
        <v>5</v>
      </c>
      <c r="E335" s="16" t="str">
        <f t="shared" si="3"/>
        <v>viernes</v>
      </c>
      <c r="F335" s="15">
        <f t="shared" si="4"/>
        <v>30</v>
      </c>
      <c r="G335" s="15" t="s">
        <v>23</v>
      </c>
      <c r="H335" s="3">
        <f>'AFI-F5'!$G$3</f>
        <v>45688</v>
      </c>
      <c r="I335" s="24">
        <f>'AFI-F5'!B64</f>
        <v>46052</v>
      </c>
      <c r="J335" s="2" t="str">
        <f>'AFI-F5'!C64</f>
        <v/>
      </c>
      <c r="K335" s="2" t="str">
        <f>'AFI-F5'!D64</f>
        <v>Frank Goytisolo Ruiz</v>
      </c>
      <c r="L335" s="2" t="str">
        <f>'AFI-F5'!E64</f>
        <v/>
      </c>
      <c r="M335" s="2" t="str">
        <f>'AFI-F5'!F64</f>
        <v/>
      </c>
      <c r="N335" s="2" t="str">
        <f>'AFI-F5'!G64</f>
        <v/>
      </c>
      <c r="O335" s="2" t="str">
        <f>'AFI-F5'!H64</f>
        <v>X</v>
      </c>
      <c r="P335" s="2" t="str">
        <f>'AFI-F5'!I64</f>
        <v/>
      </c>
      <c r="Q335" s="2">
        <f>'AFI-F5'!J64</f>
        <v>125</v>
      </c>
      <c r="R335" s="2">
        <f>'AFI-F5'!K64</f>
        <v>50</v>
      </c>
      <c r="S335" s="2" t="str">
        <f>'AFI-F5'!L64</f>
        <v>COBR</v>
      </c>
      <c r="T335" s="2" t="str">
        <f>'AFI-F5'!M64</f>
        <v/>
      </c>
      <c r="U335" s="2">
        <f>'AFI-F5'!N64</f>
        <v>125</v>
      </c>
      <c r="V335" s="2">
        <f>'AFI-F5'!O64</f>
        <v>50</v>
      </c>
      <c r="W335" s="2" t="str">
        <f>'AFI-F5'!P64</f>
        <v>Greici</v>
      </c>
      <c r="X335" s="5">
        <f>'AFI-F5'!Q64</f>
        <v>175</v>
      </c>
      <c r="Y335" s="1"/>
      <c r="Z335" s="1"/>
      <c r="AA335" s="1"/>
    </row>
    <row r="336">
      <c r="A336" s="1"/>
      <c r="B336" s="14">
        <f t="shared" si="9"/>
        <v>61</v>
      </c>
      <c r="C336" s="15" t="str">
        <f t="shared" si="1"/>
        <v>enero</v>
      </c>
      <c r="D336" s="15">
        <f t="shared" si="2"/>
        <v>5</v>
      </c>
      <c r="E336" s="16" t="str">
        <f t="shared" si="3"/>
        <v>sábado</v>
      </c>
      <c r="F336" s="15">
        <f t="shared" si="4"/>
        <v>31</v>
      </c>
      <c r="G336" s="15" t="s">
        <v>23</v>
      </c>
      <c r="H336" s="3">
        <f>'AFI-F5'!$G$3</f>
        <v>45688</v>
      </c>
      <c r="I336" s="33">
        <f>'AFI-F5'!B65</f>
        <v>46053</v>
      </c>
      <c r="J336" s="2" t="str">
        <f>'AFI-F5'!C65</f>
        <v/>
      </c>
      <c r="K336" s="2" t="str">
        <f>'AFI-F5'!D65</f>
        <v>ALISON PALOMINO</v>
      </c>
      <c r="L336" s="2" t="str">
        <f>'AFI-F5'!E65</f>
        <v/>
      </c>
      <c r="M336" s="2" t="str">
        <f>'AFI-F5'!F65</f>
        <v/>
      </c>
      <c r="N336" s="2" t="str">
        <f>'AFI-F5'!G65</f>
        <v/>
      </c>
      <c r="O336" s="2" t="str">
        <f>'AFI-F5'!H65</f>
        <v>X</v>
      </c>
      <c r="P336" s="2" t="str">
        <f>'AFI-F5'!I65</f>
        <v/>
      </c>
      <c r="Q336" s="2">
        <f>'AFI-F5'!J65</f>
        <v>190</v>
      </c>
      <c r="R336" s="2" t="str">
        <f>'AFI-F5'!K65</f>
        <v/>
      </c>
      <c r="S336" s="2" t="str">
        <f>'AFI-F5'!L65</f>
        <v>PAGO</v>
      </c>
      <c r="T336" s="2" t="str">
        <f>'AFI-F5'!M65</f>
        <v/>
      </c>
      <c r="U336" s="2">
        <f>'AFI-F5'!N65</f>
        <v>190</v>
      </c>
      <c r="V336" s="2" t="str">
        <f>'AFI-F5'!O65</f>
        <v/>
      </c>
      <c r="W336" s="2" t="str">
        <f>'AFI-F5'!P65</f>
        <v>JL</v>
      </c>
      <c r="X336" s="5">
        <f>'AFI-F5'!Q65</f>
        <v>190</v>
      </c>
      <c r="Y336" s="1"/>
      <c r="Z336" s="1"/>
      <c r="AA336" s="1"/>
    </row>
    <row r="337">
      <c r="A337" s="1"/>
      <c r="B337" s="14">
        <f t="shared" si="9"/>
        <v>62</v>
      </c>
      <c r="C337" s="15" t="str">
        <f t="shared" si="1"/>
        <v>enero</v>
      </c>
      <c r="D337" s="15">
        <f t="shared" si="2"/>
        <v>5</v>
      </c>
      <c r="E337" s="16" t="str">
        <f t="shared" si="3"/>
        <v>viernes</v>
      </c>
      <c r="F337" s="15">
        <f t="shared" si="4"/>
        <v>30</v>
      </c>
      <c r="G337" s="15" t="s">
        <v>23</v>
      </c>
      <c r="H337" s="3">
        <f>'AFI-F5'!$G$3</f>
        <v>45688</v>
      </c>
      <c r="I337" s="24">
        <f>'AFI-F5'!B64</f>
        <v>46052</v>
      </c>
      <c r="J337" s="2" t="str">
        <f>'AFI-F5'!C66</f>
        <v/>
      </c>
      <c r="K337" s="2" t="str">
        <f>'AFI-F5'!D64</f>
        <v>Frank Goytisolo Ruiz</v>
      </c>
      <c r="L337" s="2" t="str">
        <f>'AFI-F5'!E66</f>
        <v/>
      </c>
      <c r="M337" s="2" t="str">
        <f>'AFI-F5'!F66</f>
        <v/>
      </c>
      <c r="N337" s="2" t="str">
        <f>'AFI-F5'!G66</f>
        <v/>
      </c>
      <c r="O337" s="2" t="str">
        <f>'AFI-F5'!H66</f>
        <v>X</v>
      </c>
      <c r="P337" s="2" t="str">
        <f>'AFI-F5'!I66</f>
        <v/>
      </c>
      <c r="Q337" s="2">
        <f>'AFI-F5'!J66</f>
        <v>190</v>
      </c>
      <c r="R337" s="2" t="str">
        <f>'AFI-F5'!K66</f>
        <v/>
      </c>
      <c r="S337" s="2" t="str">
        <f>'AFI-F5'!L66</f>
        <v>PAGO</v>
      </c>
      <c r="T337" s="2" t="str">
        <f>'AFI-F5'!M66</f>
        <v/>
      </c>
      <c r="U337" s="2">
        <f>'AFI-F5'!N66</f>
        <v>190</v>
      </c>
      <c r="V337" s="2" t="str">
        <f>'AFI-F5'!O66</f>
        <v/>
      </c>
      <c r="W337" s="2" t="str">
        <f>'AFI-F5'!P66</f>
        <v>JL</v>
      </c>
      <c r="X337" s="5">
        <f>'AFI-F5'!Q66</f>
        <v>190</v>
      </c>
      <c r="Y337" s="1"/>
      <c r="Z337" s="1"/>
      <c r="AA337" s="1"/>
    </row>
    <row r="338">
      <c r="A338" s="1"/>
      <c r="B338" s="14">
        <f t="shared" si="9"/>
        <v>63</v>
      </c>
      <c r="C338" s="15" t="str">
        <f t="shared" si="1"/>
        <v>diciembre</v>
      </c>
      <c r="D338" s="15">
        <f t="shared" si="2"/>
        <v>52</v>
      </c>
      <c r="E338" s="16" t="str">
        <f t="shared" si="3"/>
        <v>sábado</v>
      </c>
      <c r="F338" s="15">
        <f t="shared" si="4"/>
        <v>30</v>
      </c>
      <c r="G338" s="15" t="s">
        <v>23</v>
      </c>
      <c r="H338" s="3">
        <f>'AFI-F5'!$G$3</f>
        <v>45688</v>
      </c>
      <c r="I338" s="24" t="str">
        <f>'AFI-F5'!B67</f>
        <v/>
      </c>
      <c r="J338" s="2" t="str">
        <f>'AFI-F5'!C67</f>
        <v/>
      </c>
      <c r="K338" s="2" t="str">
        <f>'AFI-F5'!D67</f>
        <v/>
      </c>
      <c r="L338" s="2" t="str">
        <f>'AFI-F5'!E67</f>
        <v/>
      </c>
      <c r="M338" s="2" t="str">
        <f>'AFI-F5'!F67</f>
        <v/>
      </c>
      <c r="N338" s="2" t="str">
        <f>'AFI-F5'!G67</f>
        <v/>
      </c>
      <c r="O338" s="2" t="str">
        <f>'AFI-F5'!H67</f>
        <v/>
      </c>
      <c r="P338" s="2" t="str">
        <f>'AFI-F5'!I67</f>
        <v/>
      </c>
      <c r="Q338" s="2" t="str">
        <f>'AFI-F5'!J67</f>
        <v/>
      </c>
      <c r="R338" s="2" t="str">
        <f>'AFI-F5'!K67</f>
        <v/>
      </c>
      <c r="S338" s="2" t="str">
        <f>'AFI-F5'!L67</f>
        <v/>
      </c>
      <c r="T338" s="2" t="str">
        <f>'AFI-F5'!M67</f>
        <v/>
      </c>
      <c r="U338" s="2" t="str">
        <f>'AFI-F5'!N67</f>
        <v/>
      </c>
      <c r="V338" s="2" t="str">
        <f>'AFI-F5'!O67</f>
        <v/>
      </c>
      <c r="W338" s="2" t="str">
        <f>'AFI-F5'!P67</f>
        <v/>
      </c>
      <c r="X338" s="5">
        <f>'AFI-F5'!Q67</f>
        <v>0</v>
      </c>
      <c r="Y338" s="1"/>
      <c r="Z338" s="1"/>
      <c r="AA338" s="1"/>
    </row>
    <row r="339">
      <c r="A339" s="1"/>
      <c r="B339" s="14">
        <f t="shared" si="9"/>
        <v>64</v>
      </c>
      <c r="C339" s="15" t="str">
        <f t="shared" si="1"/>
        <v>diciembre</v>
      </c>
      <c r="D339" s="15">
        <f t="shared" si="2"/>
        <v>52</v>
      </c>
      <c r="E339" s="16" t="str">
        <f t="shared" si="3"/>
        <v>sábado</v>
      </c>
      <c r="F339" s="15">
        <f t="shared" si="4"/>
        <v>30</v>
      </c>
      <c r="G339" s="15" t="s">
        <v>23</v>
      </c>
      <c r="H339" s="3">
        <f>'AFI-F5'!$G$3</f>
        <v>45688</v>
      </c>
      <c r="I339" s="24" t="str">
        <f>'AFI-F5'!B68</f>
        <v/>
      </c>
      <c r="J339" s="2" t="str">
        <f>'AFI-F5'!C68</f>
        <v/>
      </c>
      <c r="K339" s="2" t="str">
        <f>'AFI-F5'!D68</f>
        <v/>
      </c>
      <c r="L339" s="2" t="str">
        <f>'AFI-F5'!E68</f>
        <v/>
      </c>
      <c r="M339" s="2" t="str">
        <f>'AFI-F5'!F68</f>
        <v/>
      </c>
      <c r="N339" s="2" t="str">
        <f>'AFI-F5'!G68</f>
        <v/>
      </c>
      <c r="O339" s="2" t="str">
        <f>'AFI-F5'!H68</f>
        <v/>
      </c>
      <c r="P339" s="2" t="str">
        <f>'AFI-F5'!I68</f>
        <v/>
      </c>
      <c r="Q339" s="2" t="str">
        <f>'AFI-F5'!J68</f>
        <v/>
      </c>
      <c r="R339" s="2" t="str">
        <f>'AFI-F5'!K68</f>
        <v/>
      </c>
      <c r="S339" s="2" t="str">
        <f>'AFI-F5'!L68</f>
        <v/>
      </c>
      <c r="T339" s="2" t="str">
        <f>'AFI-F5'!M68</f>
        <v/>
      </c>
      <c r="U339" s="2" t="str">
        <f>'AFI-F5'!N68</f>
        <v/>
      </c>
      <c r="V339" s="2" t="str">
        <f>'AFI-F5'!O68</f>
        <v/>
      </c>
      <c r="W339" s="2" t="str">
        <f>'AFI-F5'!P68</f>
        <v/>
      </c>
      <c r="X339" s="5">
        <f>'AFI-F5'!Q68</f>
        <v>0</v>
      </c>
      <c r="Y339" s="1"/>
      <c r="Z339" s="1"/>
      <c r="AA339" s="1"/>
    </row>
    <row r="340">
      <c r="A340" s="1"/>
      <c r="B340" s="14">
        <f t="shared" si="9"/>
        <v>65</v>
      </c>
      <c r="C340" s="15" t="str">
        <f t="shared" si="1"/>
        <v>diciembre</v>
      </c>
      <c r="D340" s="15">
        <f t="shared" si="2"/>
        <v>52</v>
      </c>
      <c r="E340" s="16" t="str">
        <f t="shared" si="3"/>
        <v>sábado</v>
      </c>
      <c r="F340" s="15">
        <f t="shared" si="4"/>
        <v>30</v>
      </c>
      <c r="G340" s="15" t="s">
        <v>23</v>
      </c>
      <c r="H340" s="3">
        <f>'AFI-F5'!$G$3</f>
        <v>45688</v>
      </c>
      <c r="I340" s="24" t="str">
        <f>'AFI-F5'!B69</f>
        <v/>
      </c>
      <c r="J340" s="2" t="str">
        <f>'AFI-F5'!C69</f>
        <v/>
      </c>
      <c r="K340" s="2" t="str">
        <f>'AFI-F5'!D69</f>
        <v/>
      </c>
      <c r="L340" s="2" t="str">
        <f>'AFI-F5'!E69</f>
        <v/>
      </c>
      <c r="M340" s="2" t="str">
        <f>'AFI-F5'!F69</f>
        <v/>
      </c>
      <c r="N340" s="2" t="str">
        <f>'AFI-F5'!G69</f>
        <v/>
      </c>
      <c r="O340" s="2" t="str">
        <f>'AFI-F5'!H69</f>
        <v/>
      </c>
      <c r="P340" s="2" t="str">
        <f>'AFI-F5'!I69</f>
        <v/>
      </c>
      <c r="Q340" s="2" t="str">
        <f>'AFI-F5'!J69</f>
        <v/>
      </c>
      <c r="R340" s="2" t="str">
        <f>'AFI-F5'!K69</f>
        <v/>
      </c>
      <c r="S340" s="2" t="str">
        <f>'AFI-F5'!L69</f>
        <v/>
      </c>
      <c r="T340" s="2" t="str">
        <f>'AFI-F5'!M69</f>
        <v/>
      </c>
      <c r="U340" s="2" t="str">
        <f>'AFI-F5'!N69</f>
        <v/>
      </c>
      <c r="V340" s="2" t="str">
        <f>'AFI-F5'!O69</f>
        <v/>
      </c>
      <c r="W340" s="2" t="str">
        <f>'AFI-F5'!P69</f>
        <v/>
      </c>
      <c r="X340" s="5">
        <f>'AFI-F5'!Q69</f>
        <v>0</v>
      </c>
      <c r="Y340" s="1"/>
      <c r="Z340" s="1"/>
      <c r="AA340" s="1"/>
    </row>
    <row r="341">
      <c r="A341" s="1"/>
      <c r="B341" s="14">
        <f t="shared" si="9"/>
        <v>66</v>
      </c>
      <c r="C341" s="15" t="str">
        <f t="shared" si="1"/>
        <v>diciembre</v>
      </c>
      <c r="D341" s="15">
        <f t="shared" si="2"/>
        <v>52</v>
      </c>
      <c r="E341" s="16" t="str">
        <f t="shared" si="3"/>
        <v>sábado</v>
      </c>
      <c r="F341" s="15">
        <f t="shared" si="4"/>
        <v>30</v>
      </c>
      <c r="G341" s="15" t="s">
        <v>23</v>
      </c>
      <c r="H341" s="3">
        <f>'AFI-F5'!$G$3</f>
        <v>45688</v>
      </c>
      <c r="I341" s="24" t="str">
        <f>'AFI-F5'!B70</f>
        <v/>
      </c>
      <c r="J341" s="2" t="str">
        <f>'AFI-F5'!C70</f>
        <v/>
      </c>
      <c r="K341" s="2" t="str">
        <f>'AFI-F5'!D70</f>
        <v/>
      </c>
      <c r="L341" s="2" t="str">
        <f>'AFI-F5'!E70</f>
        <v/>
      </c>
      <c r="M341" s="2" t="str">
        <f>'AFI-F5'!F70</f>
        <v/>
      </c>
      <c r="N341" s="2" t="str">
        <f>'AFI-F5'!G70</f>
        <v/>
      </c>
      <c r="O341" s="2" t="str">
        <f>'AFI-F5'!H70</f>
        <v/>
      </c>
      <c r="P341" s="2" t="str">
        <f>'AFI-F5'!I70</f>
        <v/>
      </c>
      <c r="Q341" s="2" t="str">
        <f>'AFI-F5'!J70</f>
        <v/>
      </c>
      <c r="R341" s="2" t="str">
        <f>'AFI-F5'!K70</f>
        <v/>
      </c>
      <c r="S341" s="2" t="str">
        <f>'AFI-F5'!L70</f>
        <v/>
      </c>
      <c r="T341" s="2" t="str">
        <f>'AFI-F5'!M70</f>
        <v/>
      </c>
      <c r="U341" s="2" t="str">
        <f>'AFI-F5'!N70</f>
        <v/>
      </c>
      <c r="V341" s="2" t="str">
        <f>'AFI-F5'!O70</f>
        <v/>
      </c>
      <c r="W341" s="2" t="str">
        <f>'AFI-F5'!P70</f>
        <v/>
      </c>
      <c r="X341" s="5">
        <f>'AFI-F5'!Q70</f>
        <v>0</v>
      </c>
      <c r="Y341" s="1"/>
      <c r="Z341" s="1"/>
      <c r="AA341" s="1"/>
    </row>
    <row r="342">
      <c r="A342" s="1"/>
      <c r="B342" s="14">
        <f t="shared" si="9"/>
        <v>67</v>
      </c>
      <c r="C342" s="15" t="str">
        <f t="shared" si="1"/>
        <v>diciembre</v>
      </c>
      <c r="D342" s="15">
        <f t="shared" si="2"/>
        <v>52</v>
      </c>
      <c r="E342" s="16" t="str">
        <f t="shared" si="3"/>
        <v>sábado</v>
      </c>
      <c r="F342" s="15">
        <f t="shared" si="4"/>
        <v>30</v>
      </c>
      <c r="G342" s="15" t="s">
        <v>23</v>
      </c>
      <c r="H342" s="3">
        <f>'AFI-F5'!$G$3</f>
        <v>45688</v>
      </c>
      <c r="I342" s="24" t="str">
        <f>'AFI-F5'!B71</f>
        <v/>
      </c>
      <c r="J342" s="2" t="str">
        <f>'AFI-F5'!C71</f>
        <v/>
      </c>
      <c r="K342" s="2" t="str">
        <f>'AFI-F5'!D71</f>
        <v/>
      </c>
      <c r="L342" s="2" t="str">
        <f>'AFI-F5'!E71</f>
        <v/>
      </c>
      <c r="M342" s="2" t="str">
        <f>'AFI-F5'!F71</f>
        <v/>
      </c>
      <c r="N342" s="2" t="str">
        <f>'AFI-F5'!G71</f>
        <v/>
      </c>
      <c r="O342" s="2" t="str">
        <f>'AFI-F5'!H71</f>
        <v/>
      </c>
      <c r="P342" s="2" t="str">
        <f>'AFI-F5'!I71</f>
        <v/>
      </c>
      <c r="Q342" s="2" t="str">
        <f>'AFI-F5'!J71</f>
        <v/>
      </c>
      <c r="R342" s="2" t="str">
        <f>'AFI-F5'!K71</f>
        <v/>
      </c>
      <c r="S342" s="2" t="str">
        <f>'AFI-F5'!L71</f>
        <v/>
      </c>
      <c r="T342" s="2" t="str">
        <f>'AFI-F5'!M71</f>
        <v/>
      </c>
      <c r="U342" s="2" t="str">
        <f>'AFI-F5'!N71</f>
        <v/>
      </c>
      <c r="V342" s="2" t="str">
        <f>'AFI-F5'!O71</f>
        <v/>
      </c>
      <c r="W342" s="2" t="str">
        <f>'AFI-F5'!P71</f>
        <v/>
      </c>
      <c r="X342" s="5">
        <f>'AFI-F5'!Q71</f>
        <v>0</v>
      </c>
      <c r="Y342" s="1"/>
      <c r="Z342" s="1"/>
      <c r="AA342" s="1"/>
    </row>
    <row r="343">
      <c r="A343" s="1"/>
      <c r="B343" s="14">
        <f t="shared" si="9"/>
        <v>68</v>
      </c>
      <c r="C343" s="15" t="str">
        <f t="shared" si="1"/>
        <v>diciembre</v>
      </c>
      <c r="D343" s="15">
        <f t="shared" si="2"/>
        <v>52</v>
      </c>
      <c r="E343" s="16" t="str">
        <f t="shared" si="3"/>
        <v>sábado</v>
      </c>
      <c r="F343" s="15">
        <f t="shared" si="4"/>
        <v>30</v>
      </c>
      <c r="G343" s="15" t="s">
        <v>23</v>
      </c>
      <c r="H343" s="3">
        <f>'AFI-F5'!$G$3</f>
        <v>45688</v>
      </c>
      <c r="I343" s="24" t="str">
        <f>'AFI-F5'!B72</f>
        <v/>
      </c>
      <c r="J343" s="2" t="str">
        <f>'AFI-F5'!C72</f>
        <v/>
      </c>
      <c r="K343" s="2" t="str">
        <f>'AFI-F5'!D72</f>
        <v/>
      </c>
      <c r="L343" s="2" t="str">
        <f>'AFI-F5'!E72</f>
        <v/>
      </c>
      <c r="M343" s="2" t="str">
        <f>'AFI-F5'!F72</f>
        <v/>
      </c>
      <c r="N343" s="2" t="str">
        <f>'AFI-F5'!G72</f>
        <v/>
      </c>
      <c r="O343" s="2" t="str">
        <f>'AFI-F5'!H72</f>
        <v/>
      </c>
      <c r="P343" s="2" t="str">
        <f>'AFI-F5'!I72</f>
        <v/>
      </c>
      <c r="Q343" s="2" t="str">
        <f>'AFI-F5'!J72</f>
        <v/>
      </c>
      <c r="R343" s="2" t="str">
        <f>'AFI-F5'!K72</f>
        <v/>
      </c>
      <c r="S343" s="2" t="str">
        <f>'AFI-F5'!L72</f>
        <v/>
      </c>
      <c r="T343" s="2" t="str">
        <f>'AFI-F5'!M72</f>
        <v/>
      </c>
      <c r="U343" s="2" t="str">
        <f>'AFI-F5'!N72</f>
        <v/>
      </c>
      <c r="V343" s="2" t="str">
        <f>'AFI-F5'!O72</f>
        <v/>
      </c>
      <c r="W343" s="2" t="str">
        <f>'AFI-F5'!P72</f>
        <v/>
      </c>
      <c r="X343" s="5">
        <f>'AFI-F5'!Q72</f>
        <v>0</v>
      </c>
      <c r="Y343" s="1"/>
      <c r="Z343" s="1"/>
      <c r="AA343" s="1"/>
    </row>
    <row r="344">
      <c r="A344" s="1"/>
      <c r="B344" s="14">
        <v>1.0</v>
      </c>
      <c r="C344" s="22" t="str">
        <f t="shared" si="1"/>
        <v>enero</v>
      </c>
      <c r="D344" s="22">
        <f t="shared" si="2"/>
        <v>2</v>
      </c>
      <c r="E344" s="23" t="str">
        <f t="shared" si="3"/>
        <v>domingo</v>
      </c>
      <c r="F344" s="22">
        <f t="shared" si="4"/>
        <v>4</v>
      </c>
      <c r="G344" s="22" t="s">
        <v>23</v>
      </c>
      <c r="H344" s="3" t="str">
        <f>'AFI-F6'!$G$3</f>
        <v>CYC </v>
      </c>
      <c r="I344" s="24">
        <f>'AFI-F6'!B5</f>
        <v>46026</v>
      </c>
      <c r="J344" s="2">
        <f>'AFI-F6'!C5</f>
        <v>6855160</v>
      </c>
      <c r="K344" s="2" t="str">
        <f>'AFI-F6'!D5</f>
        <v>ELIZABETH CAMONES SALVADOR</v>
      </c>
      <c r="L344" s="2" t="str">
        <f>'AFI-F6'!E5</f>
        <v>JOSELYOVI@GMAIL.COM</v>
      </c>
      <c r="M344" s="2" t="str">
        <f>'AFI-F6'!F5</f>
        <v>SURCO</v>
      </c>
      <c r="N344" s="2" t="str">
        <f>'AFI-F6'!G5</f>
        <v>949 900 144</v>
      </c>
      <c r="O344" s="2" t="str">
        <f>'AFI-F6'!H5</f>
        <v>X</v>
      </c>
      <c r="P344" s="2" t="str">
        <f>'AFI-F6'!I5</f>
        <v/>
      </c>
      <c r="Q344" s="2">
        <f>'AFI-F6'!J5</f>
        <v>100</v>
      </c>
      <c r="R344" s="2">
        <f>'AFI-F6'!K5</f>
        <v>80</v>
      </c>
      <c r="S344" s="2" t="str">
        <f>'AFI-F6'!L5</f>
        <v>COBR</v>
      </c>
      <c r="T344" s="2" t="str">
        <f>'AFI-F6'!M5</f>
        <v>YAPE JL</v>
      </c>
      <c r="U344" s="2">
        <f>'AFI-F6'!N5</f>
        <v>100</v>
      </c>
      <c r="V344" s="2">
        <f>'AFI-F6'!O5</f>
        <v>0</v>
      </c>
      <c r="W344" s="2" t="str">
        <f>'AFI-F6'!P5</f>
        <v>Greici</v>
      </c>
      <c r="X344" s="5">
        <f>'AFI-F6'!Q5</f>
        <v>100</v>
      </c>
      <c r="Y344" s="1"/>
      <c r="Z344" s="1"/>
      <c r="AA344" s="1"/>
    </row>
    <row r="345">
      <c r="A345" s="1"/>
      <c r="B345" s="14">
        <f t="shared" ref="B345:B411" si="10">B344+1</f>
        <v>2</v>
      </c>
      <c r="C345" s="22" t="str">
        <f t="shared" si="1"/>
        <v>enero</v>
      </c>
      <c r="D345" s="22">
        <f t="shared" si="2"/>
        <v>2</v>
      </c>
      <c r="E345" s="23" t="str">
        <f t="shared" si="3"/>
        <v>domingo</v>
      </c>
      <c r="F345" s="22">
        <f t="shared" si="4"/>
        <v>4</v>
      </c>
      <c r="G345" s="22" t="s">
        <v>23</v>
      </c>
      <c r="H345" s="3" t="str">
        <f>'AFI-F6'!$G$3</f>
        <v>CYC </v>
      </c>
      <c r="I345" s="24">
        <f>'AFI-F6'!B6</f>
        <v>46026</v>
      </c>
      <c r="J345" s="2">
        <f>'AFI-F6'!C6</f>
        <v>25430091</v>
      </c>
      <c r="K345" s="2" t="str">
        <f>'AFI-F6'!D6</f>
        <v>María Paucar Almeyda</v>
      </c>
      <c r="L345" s="2" t="str">
        <f>'AFI-F6'!E6</f>
        <v>marialpa05@gmail.com</v>
      </c>
      <c r="M345" s="2" t="str">
        <f>'AFI-F6'!F6</f>
        <v>SMP</v>
      </c>
      <c r="N345" s="2" t="str">
        <f>'AFI-F6'!G6</f>
        <v/>
      </c>
      <c r="O345" s="2" t="str">
        <f>'AFI-F6'!H6</f>
        <v>X</v>
      </c>
      <c r="P345" s="2" t="str">
        <f>'AFI-F6'!I6</f>
        <v/>
      </c>
      <c r="Q345" s="2">
        <f>'AFI-F6'!J6</f>
        <v>100</v>
      </c>
      <c r="R345" s="2">
        <f>'AFI-F6'!K6</f>
        <v>90</v>
      </c>
      <c r="S345" s="2" t="str">
        <f>'AFI-F6'!L6</f>
        <v>COBR</v>
      </c>
      <c r="T345" s="2" t="str">
        <f>'AFI-F6'!M6</f>
        <v>YAPE JL</v>
      </c>
      <c r="U345" s="2">
        <f>'AFI-F6'!N6</f>
        <v>100</v>
      </c>
      <c r="V345" s="2">
        <f>'AFI-F6'!O6</f>
        <v>90</v>
      </c>
      <c r="W345" s="2" t="str">
        <f>'AFI-F6'!P6</f>
        <v>Greici</v>
      </c>
      <c r="X345" s="5">
        <f>'AFI-F6'!Q6</f>
        <v>190</v>
      </c>
      <c r="Y345" s="1"/>
      <c r="Z345" s="1"/>
      <c r="AA345" s="1"/>
    </row>
    <row r="346">
      <c r="A346" s="1"/>
      <c r="B346" s="14">
        <f t="shared" si="10"/>
        <v>3</v>
      </c>
      <c r="C346" s="22" t="str">
        <f t="shared" si="1"/>
        <v>enero</v>
      </c>
      <c r="D346" s="22">
        <f t="shared" si="2"/>
        <v>4</v>
      </c>
      <c r="E346" s="23" t="str">
        <f t="shared" si="3"/>
        <v>lunes</v>
      </c>
      <c r="F346" s="22">
        <f t="shared" si="4"/>
        <v>19</v>
      </c>
      <c r="G346" s="22" t="s">
        <v>23</v>
      </c>
      <c r="H346" s="3" t="str">
        <f>'AFI-F6'!$G$3</f>
        <v>CYC </v>
      </c>
      <c r="I346" s="24">
        <f>'AFI-F6'!B7</f>
        <v>46041</v>
      </c>
      <c r="J346" s="2" t="str">
        <f>'AFI-F6'!C7</f>
        <v/>
      </c>
      <c r="K346" s="2" t="str">
        <f>'AFI-F6'!D7</f>
        <v>Néstor Vega Santaria</v>
      </c>
      <c r="L346" s="2" t="str">
        <f>'AFI-F6'!E7</f>
        <v/>
      </c>
      <c r="M346" s="2" t="str">
        <f>'AFI-F6'!F7</f>
        <v/>
      </c>
      <c r="N346" s="2" t="str">
        <f>'AFI-F6'!G7</f>
        <v/>
      </c>
      <c r="O346" s="2" t="str">
        <f>'AFI-F6'!H7</f>
        <v>x</v>
      </c>
      <c r="P346" s="2" t="str">
        <f>'AFI-F6'!I7</f>
        <v/>
      </c>
      <c r="Q346" s="2">
        <f>'AFI-F6'!J7</f>
        <v>160</v>
      </c>
      <c r="R346" s="2" t="str">
        <f>'AFI-F6'!K7</f>
        <v/>
      </c>
      <c r="S346" s="2" t="str">
        <f>'AFI-F6'!L7</f>
        <v>PAGO</v>
      </c>
      <c r="T346" s="2" t="str">
        <f>'AFI-F6'!M7</f>
        <v>YAPE JL</v>
      </c>
      <c r="U346" s="2">
        <f>'AFI-F6'!N7</f>
        <v>160</v>
      </c>
      <c r="V346" s="2" t="str">
        <f>'AFI-F6'!O7</f>
        <v/>
      </c>
      <c r="W346" s="2" t="str">
        <f>'AFI-F6'!P7</f>
        <v>Katherine</v>
      </c>
      <c r="X346" s="5">
        <f>'AFI-F6'!Q7</f>
        <v>160</v>
      </c>
      <c r="Y346" s="1"/>
      <c r="Z346" s="1"/>
      <c r="AA346" s="1"/>
    </row>
    <row r="347">
      <c r="A347" s="1"/>
      <c r="B347" s="14">
        <f t="shared" si="10"/>
        <v>4</v>
      </c>
      <c r="C347" s="22" t="str">
        <f t="shared" si="1"/>
        <v>enero</v>
      </c>
      <c r="D347" s="22">
        <f t="shared" si="2"/>
        <v>4</v>
      </c>
      <c r="E347" s="23" t="str">
        <f t="shared" si="3"/>
        <v>martes</v>
      </c>
      <c r="F347" s="22">
        <f t="shared" si="4"/>
        <v>20</v>
      </c>
      <c r="G347" s="22" t="s">
        <v>23</v>
      </c>
      <c r="H347" s="3" t="str">
        <f>'AFI-F6'!$G$3</f>
        <v>CYC </v>
      </c>
      <c r="I347" s="24">
        <f>'AFI-F6'!B8</f>
        <v>46042</v>
      </c>
      <c r="J347" s="2">
        <f>'AFI-F6'!C8</f>
        <v>15983731</v>
      </c>
      <c r="K347" s="2" t="str">
        <f>'AFI-F6'!D8</f>
        <v>Rita María Pau Salguero </v>
      </c>
      <c r="L347" s="2" t="str">
        <f>'AFI-F6'!E8</f>
        <v/>
      </c>
      <c r="M347" s="2" t="str">
        <f>'AFI-F6'!F8</f>
        <v>comas</v>
      </c>
      <c r="N347" s="2" t="str">
        <f>'AFI-F6'!G8</f>
        <v/>
      </c>
      <c r="O347" s="2" t="str">
        <f>'AFI-F6'!H8</f>
        <v>x</v>
      </c>
      <c r="P347" s="2" t="str">
        <f>'AFI-F6'!I8</f>
        <v/>
      </c>
      <c r="Q347" s="2">
        <f>'AFI-F6'!J8</f>
        <v>190</v>
      </c>
      <c r="R347" s="2" t="str">
        <f>'AFI-F6'!K8</f>
        <v/>
      </c>
      <c r="S347" s="2" t="str">
        <f>'AFI-F6'!L8</f>
        <v>PAGO</v>
      </c>
      <c r="T347" s="2" t="str">
        <f>'AFI-F6'!M8</f>
        <v>MERC-PAG</v>
      </c>
      <c r="U347" s="2">
        <f>'AFI-F6'!N8</f>
        <v>180.99</v>
      </c>
      <c r="V347" s="2" t="str">
        <f>'AFI-F6'!O8</f>
        <v/>
      </c>
      <c r="W347" s="2" t="str">
        <f>'AFI-F6'!P8</f>
        <v>Katherine</v>
      </c>
      <c r="X347" s="5">
        <f>'AFI-F6'!Q8</f>
        <v>180.99</v>
      </c>
      <c r="Y347" s="1"/>
      <c r="Z347" s="1"/>
      <c r="AA347" s="1"/>
    </row>
    <row r="348">
      <c r="A348" s="1"/>
      <c r="B348" s="14">
        <f t="shared" si="10"/>
        <v>5</v>
      </c>
      <c r="C348" s="22" t="str">
        <f t="shared" si="1"/>
        <v>enero</v>
      </c>
      <c r="D348" s="22">
        <f t="shared" si="2"/>
        <v>4</v>
      </c>
      <c r="E348" s="23" t="str">
        <f t="shared" si="3"/>
        <v>miércoles</v>
      </c>
      <c r="F348" s="22">
        <f t="shared" si="4"/>
        <v>21</v>
      </c>
      <c r="G348" s="22" t="s">
        <v>23</v>
      </c>
      <c r="H348" s="3" t="str">
        <f>'AFI-F6'!$G$3</f>
        <v>CYC </v>
      </c>
      <c r="I348" s="24">
        <f>'AFI-F6'!B9</f>
        <v>46043</v>
      </c>
      <c r="J348" s="2">
        <f>'AFI-F6'!C9</f>
        <v>46343807</v>
      </c>
      <c r="K348" s="2" t="str">
        <f>'AFI-F6'!D9</f>
        <v>Liliana yuchin lung timana</v>
      </c>
      <c r="L348" s="2" t="str">
        <f>'AFI-F6'!E9</f>
        <v/>
      </c>
      <c r="M348" s="2" t="str">
        <f>'AFI-F6'!F9</f>
        <v>lince</v>
      </c>
      <c r="N348" s="2" t="str">
        <f>'AFI-F6'!G9</f>
        <v/>
      </c>
      <c r="O348" s="2" t="str">
        <f>'AFI-F6'!H9</f>
        <v>x</v>
      </c>
      <c r="P348" s="2" t="str">
        <f>'AFI-F6'!I9</f>
        <v/>
      </c>
      <c r="Q348" s="2">
        <f>'AFI-F6'!J9</f>
        <v>75</v>
      </c>
      <c r="R348" s="2">
        <f>'AFI-F6'!K9</f>
        <v>75</v>
      </c>
      <c r="S348" s="2" t="str">
        <f>'AFI-F6'!L9</f>
        <v>COBR</v>
      </c>
      <c r="T348" s="2" t="str">
        <f>'AFI-F6'!M9</f>
        <v>YAPE JL</v>
      </c>
      <c r="U348" s="2">
        <f>'AFI-F6'!N9</f>
        <v>75</v>
      </c>
      <c r="V348" s="2">
        <f>'AFI-F6'!O9</f>
        <v>75</v>
      </c>
      <c r="W348" s="2" t="str">
        <f>'AFI-F6'!P9</f>
        <v>Katherine</v>
      </c>
      <c r="X348" s="5">
        <f>'AFI-F6'!Q9</f>
        <v>150</v>
      </c>
      <c r="Y348" s="1"/>
      <c r="Z348" s="1"/>
      <c r="AA348" s="1"/>
    </row>
    <row r="349">
      <c r="A349" s="1"/>
      <c r="B349" s="14">
        <f t="shared" si="10"/>
        <v>6</v>
      </c>
      <c r="C349" s="22" t="str">
        <f t="shared" si="1"/>
        <v>enero</v>
      </c>
      <c r="D349" s="22">
        <f t="shared" si="2"/>
        <v>4</v>
      </c>
      <c r="E349" s="23" t="str">
        <f t="shared" si="3"/>
        <v>miércoles</v>
      </c>
      <c r="F349" s="22">
        <f t="shared" si="4"/>
        <v>21</v>
      </c>
      <c r="G349" s="22" t="s">
        <v>23</v>
      </c>
      <c r="H349" s="3" t="str">
        <f>'AFI-F6'!$G$3</f>
        <v>CYC </v>
      </c>
      <c r="I349" s="24">
        <f>'AFI-F6'!B10</f>
        <v>46043</v>
      </c>
      <c r="J349" s="2">
        <f>'AFI-F6'!C10</f>
        <v>43705747</v>
      </c>
      <c r="K349" s="2" t="str">
        <f>'AFI-F6'!D10</f>
        <v> Francisco Daniel Kawashita Okuyama </v>
      </c>
      <c r="L349" s="2" t="str">
        <f>'AFI-F6'!E10</f>
        <v/>
      </c>
      <c r="M349" s="2" t="str">
        <f>'AFI-F6'!F10</f>
        <v>lince</v>
      </c>
      <c r="N349" s="2" t="str">
        <f>'AFI-F6'!G10</f>
        <v/>
      </c>
      <c r="O349" s="2" t="str">
        <f>'AFI-F6'!H10</f>
        <v>x</v>
      </c>
      <c r="P349" s="2" t="str">
        <f>'AFI-F6'!I10</f>
        <v/>
      </c>
      <c r="Q349" s="2">
        <f>'AFI-F6'!J10</f>
        <v>75</v>
      </c>
      <c r="R349" s="2">
        <f>'AFI-F6'!K10</f>
        <v>75</v>
      </c>
      <c r="S349" s="2" t="str">
        <f>'AFI-F6'!L10</f>
        <v>COBR</v>
      </c>
      <c r="T349" s="2" t="str">
        <f>'AFI-F6'!M10</f>
        <v>YAPE JL</v>
      </c>
      <c r="U349" s="2">
        <f>'AFI-F6'!N10</f>
        <v>75</v>
      </c>
      <c r="V349" s="2">
        <f>'AFI-F6'!O10</f>
        <v>75</v>
      </c>
      <c r="W349" s="2" t="str">
        <f>'AFI-F6'!P10</f>
        <v>Katherine</v>
      </c>
      <c r="X349" s="5">
        <f>'AFI-F6'!Q10</f>
        <v>150</v>
      </c>
      <c r="Y349" s="1"/>
      <c r="Z349" s="1"/>
      <c r="AA349" s="1"/>
    </row>
    <row r="350">
      <c r="A350" s="1"/>
      <c r="B350" s="14">
        <f t="shared" si="10"/>
        <v>7</v>
      </c>
      <c r="C350" s="22" t="str">
        <f t="shared" si="1"/>
        <v>enero</v>
      </c>
      <c r="D350" s="22">
        <f t="shared" si="2"/>
        <v>4</v>
      </c>
      <c r="E350" s="23" t="str">
        <f t="shared" si="3"/>
        <v>jueves</v>
      </c>
      <c r="F350" s="22">
        <f t="shared" si="4"/>
        <v>22</v>
      </c>
      <c r="G350" s="22" t="s">
        <v>23</v>
      </c>
      <c r="H350" s="3" t="str">
        <f>'AFI-F6'!$G$3</f>
        <v>CYC </v>
      </c>
      <c r="I350" s="24">
        <f>'AFI-F6'!B11</f>
        <v>46044</v>
      </c>
      <c r="J350" s="2">
        <f>'AFI-F6'!C11</f>
        <v>46178506</v>
      </c>
      <c r="K350" s="2" t="str">
        <f>'AFI-F6'!D11</f>
        <v>Jennifer Ríos gil </v>
      </c>
      <c r="L350" s="2" t="str">
        <f>'AFI-F6'!E11</f>
        <v>Sinjul887@gmail.com</v>
      </c>
      <c r="M350" s="2" t="str">
        <f>'AFI-F6'!F11</f>
        <v/>
      </c>
      <c r="N350" s="2" t="str">
        <f>'AFI-F6'!G11</f>
        <v/>
      </c>
      <c r="O350" s="2" t="str">
        <f>'AFI-F6'!H11</f>
        <v>x</v>
      </c>
      <c r="P350" s="2" t="str">
        <f>'AFI-F6'!I11</f>
        <v/>
      </c>
      <c r="Q350" s="2">
        <f>'AFI-F6'!J11</f>
        <v>150</v>
      </c>
      <c r="R350" s="2" t="str">
        <f>'AFI-F6'!K11</f>
        <v/>
      </c>
      <c r="S350" s="2" t="str">
        <f>'AFI-F6'!L11</f>
        <v>PAGO</v>
      </c>
      <c r="T350" s="2" t="str">
        <f>'AFI-F6'!M11</f>
        <v>YAPE JL</v>
      </c>
      <c r="U350" s="2">
        <f>'AFI-F6'!N11</f>
        <v>150</v>
      </c>
      <c r="V350" s="2" t="str">
        <f>'AFI-F6'!O11</f>
        <v/>
      </c>
      <c r="W350" s="2" t="str">
        <f>'AFI-F6'!P11</f>
        <v>Katherine</v>
      </c>
      <c r="X350" s="5">
        <f>'AFI-F6'!Q11</f>
        <v>150</v>
      </c>
      <c r="Y350" s="1"/>
      <c r="Z350" s="1"/>
      <c r="AA350" s="1"/>
    </row>
    <row r="351">
      <c r="A351" s="1"/>
      <c r="B351" s="14">
        <f t="shared" si="10"/>
        <v>8</v>
      </c>
      <c r="C351" s="22" t="str">
        <f t="shared" si="1"/>
        <v>enero</v>
      </c>
      <c r="D351" s="22">
        <f t="shared" si="2"/>
        <v>4</v>
      </c>
      <c r="E351" s="23" t="str">
        <f t="shared" si="3"/>
        <v>jueves</v>
      </c>
      <c r="F351" s="22">
        <f t="shared" si="4"/>
        <v>22</v>
      </c>
      <c r="G351" s="22" t="s">
        <v>23</v>
      </c>
      <c r="H351" s="3" t="str">
        <f>'AFI-F6'!$G$3</f>
        <v>CYC </v>
      </c>
      <c r="I351" s="24">
        <f>'AFI-F6'!B12</f>
        <v>46044</v>
      </c>
      <c r="J351" s="2" t="str">
        <f>'AFI-F6'!E12</f>
        <v>altcg73@gmail.com</v>
      </c>
      <c r="K351" s="2" t="str">
        <f>'AFI-F6'!D12</f>
        <v>Carlos Ignacio Efraín Matamoros Cartolin </v>
      </c>
      <c r="L351" s="2" t="str">
        <f>'AFI-F6'!E12</f>
        <v>altcg73@gmail.com</v>
      </c>
      <c r="M351" s="2" t="str">
        <f>'AFI-F6'!F12</f>
        <v>sjl</v>
      </c>
      <c r="N351" s="2" t="str">
        <f>'AFI-F6'!G12</f>
        <v/>
      </c>
      <c r="O351" s="2" t="str">
        <f>'AFI-F6'!H12</f>
        <v>x</v>
      </c>
      <c r="P351" s="2" t="str">
        <f>'AFI-F6'!I12</f>
        <v/>
      </c>
      <c r="Q351" s="2">
        <f>'AFI-F6'!J12</f>
        <v>190</v>
      </c>
      <c r="R351" s="2" t="str">
        <f>'AFI-F6'!K12</f>
        <v/>
      </c>
      <c r="S351" s="2" t="str">
        <f>'AFI-F6'!L12</f>
        <v>PAGO</v>
      </c>
      <c r="T351" s="2" t="str">
        <f>'AFI-F6'!M12</f>
        <v>YAPE JL</v>
      </c>
      <c r="U351" s="2">
        <f>'AFI-F6'!N12</f>
        <v>190</v>
      </c>
      <c r="V351" s="2" t="str">
        <f>'AFI-F6'!O12</f>
        <v/>
      </c>
      <c r="W351" s="2" t="str">
        <f>'AFI-F6'!P12</f>
        <v>Katherine</v>
      </c>
      <c r="X351" s="5">
        <f>'AFI-F6'!Q12</f>
        <v>190</v>
      </c>
      <c r="Y351" s="1"/>
      <c r="Z351" s="1"/>
      <c r="AA351" s="1"/>
    </row>
    <row r="352">
      <c r="A352" s="1"/>
      <c r="B352" s="14">
        <f t="shared" si="10"/>
        <v>9</v>
      </c>
      <c r="C352" s="22" t="str">
        <f t="shared" si="1"/>
        <v>enero</v>
      </c>
      <c r="D352" s="22">
        <f t="shared" si="2"/>
        <v>4</v>
      </c>
      <c r="E352" s="23" t="str">
        <f t="shared" si="3"/>
        <v>jueves</v>
      </c>
      <c r="F352" s="22">
        <f t="shared" si="4"/>
        <v>22</v>
      </c>
      <c r="G352" s="22" t="s">
        <v>23</v>
      </c>
      <c r="H352" s="3" t="str">
        <f>'AFI-F6'!$G$3</f>
        <v>CYC </v>
      </c>
      <c r="I352" s="24">
        <f>'AFI-F6'!B13</f>
        <v>46044</v>
      </c>
      <c r="J352" s="2">
        <f>'AFI-F6'!C13</f>
        <v>48015781</v>
      </c>
      <c r="K352" s="2" t="str">
        <f>'AFI-F6'!D13</f>
        <v>Yoel Chávez nilupu </v>
      </c>
      <c r="L352" s="2" t="str">
        <f>'AFI-F6'!E13</f>
        <v>Axelnilupu@gmail.com</v>
      </c>
      <c r="M352" s="2" t="str">
        <f>'AFI-F6'!F13</f>
        <v>SJL</v>
      </c>
      <c r="N352" s="2" t="str">
        <f>'AFI-F6'!G13</f>
        <v>913 305 733</v>
      </c>
      <c r="O352" s="2" t="str">
        <f>'AFI-F6'!H13</f>
        <v>x</v>
      </c>
      <c r="P352" s="2" t="str">
        <f>'AFI-F6'!I13</f>
        <v/>
      </c>
      <c r="Q352" s="2">
        <f>'AFI-F6'!J13</f>
        <v>190</v>
      </c>
      <c r="R352" s="2" t="str">
        <f>'AFI-F6'!K13</f>
        <v/>
      </c>
      <c r="S352" s="2" t="str">
        <f>'AFI-F6'!L13</f>
        <v>PAGO</v>
      </c>
      <c r="T352" s="2" t="str">
        <f>'AFI-F6'!M13</f>
        <v>BCP JL</v>
      </c>
      <c r="U352" s="2">
        <f>'AFI-F6'!N13</f>
        <v>190</v>
      </c>
      <c r="V352" s="2" t="str">
        <f>'AFI-F6'!O13</f>
        <v/>
      </c>
      <c r="W352" s="2" t="str">
        <f>'AFI-F6'!P13</f>
        <v>Gabriela</v>
      </c>
      <c r="X352" s="5">
        <f>'AFI-F6'!Q13</f>
        <v>190</v>
      </c>
      <c r="Y352" s="1"/>
      <c r="Z352" s="1"/>
      <c r="AA352" s="1"/>
    </row>
    <row r="353">
      <c r="A353" s="1"/>
      <c r="B353" s="14">
        <f t="shared" si="10"/>
        <v>10</v>
      </c>
      <c r="C353" s="22" t="str">
        <f t="shared" si="1"/>
        <v>enero</v>
      </c>
      <c r="D353" s="22">
        <f t="shared" si="2"/>
        <v>4</v>
      </c>
      <c r="E353" s="23" t="str">
        <f t="shared" si="3"/>
        <v>viernes</v>
      </c>
      <c r="F353" s="22">
        <f t="shared" si="4"/>
        <v>23</v>
      </c>
      <c r="G353" s="22" t="s">
        <v>23</v>
      </c>
      <c r="H353" s="3" t="str">
        <f>'AFI-F6'!$G$3</f>
        <v>CYC </v>
      </c>
      <c r="I353" s="24">
        <f>'AFI-F6'!B14</f>
        <v>46045</v>
      </c>
      <c r="J353" s="2" t="str">
        <f>'AFI-F6'!C14</f>
        <v>09444421</v>
      </c>
      <c r="K353" s="2" t="str">
        <f>'AFI-F6'!D14</f>
        <v>Carola Ramorez Sanchez</v>
      </c>
      <c r="L353" s="2" t="str">
        <f>'AFI-F6'!E14</f>
        <v>ccaro280@hotmail.com</v>
      </c>
      <c r="M353" s="2" t="str">
        <f>'AFI-F6'!F14</f>
        <v>CERCADO</v>
      </c>
      <c r="N353" s="2" t="str">
        <f>'AFI-F6'!G14</f>
        <v>987 117 592</v>
      </c>
      <c r="O353" s="2" t="str">
        <f>'AFI-F6'!H14</f>
        <v>X</v>
      </c>
      <c r="P353" s="2" t="str">
        <f>'AFI-F6'!I14</f>
        <v/>
      </c>
      <c r="Q353" s="2">
        <f>'AFI-F6'!J14</f>
        <v>150</v>
      </c>
      <c r="R353" s="2" t="str">
        <f>'AFI-F6'!K14</f>
        <v/>
      </c>
      <c r="S353" s="2" t="str">
        <f>'AFI-F6'!L14</f>
        <v>PAGO</v>
      </c>
      <c r="T353" s="2" t="str">
        <f>'AFI-F6'!M14</f>
        <v>YAPE JL</v>
      </c>
      <c r="U353" s="2">
        <f>'AFI-F6'!N14</f>
        <v>150</v>
      </c>
      <c r="V353" s="2" t="str">
        <f>'AFI-F6'!O14</f>
        <v/>
      </c>
      <c r="W353" s="2" t="str">
        <f>'AFI-F6'!P14</f>
        <v>Greici</v>
      </c>
      <c r="X353" s="5">
        <f>'AFI-F6'!Q14</f>
        <v>150</v>
      </c>
      <c r="Y353" s="1"/>
      <c r="Z353" s="1"/>
      <c r="AA353" s="1"/>
    </row>
    <row r="354">
      <c r="A354" s="1"/>
      <c r="B354" s="14">
        <f t="shared" si="10"/>
        <v>11</v>
      </c>
      <c r="C354" s="22" t="str">
        <f t="shared" si="1"/>
        <v>enero</v>
      </c>
      <c r="D354" s="22">
        <f t="shared" si="2"/>
        <v>4</v>
      </c>
      <c r="E354" s="23" t="str">
        <f t="shared" si="3"/>
        <v>viernes</v>
      </c>
      <c r="F354" s="22">
        <f t="shared" si="4"/>
        <v>23</v>
      </c>
      <c r="G354" s="22" t="s">
        <v>23</v>
      </c>
      <c r="H354" s="3" t="str">
        <f>'AFI-F6'!$G$3</f>
        <v>CYC </v>
      </c>
      <c r="I354" s="24">
        <f>'AFI-F6'!B15</f>
        <v>46045</v>
      </c>
      <c r="J354" s="2">
        <f>'AFI-F6'!C15</f>
        <v>10475612</v>
      </c>
      <c r="K354" s="2" t="str">
        <f>'AFI-F6'!D15</f>
        <v>Jorge Napoleon Mercado Vilca</v>
      </c>
      <c r="L354" s="2" t="str">
        <f>'AFI-F6'!E15</f>
        <v>Jnmercado1008@gmail.com</v>
      </c>
      <c r="M354" s="2" t="str">
        <f>'AFI-F6'!F15</f>
        <v>CERCADO</v>
      </c>
      <c r="N354" s="2" t="str">
        <f>'AFI-F6'!G15</f>
        <v>987 117 592</v>
      </c>
      <c r="O354" s="2" t="str">
        <f>'AFI-F6'!H15</f>
        <v>X</v>
      </c>
      <c r="P354" s="2" t="str">
        <f>'AFI-F6'!I15</f>
        <v/>
      </c>
      <c r="Q354" s="2">
        <f>'AFI-F6'!J15</f>
        <v>150</v>
      </c>
      <c r="R354" s="2" t="str">
        <f>'AFI-F6'!K15</f>
        <v/>
      </c>
      <c r="S354" s="2" t="str">
        <f>'AFI-F6'!L15</f>
        <v>PAGO</v>
      </c>
      <c r="T354" s="2" t="str">
        <f>'AFI-F6'!M15</f>
        <v>YAPE JL</v>
      </c>
      <c r="U354" s="2">
        <f>'AFI-F6'!N15</f>
        <v>150</v>
      </c>
      <c r="V354" s="2" t="str">
        <f>'AFI-F6'!O15</f>
        <v/>
      </c>
      <c r="W354" s="2" t="str">
        <f>'AFI-F6'!P15</f>
        <v>Greici</v>
      </c>
      <c r="X354" s="5">
        <f>'AFI-F6'!Q15</f>
        <v>150</v>
      </c>
      <c r="Y354" s="1"/>
      <c r="Z354" s="1"/>
      <c r="AA354" s="1"/>
    </row>
    <row r="355">
      <c r="A355" s="1"/>
      <c r="B355" s="14">
        <f t="shared" si="10"/>
        <v>12</v>
      </c>
      <c r="C355" s="22" t="str">
        <f t="shared" si="1"/>
        <v>enero</v>
      </c>
      <c r="D355" s="22">
        <f t="shared" si="2"/>
        <v>4</v>
      </c>
      <c r="E355" s="23" t="str">
        <f t="shared" si="3"/>
        <v>viernes</v>
      </c>
      <c r="F355" s="22">
        <f t="shared" si="4"/>
        <v>23</v>
      </c>
      <c r="G355" s="22" t="s">
        <v>23</v>
      </c>
      <c r="H355" s="3" t="str">
        <f>'AFI-F6'!$G$3</f>
        <v>CYC </v>
      </c>
      <c r="I355" s="24">
        <f>'AFI-F6'!B16</f>
        <v>46045</v>
      </c>
      <c r="J355" s="2" t="str">
        <f>'AFI-F6'!C16</f>
        <v/>
      </c>
      <c r="K355" s="2" t="str">
        <f>'AFI-F6'!D16</f>
        <v>Daniel Espejo</v>
      </c>
      <c r="L355" s="2" t="str">
        <f>'AFI-F6'!E16</f>
        <v/>
      </c>
      <c r="M355" s="2" t="str">
        <f>'AFI-F6'!F16</f>
        <v/>
      </c>
      <c r="N355" s="2" t="str">
        <f>'AFI-F6'!G16</f>
        <v/>
      </c>
      <c r="O355" s="2" t="str">
        <f>'AFI-F6'!H16</f>
        <v>x</v>
      </c>
      <c r="P355" s="2" t="str">
        <f>'AFI-F6'!I16</f>
        <v/>
      </c>
      <c r="Q355" s="2">
        <f>'AFI-F6'!J16</f>
        <v>160</v>
      </c>
      <c r="R355" s="2" t="str">
        <f>'AFI-F6'!K16</f>
        <v/>
      </c>
      <c r="S355" s="2" t="str">
        <f>'AFI-F6'!L16</f>
        <v>PAGO</v>
      </c>
      <c r="T355" s="2" t="str">
        <f>'AFI-F6'!M16</f>
        <v>PLIN JL</v>
      </c>
      <c r="U355" s="2">
        <f>'AFI-F6'!N16</f>
        <v>160</v>
      </c>
      <c r="V355" s="2" t="str">
        <f>'AFI-F6'!O16</f>
        <v/>
      </c>
      <c r="W355" s="2" t="str">
        <f>'AFI-F6'!P16</f>
        <v>Katherine</v>
      </c>
      <c r="X355" s="5">
        <f>'AFI-F6'!Q16</f>
        <v>160</v>
      </c>
      <c r="Y355" s="1"/>
      <c r="Z355" s="1"/>
      <c r="AA355" s="1"/>
    </row>
    <row r="356">
      <c r="A356" s="1"/>
      <c r="B356" s="14">
        <f t="shared" si="10"/>
        <v>13</v>
      </c>
      <c r="C356" s="22" t="str">
        <f t="shared" si="1"/>
        <v>enero</v>
      </c>
      <c r="D356" s="22">
        <f t="shared" si="2"/>
        <v>4</v>
      </c>
      <c r="E356" s="23" t="str">
        <f t="shared" si="3"/>
        <v>sábado</v>
      </c>
      <c r="F356" s="22">
        <f t="shared" si="4"/>
        <v>24</v>
      </c>
      <c r="G356" s="22" t="s">
        <v>23</v>
      </c>
      <c r="H356" s="3" t="str">
        <f>'AFI-F6'!$G$3</f>
        <v>CYC </v>
      </c>
      <c r="I356" s="24">
        <f>'AFI-F6'!B17</f>
        <v>46046</v>
      </c>
      <c r="J356" s="2" t="str">
        <f>'AFI-F6'!C17</f>
        <v>O5375028</v>
      </c>
      <c r="K356" s="2" t="str">
        <f>'AFI-F6'!D17</f>
        <v>María Ysabel Ruiz López</v>
      </c>
      <c r="L356" s="2" t="str">
        <f>'AFI-F6'!E17</f>
        <v>maisarulo@gmail.com</v>
      </c>
      <c r="M356" s="2" t="str">
        <f>'AFI-F6'!F17</f>
        <v/>
      </c>
      <c r="N356" s="2" t="str">
        <f>'AFI-F6'!G17</f>
        <v>965 661 435</v>
      </c>
      <c r="O356" s="2" t="str">
        <f>'AFI-F6'!H17</f>
        <v>X</v>
      </c>
      <c r="P356" s="2" t="str">
        <f>'AFI-F6'!I17</f>
        <v/>
      </c>
      <c r="Q356" s="2">
        <f>'AFI-F6'!J17</f>
        <v>190</v>
      </c>
      <c r="R356" s="2" t="str">
        <f>'AFI-F6'!K17</f>
        <v/>
      </c>
      <c r="S356" s="2" t="str">
        <f>'AFI-F6'!L17</f>
        <v>PAGO</v>
      </c>
      <c r="T356" s="2" t="str">
        <f>'AFI-F6'!M17</f>
        <v>PLIN JL</v>
      </c>
      <c r="U356" s="2">
        <f>'AFI-F6'!N17</f>
        <v>190</v>
      </c>
      <c r="V356" s="2" t="str">
        <f>'AFI-F6'!O17</f>
        <v/>
      </c>
      <c r="W356" s="2" t="str">
        <f>'AFI-F6'!P17</f>
        <v>Greici</v>
      </c>
      <c r="X356" s="5">
        <f>'AFI-F6'!Q17</f>
        <v>190</v>
      </c>
      <c r="Y356" s="1"/>
      <c r="Z356" s="1"/>
      <c r="AA356" s="1"/>
    </row>
    <row r="357">
      <c r="A357" s="1"/>
      <c r="B357" s="14">
        <f t="shared" si="10"/>
        <v>14</v>
      </c>
      <c r="C357" s="22" t="str">
        <f t="shared" si="1"/>
        <v>diciembre</v>
      </c>
      <c r="D357" s="22">
        <f t="shared" si="2"/>
        <v>52</v>
      </c>
      <c r="E357" s="23" t="str">
        <f t="shared" si="3"/>
        <v>sábado</v>
      </c>
      <c r="F357" s="22">
        <f t="shared" si="4"/>
        <v>30</v>
      </c>
      <c r="G357" s="22" t="s">
        <v>23</v>
      </c>
      <c r="H357" s="3" t="str">
        <f>'AFI-F6'!$G$3</f>
        <v>CYC </v>
      </c>
      <c r="I357" s="24" t="str">
        <f>'AFI-F6'!B18</f>
        <v/>
      </c>
      <c r="J357" s="2" t="str">
        <f>'AFI-F6'!C18</f>
        <v/>
      </c>
      <c r="K357" s="2" t="str">
        <f>'AFI-F6'!D18</f>
        <v/>
      </c>
      <c r="L357" s="2" t="str">
        <f>'AFI-F6'!E18</f>
        <v/>
      </c>
      <c r="M357" s="2" t="str">
        <f>'AFI-F6'!F18</f>
        <v/>
      </c>
      <c r="N357" s="2" t="str">
        <f>'AFI-F6'!G18</f>
        <v/>
      </c>
      <c r="O357" s="2" t="str">
        <f>'AFI-F6'!H18</f>
        <v/>
      </c>
      <c r="P357" s="2" t="str">
        <f>'AFI-F6'!I18</f>
        <v/>
      </c>
      <c r="Q357" s="2" t="str">
        <f>'AFI-F6'!J18</f>
        <v/>
      </c>
      <c r="R357" s="2" t="str">
        <f>'AFI-F6'!K18</f>
        <v/>
      </c>
      <c r="S357" s="2" t="str">
        <f>'AFI-F6'!L18</f>
        <v/>
      </c>
      <c r="T357" s="2" t="str">
        <f>'AFI-F6'!M18</f>
        <v/>
      </c>
      <c r="U357" s="2" t="str">
        <f>'AFI-F6'!N18</f>
        <v/>
      </c>
      <c r="V357" s="2" t="str">
        <f>'AFI-F6'!O18</f>
        <v/>
      </c>
      <c r="W357" s="2" t="str">
        <f>'AFI-F6'!P18</f>
        <v/>
      </c>
      <c r="X357" s="5">
        <f>'AFI-F6'!Q18</f>
        <v>0</v>
      </c>
      <c r="Y357" s="1"/>
      <c r="Z357" s="1"/>
      <c r="AA357" s="1"/>
    </row>
    <row r="358">
      <c r="A358" s="1"/>
      <c r="B358" s="14">
        <f t="shared" si="10"/>
        <v>15</v>
      </c>
      <c r="C358" s="22" t="str">
        <f t="shared" si="1"/>
        <v>diciembre</v>
      </c>
      <c r="D358" s="22">
        <f t="shared" si="2"/>
        <v>52</v>
      </c>
      <c r="E358" s="23" t="str">
        <f t="shared" si="3"/>
        <v>sábado</v>
      </c>
      <c r="F358" s="22">
        <f t="shared" si="4"/>
        <v>30</v>
      </c>
      <c r="G358" s="22" t="s">
        <v>23</v>
      </c>
      <c r="H358" s="3" t="str">
        <f>'AFI-F6'!$G$3</f>
        <v>CYC </v>
      </c>
      <c r="I358" s="24" t="str">
        <f>'AFI-F6'!B19</f>
        <v/>
      </c>
      <c r="J358" s="2" t="str">
        <f>'AFI-F6'!C19</f>
        <v/>
      </c>
      <c r="K358" s="2" t="str">
        <f>'AFI-F6'!D19</f>
        <v/>
      </c>
      <c r="L358" s="2" t="str">
        <f>'AFI-F6'!E19</f>
        <v/>
      </c>
      <c r="M358" s="2" t="str">
        <f>'AFI-F6'!F19</f>
        <v/>
      </c>
      <c r="N358" s="2" t="str">
        <f>'AFI-F6'!G19</f>
        <v/>
      </c>
      <c r="O358" s="2" t="str">
        <f>'AFI-F6'!H19</f>
        <v/>
      </c>
      <c r="P358" s="2" t="str">
        <f>'AFI-F6'!I19</f>
        <v/>
      </c>
      <c r="Q358" s="2" t="str">
        <f>'AFI-F6'!J19</f>
        <v/>
      </c>
      <c r="R358" s="2" t="str">
        <f>'AFI-F6'!K19</f>
        <v/>
      </c>
      <c r="S358" s="2" t="str">
        <f>'AFI-F6'!L19</f>
        <v/>
      </c>
      <c r="T358" s="2" t="str">
        <f>'AFI-F6'!M19</f>
        <v/>
      </c>
      <c r="U358" s="2" t="str">
        <f>'AFI-F6'!N19</f>
        <v/>
      </c>
      <c r="V358" s="2" t="str">
        <f>'AFI-F6'!O19</f>
        <v/>
      </c>
      <c r="W358" s="2" t="str">
        <f>'AFI-F6'!P19</f>
        <v/>
      </c>
      <c r="X358" s="5">
        <f>'AFI-F6'!Q19</f>
        <v>0</v>
      </c>
      <c r="Y358" s="1"/>
      <c r="Z358" s="1"/>
      <c r="AA358" s="1"/>
    </row>
    <row r="359">
      <c r="A359" s="1"/>
      <c r="B359" s="14">
        <f t="shared" si="10"/>
        <v>16</v>
      </c>
      <c r="C359" s="22" t="str">
        <f t="shared" si="1"/>
        <v>diciembre</v>
      </c>
      <c r="D359" s="22">
        <f t="shared" si="2"/>
        <v>52</v>
      </c>
      <c r="E359" s="23" t="str">
        <f t="shared" si="3"/>
        <v>sábado</v>
      </c>
      <c r="F359" s="22">
        <f t="shared" si="4"/>
        <v>30</v>
      </c>
      <c r="G359" s="22" t="s">
        <v>23</v>
      </c>
      <c r="H359" s="3" t="str">
        <f>'AFI-F6'!$G$3</f>
        <v>CYC </v>
      </c>
      <c r="I359" s="24" t="str">
        <f>'AFI-F6'!B20</f>
        <v/>
      </c>
      <c r="J359" s="2" t="str">
        <f>'AFI-F6'!C20</f>
        <v/>
      </c>
      <c r="K359" s="2" t="str">
        <f>'AFI-F6'!D20</f>
        <v/>
      </c>
      <c r="L359" s="2" t="str">
        <f>'AFI-F6'!E20</f>
        <v/>
      </c>
      <c r="M359" s="2" t="str">
        <f>'AFI-F6'!F20</f>
        <v/>
      </c>
      <c r="N359" s="2" t="str">
        <f>'AFI-F6'!G20</f>
        <v/>
      </c>
      <c r="O359" s="2" t="str">
        <f>'AFI-F6'!H20</f>
        <v/>
      </c>
      <c r="P359" s="2" t="str">
        <f>'AFI-F6'!I20</f>
        <v/>
      </c>
      <c r="Q359" s="2" t="str">
        <f>'AFI-F6'!J20</f>
        <v/>
      </c>
      <c r="R359" s="2" t="str">
        <f>'AFI-F6'!K20</f>
        <v/>
      </c>
      <c r="S359" s="2" t="str">
        <f>'AFI-F6'!L20</f>
        <v/>
      </c>
      <c r="T359" s="2" t="str">
        <f>'AFI-F6'!M20</f>
        <v/>
      </c>
      <c r="U359" s="2" t="str">
        <f>'AFI-F6'!N20</f>
        <v/>
      </c>
      <c r="V359" s="2" t="str">
        <f>'AFI-F6'!O20</f>
        <v/>
      </c>
      <c r="W359" s="2" t="str">
        <f>'AFI-F6'!P20</f>
        <v/>
      </c>
      <c r="X359" s="5">
        <f>'AFI-F6'!Q20</f>
        <v>0</v>
      </c>
      <c r="Y359" s="1"/>
      <c r="Z359" s="1"/>
      <c r="AA359" s="1"/>
    </row>
    <row r="360">
      <c r="A360" s="1"/>
      <c r="B360" s="14">
        <f t="shared" si="10"/>
        <v>17</v>
      </c>
      <c r="C360" s="22" t="str">
        <f t="shared" si="1"/>
        <v>diciembre</v>
      </c>
      <c r="D360" s="22">
        <f t="shared" si="2"/>
        <v>52</v>
      </c>
      <c r="E360" s="23" t="str">
        <f t="shared" si="3"/>
        <v>sábado</v>
      </c>
      <c r="F360" s="22">
        <f t="shared" si="4"/>
        <v>30</v>
      </c>
      <c r="G360" s="22" t="s">
        <v>23</v>
      </c>
      <c r="H360" s="3" t="str">
        <f>'AFI-F6'!$G$3</f>
        <v>CYC </v>
      </c>
      <c r="I360" s="24" t="str">
        <f>'AFI-F6'!B21</f>
        <v/>
      </c>
      <c r="J360" s="2" t="str">
        <f>'AFI-F6'!C21</f>
        <v/>
      </c>
      <c r="K360" s="2" t="str">
        <f>'AFI-F6'!D21</f>
        <v/>
      </c>
      <c r="L360" s="2" t="str">
        <f>'AFI-F6'!E21</f>
        <v/>
      </c>
      <c r="M360" s="2" t="str">
        <f>'AFI-F6'!F21</f>
        <v/>
      </c>
      <c r="N360" s="2" t="str">
        <f>'AFI-F6'!G21</f>
        <v/>
      </c>
      <c r="O360" s="2" t="str">
        <f>'AFI-F6'!H21</f>
        <v/>
      </c>
      <c r="P360" s="2" t="str">
        <f>'AFI-F6'!I21</f>
        <v/>
      </c>
      <c r="Q360" s="2" t="str">
        <f>'AFI-F6'!J21</f>
        <v/>
      </c>
      <c r="R360" s="2" t="str">
        <f>'AFI-F6'!K21</f>
        <v/>
      </c>
      <c r="S360" s="2" t="str">
        <f>'AFI-F6'!L21</f>
        <v/>
      </c>
      <c r="T360" s="2" t="str">
        <f>'AFI-F6'!M21</f>
        <v/>
      </c>
      <c r="U360" s="2" t="str">
        <f>'AFI-F6'!N21</f>
        <v/>
      </c>
      <c r="V360" s="2" t="str">
        <f>'AFI-F6'!O21</f>
        <v/>
      </c>
      <c r="W360" s="2" t="str">
        <f>'AFI-F6'!P21</f>
        <v/>
      </c>
      <c r="X360" s="5">
        <f>'AFI-F6'!Q21</f>
        <v>0</v>
      </c>
      <c r="Y360" s="1"/>
      <c r="Z360" s="1"/>
      <c r="AA360" s="1"/>
    </row>
    <row r="361">
      <c r="A361" s="1"/>
      <c r="B361" s="14">
        <f t="shared" si="10"/>
        <v>18</v>
      </c>
      <c r="C361" s="22" t="str">
        <f t="shared" si="1"/>
        <v>diciembre</v>
      </c>
      <c r="D361" s="22">
        <f t="shared" si="2"/>
        <v>52</v>
      </c>
      <c r="E361" s="23" t="str">
        <f t="shared" si="3"/>
        <v>sábado</v>
      </c>
      <c r="F361" s="22">
        <f t="shared" si="4"/>
        <v>30</v>
      </c>
      <c r="G361" s="22" t="s">
        <v>23</v>
      </c>
      <c r="H361" s="3" t="str">
        <f>'AFI-F6'!$G$3</f>
        <v>CYC </v>
      </c>
      <c r="I361" s="24" t="str">
        <f>'AFI-F6'!B22</f>
        <v/>
      </c>
      <c r="J361" s="2" t="str">
        <f>'AFI-F6'!C22</f>
        <v/>
      </c>
      <c r="K361" s="2" t="str">
        <f>'AFI-F6'!D22</f>
        <v/>
      </c>
      <c r="L361" s="2" t="str">
        <f>'AFI-F6'!E22</f>
        <v/>
      </c>
      <c r="M361" s="2" t="str">
        <f>'AFI-F6'!F22</f>
        <v/>
      </c>
      <c r="N361" s="2" t="str">
        <f>'AFI-F6'!G22</f>
        <v/>
      </c>
      <c r="O361" s="2" t="str">
        <f>'AFI-F6'!H22</f>
        <v/>
      </c>
      <c r="P361" s="2" t="str">
        <f>'AFI-F6'!I22</f>
        <v/>
      </c>
      <c r="Q361" s="2" t="str">
        <f>'AFI-F6'!J22</f>
        <v/>
      </c>
      <c r="R361" s="2" t="str">
        <f>'AFI-F6'!K22</f>
        <v/>
      </c>
      <c r="S361" s="2" t="str">
        <f>'AFI-F6'!L22</f>
        <v/>
      </c>
      <c r="T361" s="2" t="str">
        <f>'AFI-F6'!M22</f>
        <v/>
      </c>
      <c r="U361" s="2" t="str">
        <f>'AFI-F6'!N22</f>
        <v/>
      </c>
      <c r="V361" s="2" t="str">
        <f>'AFI-F6'!O22</f>
        <v/>
      </c>
      <c r="W361" s="2" t="str">
        <f>'AFI-F6'!P22</f>
        <v/>
      </c>
      <c r="X361" s="5">
        <f>'AFI-F6'!Q22</f>
        <v>0</v>
      </c>
      <c r="Y361" s="1"/>
      <c r="Z361" s="1"/>
      <c r="AA361" s="1"/>
    </row>
    <row r="362">
      <c r="A362" s="1"/>
      <c r="B362" s="14">
        <f t="shared" si="10"/>
        <v>19</v>
      </c>
      <c r="C362" s="22" t="str">
        <f t="shared" si="1"/>
        <v>diciembre</v>
      </c>
      <c r="D362" s="22">
        <f t="shared" si="2"/>
        <v>52</v>
      </c>
      <c r="E362" s="23" t="str">
        <f t="shared" si="3"/>
        <v>sábado</v>
      </c>
      <c r="F362" s="22">
        <f t="shared" si="4"/>
        <v>30</v>
      </c>
      <c r="G362" s="22" t="s">
        <v>23</v>
      </c>
      <c r="H362" s="3" t="str">
        <f>'AFI-F6'!$G$3</f>
        <v>CYC </v>
      </c>
      <c r="I362" s="24" t="str">
        <f>'AFI-F6'!B23</f>
        <v/>
      </c>
      <c r="J362" s="2" t="str">
        <f>'AFI-F6'!C23</f>
        <v/>
      </c>
      <c r="K362" s="2" t="str">
        <f>'AFI-F6'!D23</f>
        <v/>
      </c>
      <c r="L362" s="2" t="str">
        <f>'AFI-F6'!E23</f>
        <v/>
      </c>
      <c r="M362" s="2" t="str">
        <f>'AFI-F6'!F23</f>
        <v/>
      </c>
      <c r="N362" s="2" t="str">
        <f>'AFI-F6'!G23</f>
        <v/>
      </c>
      <c r="O362" s="2" t="str">
        <f>'AFI-F6'!H23</f>
        <v/>
      </c>
      <c r="P362" s="2" t="str">
        <f>'AFI-F6'!I23</f>
        <v/>
      </c>
      <c r="Q362" s="2" t="str">
        <f>'AFI-F6'!J23</f>
        <v/>
      </c>
      <c r="R362" s="2" t="str">
        <f>'AFI-F6'!K23</f>
        <v/>
      </c>
      <c r="S362" s="2" t="str">
        <f>'AFI-F6'!L23</f>
        <v/>
      </c>
      <c r="T362" s="2" t="str">
        <f>'AFI-F6'!M23</f>
        <v/>
      </c>
      <c r="U362" s="2" t="str">
        <f>'AFI-F6'!N23</f>
        <v/>
      </c>
      <c r="V362" s="2" t="str">
        <f>'AFI-F6'!O23</f>
        <v/>
      </c>
      <c r="W362" s="2" t="str">
        <f>'AFI-F6'!P23</f>
        <v/>
      </c>
      <c r="X362" s="5">
        <f>'AFI-F6'!Q23</f>
        <v>0</v>
      </c>
      <c r="Y362" s="1"/>
      <c r="Z362" s="1"/>
      <c r="AA362" s="1"/>
    </row>
    <row r="363">
      <c r="A363" s="1"/>
      <c r="B363" s="14">
        <f t="shared" si="10"/>
        <v>20</v>
      </c>
      <c r="C363" s="22" t="str">
        <f t="shared" si="1"/>
        <v>diciembre</v>
      </c>
      <c r="D363" s="22">
        <f t="shared" si="2"/>
        <v>52</v>
      </c>
      <c r="E363" s="23" t="str">
        <f t="shared" si="3"/>
        <v>sábado</v>
      </c>
      <c r="F363" s="22">
        <f t="shared" si="4"/>
        <v>30</v>
      </c>
      <c r="G363" s="22" t="s">
        <v>23</v>
      </c>
      <c r="H363" s="3" t="str">
        <f>'AFI-F6'!$G$3</f>
        <v>CYC </v>
      </c>
      <c r="I363" s="24" t="str">
        <f>'AFI-F6'!B24</f>
        <v/>
      </c>
      <c r="J363" s="2" t="str">
        <f>'AFI-F6'!C24</f>
        <v/>
      </c>
      <c r="K363" s="2" t="str">
        <f>'AFI-F6'!D24</f>
        <v/>
      </c>
      <c r="L363" s="2" t="str">
        <f>'AFI-F6'!E24</f>
        <v/>
      </c>
      <c r="M363" s="2" t="str">
        <f>'AFI-F6'!F24</f>
        <v/>
      </c>
      <c r="N363" s="2" t="str">
        <f>'AFI-F6'!G24</f>
        <v/>
      </c>
      <c r="O363" s="2" t="str">
        <f>'AFI-F6'!H24</f>
        <v/>
      </c>
      <c r="P363" s="2" t="str">
        <f>'AFI-F6'!I24</f>
        <v/>
      </c>
      <c r="Q363" s="2" t="str">
        <f>'AFI-F6'!J24</f>
        <v/>
      </c>
      <c r="R363" s="2" t="str">
        <f>'AFI-F6'!K24</f>
        <v/>
      </c>
      <c r="S363" s="2" t="str">
        <f>'AFI-F6'!L24</f>
        <v/>
      </c>
      <c r="T363" s="2" t="str">
        <f>'AFI-F6'!M24</f>
        <v/>
      </c>
      <c r="U363" s="2" t="str">
        <f>'AFI-F6'!N24</f>
        <v/>
      </c>
      <c r="V363" s="2" t="str">
        <f>'AFI-F6'!O24</f>
        <v/>
      </c>
      <c r="W363" s="2" t="str">
        <f>'AFI-F6'!P24</f>
        <v/>
      </c>
      <c r="X363" s="5">
        <f>'AFI-F6'!Q24</f>
        <v>0</v>
      </c>
      <c r="Y363" s="1"/>
      <c r="Z363" s="1"/>
      <c r="AA363" s="1"/>
    </row>
    <row r="364">
      <c r="A364" s="1"/>
      <c r="B364" s="14">
        <f t="shared" si="10"/>
        <v>21</v>
      </c>
      <c r="C364" s="22" t="str">
        <f t="shared" si="1"/>
        <v>diciembre</v>
      </c>
      <c r="D364" s="22">
        <f t="shared" si="2"/>
        <v>52</v>
      </c>
      <c r="E364" s="23" t="str">
        <f t="shared" si="3"/>
        <v>sábado</v>
      </c>
      <c r="F364" s="22">
        <f t="shared" si="4"/>
        <v>30</v>
      </c>
      <c r="G364" s="22" t="s">
        <v>23</v>
      </c>
      <c r="H364" s="3" t="str">
        <f>'AFI-F6'!$G$3</f>
        <v>CYC </v>
      </c>
      <c r="I364" s="24" t="str">
        <f>'AFI-F6'!B25</f>
        <v/>
      </c>
      <c r="J364" s="2" t="str">
        <f>'AFI-F6'!C25</f>
        <v/>
      </c>
      <c r="K364" s="2" t="str">
        <f>'AFI-F6'!D25</f>
        <v/>
      </c>
      <c r="L364" s="2" t="str">
        <f>'AFI-F6'!E25</f>
        <v/>
      </c>
      <c r="M364" s="2" t="str">
        <f>'AFI-F6'!F25</f>
        <v/>
      </c>
      <c r="N364" s="2" t="str">
        <f>'AFI-F6'!G25</f>
        <v/>
      </c>
      <c r="O364" s="2" t="str">
        <f>'AFI-F6'!H25</f>
        <v/>
      </c>
      <c r="P364" s="2" t="str">
        <f>'AFI-F6'!I25</f>
        <v/>
      </c>
      <c r="Q364" s="2" t="str">
        <f>'AFI-F6'!J25</f>
        <v/>
      </c>
      <c r="R364" s="2" t="str">
        <f>'AFI-F6'!K25</f>
        <v/>
      </c>
      <c r="S364" s="2" t="str">
        <f>'AFI-F6'!L25</f>
        <v/>
      </c>
      <c r="T364" s="2" t="str">
        <f>'AFI-F6'!M25</f>
        <v/>
      </c>
      <c r="U364" s="2" t="str">
        <f>'AFI-F6'!N25</f>
        <v/>
      </c>
      <c r="V364" s="2" t="str">
        <f>'AFI-F6'!O25</f>
        <v/>
      </c>
      <c r="W364" s="2" t="str">
        <f>'AFI-F6'!P25</f>
        <v/>
      </c>
      <c r="X364" s="5">
        <f>'AFI-F6'!Q25</f>
        <v>0</v>
      </c>
      <c r="Y364" s="1"/>
      <c r="Z364" s="1"/>
      <c r="AA364" s="1"/>
    </row>
    <row r="365">
      <c r="A365" s="1"/>
      <c r="B365" s="14">
        <f t="shared" si="10"/>
        <v>22</v>
      </c>
      <c r="C365" s="22" t="str">
        <f t="shared" si="1"/>
        <v>diciembre</v>
      </c>
      <c r="D365" s="22">
        <f t="shared" si="2"/>
        <v>52</v>
      </c>
      <c r="E365" s="23" t="str">
        <f t="shared" si="3"/>
        <v>sábado</v>
      </c>
      <c r="F365" s="22">
        <f t="shared" si="4"/>
        <v>30</v>
      </c>
      <c r="G365" s="22" t="s">
        <v>23</v>
      </c>
      <c r="H365" s="3" t="str">
        <f>'AFI-F6'!$G$3</f>
        <v>CYC </v>
      </c>
      <c r="I365" s="24" t="str">
        <f>'AFI-F6'!B26</f>
        <v/>
      </c>
      <c r="J365" s="2" t="str">
        <f>'AFI-F6'!C26</f>
        <v/>
      </c>
      <c r="K365" s="2" t="str">
        <f>'AFI-F6'!D26</f>
        <v/>
      </c>
      <c r="L365" s="2" t="str">
        <f>'AFI-F6'!E26</f>
        <v/>
      </c>
      <c r="M365" s="2" t="str">
        <f>'AFI-F6'!F26</f>
        <v/>
      </c>
      <c r="N365" s="2" t="str">
        <f>'AFI-F6'!G26</f>
        <v/>
      </c>
      <c r="O365" s="2" t="str">
        <f>'AFI-F6'!H26</f>
        <v/>
      </c>
      <c r="P365" s="2" t="str">
        <f>'AFI-F6'!I26</f>
        <v/>
      </c>
      <c r="Q365" s="2" t="str">
        <f>'AFI-F6'!J26</f>
        <v/>
      </c>
      <c r="R365" s="2" t="str">
        <f>'AFI-F6'!K26</f>
        <v/>
      </c>
      <c r="S365" s="2" t="str">
        <f>'AFI-F6'!L26</f>
        <v/>
      </c>
      <c r="T365" s="2" t="str">
        <f>'AFI-F6'!M26</f>
        <v/>
      </c>
      <c r="U365" s="2" t="str">
        <f>'AFI-F6'!N26</f>
        <v/>
      </c>
      <c r="V365" s="2" t="str">
        <f>'AFI-F6'!O26</f>
        <v/>
      </c>
      <c r="W365" s="2" t="str">
        <f>'AFI-F6'!P26</f>
        <v/>
      </c>
      <c r="X365" s="5">
        <f>'AFI-F6'!Q26</f>
        <v>0</v>
      </c>
      <c r="Y365" s="1"/>
      <c r="Z365" s="1"/>
      <c r="AA365" s="1"/>
    </row>
    <row r="366">
      <c r="A366" s="1"/>
      <c r="B366" s="14">
        <f t="shared" si="10"/>
        <v>23</v>
      </c>
      <c r="C366" s="22" t="str">
        <f t="shared" si="1"/>
        <v>diciembre</v>
      </c>
      <c r="D366" s="22">
        <f t="shared" si="2"/>
        <v>52</v>
      </c>
      <c r="E366" s="23" t="str">
        <f t="shared" si="3"/>
        <v>sábado</v>
      </c>
      <c r="F366" s="22">
        <f t="shared" si="4"/>
        <v>30</v>
      </c>
      <c r="G366" s="22" t="s">
        <v>23</v>
      </c>
      <c r="H366" s="3" t="str">
        <f>'AFI-F6'!$G$3</f>
        <v>CYC </v>
      </c>
      <c r="I366" s="24" t="str">
        <f>'AFI-F6'!B27</f>
        <v/>
      </c>
      <c r="J366" s="2" t="str">
        <f>'AFI-F6'!C27</f>
        <v/>
      </c>
      <c r="K366" s="2" t="str">
        <f>'AFI-F6'!D27</f>
        <v/>
      </c>
      <c r="L366" s="2" t="str">
        <f>'AFI-F6'!E27</f>
        <v/>
      </c>
      <c r="M366" s="2" t="str">
        <f>'AFI-F6'!F27</f>
        <v/>
      </c>
      <c r="N366" s="2" t="str">
        <f>'AFI-F6'!G27</f>
        <v/>
      </c>
      <c r="O366" s="2" t="str">
        <f>'AFI-F6'!H27</f>
        <v/>
      </c>
      <c r="P366" s="2" t="str">
        <f>'AFI-F6'!I27</f>
        <v/>
      </c>
      <c r="Q366" s="2" t="str">
        <f>'AFI-F6'!J27</f>
        <v/>
      </c>
      <c r="R366" s="2" t="str">
        <f>'AFI-F6'!K27</f>
        <v/>
      </c>
      <c r="S366" s="2" t="str">
        <f>'AFI-F6'!L27</f>
        <v/>
      </c>
      <c r="T366" s="2" t="str">
        <f>'AFI-F6'!M27</f>
        <v/>
      </c>
      <c r="U366" s="2" t="str">
        <f>'AFI-F6'!N27</f>
        <v/>
      </c>
      <c r="V366" s="2" t="str">
        <f>'AFI-F6'!O27</f>
        <v/>
      </c>
      <c r="W366" s="2" t="str">
        <f>'AFI-F6'!P27</f>
        <v/>
      </c>
      <c r="X366" s="5">
        <f>'AFI-F6'!Q27</f>
        <v>0</v>
      </c>
      <c r="Y366" s="1"/>
      <c r="Z366" s="1"/>
      <c r="AA366" s="1"/>
    </row>
    <row r="367">
      <c r="A367" s="1"/>
      <c r="B367" s="14">
        <f t="shared" si="10"/>
        <v>24</v>
      </c>
      <c r="C367" s="22" t="str">
        <f t="shared" si="1"/>
        <v>diciembre</v>
      </c>
      <c r="D367" s="22">
        <f t="shared" si="2"/>
        <v>52</v>
      </c>
      <c r="E367" s="23" t="str">
        <f t="shared" si="3"/>
        <v>sábado</v>
      </c>
      <c r="F367" s="22">
        <f t="shared" si="4"/>
        <v>30</v>
      </c>
      <c r="G367" s="22" t="s">
        <v>23</v>
      </c>
      <c r="H367" s="3" t="str">
        <f>'AFI-F6'!$G$3</f>
        <v>CYC </v>
      </c>
      <c r="I367" s="24" t="str">
        <f>'AFI-F6'!B28</f>
        <v/>
      </c>
      <c r="J367" s="2" t="str">
        <f>'AFI-F6'!C28</f>
        <v/>
      </c>
      <c r="K367" s="2" t="str">
        <f>'AFI-F6'!D28</f>
        <v/>
      </c>
      <c r="L367" s="2" t="str">
        <f>'AFI-F6'!E28</f>
        <v/>
      </c>
      <c r="M367" s="2" t="str">
        <f>'AFI-F6'!F28</f>
        <v/>
      </c>
      <c r="N367" s="2" t="str">
        <f>'AFI-F6'!G28</f>
        <v/>
      </c>
      <c r="O367" s="2" t="str">
        <f>'AFI-F6'!H28</f>
        <v/>
      </c>
      <c r="P367" s="2" t="str">
        <f>'AFI-F6'!I28</f>
        <v/>
      </c>
      <c r="Q367" s="2" t="str">
        <f>'AFI-F6'!J28</f>
        <v/>
      </c>
      <c r="R367" s="2" t="str">
        <f>'AFI-F6'!K28</f>
        <v/>
      </c>
      <c r="S367" s="2" t="str">
        <f>'AFI-F6'!L28</f>
        <v/>
      </c>
      <c r="T367" s="2" t="str">
        <f>'AFI-F6'!M28</f>
        <v/>
      </c>
      <c r="U367" s="2" t="str">
        <f>'AFI-F6'!N28</f>
        <v/>
      </c>
      <c r="V367" s="2" t="str">
        <f>'AFI-F6'!O28</f>
        <v/>
      </c>
      <c r="W367" s="2" t="str">
        <f>'AFI-F6'!P28</f>
        <v/>
      </c>
      <c r="X367" s="5">
        <f>'AFI-F6'!Q28</f>
        <v>0</v>
      </c>
      <c r="Y367" s="1"/>
      <c r="Z367" s="1"/>
      <c r="AA367" s="1"/>
    </row>
    <row r="368">
      <c r="A368" s="1"/>
      <c r="B368" s="14">
        <f t="shared" si="10"/>
        <v>25</v>
      </c>
      <c r="C368" s="22" t="str">
        <f t="shared" si="1"/>
        <v>diciembre</v>
      </c>
      <c r="D368" s="22">
        <f t="shared" si="2"/>
        <v>52</v>
      </c>
      <c r="E368" s="23" t="str">
        <f t="shared" si="3"/>
        <v>sábado</v>
      </c>
      <c r="F368" s="22">
        <f t="shared" si="4"/>
        <v>30</v>
      </c>
      <c r="G368" s="22" t="s">
        <v>23</v>
      </c>
      <c r="H368" s="3" t="str">
        <f>'AFI-F6'!$G$3</f>
        <v>CYC </v>
      </c>
      <c r="I368" s="24" t="str">
        <f>'AFI-F6'!B29</f>
        <v/>
      </c>
      <c r="J368" s="2" t="str">
        <f>'AFI-F6'!C29</f>
        <v/>
      </c>
      <c r="K368" s="2" t="str">
        <f>'AFI-F6'!D29</f>
        <v/>
      </c>
      <c r="L368" s="2" t="str">
        <f>'AFI-F6'!E29</f>
        <v/>
      </c>
      <c r="M368" s="2" t="str">
        <f>'AFI-F6'!F29</f>
        <v/>
      </c>
      <c r="N368" s="2" t="str">
        <f>'AFI-F6'!G29</f>
        <v/>
      </c>
      <c r="O368" s="2" t="str">
        <f>'AFI-F6'!H29</f>
        <v/>
      </c>
      <c r="P368" s="2" t="str">
        <f>'AFI-F6'!I29</f>
        <v/>
      </c>
      <c r="Q368" s="2" t="str">
        <f>'AFI-F6'!J29</f>
        <v/>
      </c>
      <c r="R368" s="2" t="str">
        <f>'AFI-F6'!K29</f>
        <v/>
      </c>
      <c r="S368" s="2" t="str">
        <f>'AFI-F6'!L29</f>
        <v/>
      </c>
      <c r="T368" s="2" t="str">
        <f>'AFI-F6'!M29</f>
        <v/>
      </c>
      <c r="U368" s="2" t="str">
        <f>'AFI-F6'!N29</f>
        <v/>
      </c>
      <c r="V368" s="2" t="str">
        <f>'AFI-F6'!O29</f>
        <v/>
      </c>
      <c r="W368" s="2" t="str">
        <f>'AFI-F6'!P29</f>
        <v/>
      </c>
      <c r="X368" s="5">
        <f>'AFI-F6'!Q29</f>
        <v>0</v>
      </c>
      <c r="Y368" s="1"/>
      <c r="Z368" s="1"/>
      <c r="AA368" s="1"/>
    </row>
    <row r="369">
      <c r="A369" s="1"/>
      <c r="B369" s="14">
        <f t="shared" si="10"/>
        <v>26</v>
      </c>
      <c r="C369" s="22" t="str">
        <f t="shared" si="1"/>
        <v>diciembre</v>
      </c>
      <c r="D369" s="22">
        <f t="shared" si="2"/>
        <v>52</v>
      </c>
      <c r="E369" s="23" t="str">
        <f t="shared" si="3"/>
        <v>sábado</v>
      </c>
      <c r="F369" s="22">
        <f t="shared" si="4"/>
        <v>30</v>
      </c>
      <c r="G369" s="22" t="s">
        <v>23</v>
      </c>
      <c r="H369" s="3" t="str">
        <f>'AFI-F6'!$G$3</f>
        <v>CYC </v>
      </c>
      <c r="I369" s="24" t="str">
        <f>'AFI-F6'!B30</f>
        <v/>
      </c>
      <c r="J369" s="2" t="str">
        <f>'AFI-F6'!C30</f>
        <v/>
      </c>
      <c r="K369" s="2" t="str">
        <f>'AFI-F6'!D30</f>
        <v/>
      </c>
      <c r="L369" s="2" t="str">
        <f>'AFI-F6'!E30</f>
        <v/>
      </c>
      <c r="M369" s="2" t="str">
        <f>'AFI-F6'!F30</f>
        <v/>
      </c>
      <c r="N369" s="2" t="str">
        <f>'AFI-F6'!G30</f>
        <v/>
      </c>
      <c r="O369" s="2" t="str">
        <f>'AFI-F6'!H30</f>
        <v/>
      </c>
      <c r="P369" s="2" t="str">
        <f>'AFI-F6'!I30</f>
        <v/>
      </c>
      <c r="Q369" s="2" t="str">
        <f>'AFI-F6'!J30</f>
        <v/>
      </c>
      <c r="R369" s="2" t="str">
        <f>'AFI-F6'!K30</f>
        <v/>
      </c>
      <c r="S369" s="2" t="str">
        <f>'AFI-F6'!L30</f>
        <v/>
      </c>
      <c r="T369" s="2" t="str">
        <f>'AFI-F6'!M30</f>
        <v/>
      </c>
      <c r="U369" s="2" t="str">
        <f>'AFI-F6'!N30</f>
        <v/>
      </c>
      <c r="V369" s="2" t="str">
        <f>'AFI-F6'!O30</f>
        <v/>
      </c>
      <c r="W369" s="2" t="str">
        <f>'AFI-F6'!P30</f>
        <v/>
      </c>
      <c r="X369" s="5">
        <f>'AFI-F6'!Q30</f>
        <v>0</v>
      </c>
      <c r="Y369" s="1"/>
      <c r="Z369" s="1"/>
      <c r="AA369" s="1"/>
    </row>
    <row r="370">
      <c r="A370" s="1"/>
      <c r="B370" s="14">
        <f t="shared" si="10"/>
        <v>27</v>
      </c>
      <c r="C370" s="22" t="str">
        <f t="shared" si="1"/>
        <v>diciembre</v>
      </c>
      <c r="D370" s="22">
        <f t="shared" si="2"/>
        <v>52</v>
      </c>
      <c r="E370" s="23" t="str">
        <f t="shared" si="3"/>
        <v>sábado</v>
      </c>
      <c r="F370" s="22">
        <f t="shared" si="4"/>
        <v>30</v>
      </c>
      <c r="G370" s="22" t="s">
        <v>23</v>
      </c>
      <c r="H370" s="3" t="str">
        <f>'AFI-F6'!$G$3</f>
        <v>CYC </v>
      </c>
      <c r="I370" s="24" t="str">
        <f>'AFI-F6'!B31</f>
        <v/>
      </c>
      <c r="J370" s="2" t="str">
        <f>'AFI-F6'!C31</f>
        <v/>
      </c>
      <c r="K370" s="2" t="str">
        <f>'AFI-F6'!D31</f>
        <v/>
      </c>
      <c r="L370" s="2" t="str">
        <f>'AFI-F6'!E31</f>
        <v/>
      </c>
      <c r="M370" s="2" t="str">
        <f>'AFI-F6'!F31</f>
        <v/>
      </c>
      <c r="N370" s="2" t="str">
        <f>'AFI-F6'!G31</f>
        <v/>
      </c>
      <c r="O370" s="2" t="str">
        <f>'AFI-F6'!H31</f>
        <v/>
      </c>
      <c r="P370" s="2" t="str">
        <f>'AFI-F6'!I31</f>
        <v/>
      </c>
      <c r="Q370" s="2" t="str">
        <f>'AFI-F6'!J31</f>
        <v/>
      </c>
      <c r="R370" s="2" t="str">
        <f>'AFI-F6'!K31</f>
        <v/>
      </c>
      <c r="S370" s="2" t="str">
        <f>'AFI-F6'!L31</f>
        <v/>
      </c>
      <c r="T370" s="2" t="str">
        <f>'AFI-F6'!M31</f>
        <v/>
      </c>
      <c r="U370" s="2" t="str">
        <f>'AFI-F6'!N31</f>
        <v/>
      </c>
      <c r="V370" s="2" t="str">
        <f>'AFI-F6'!O31</f>
        <v/>
      </c>
      <c r="W370" s="2" t="str">
        <f>'AFI-F6'!P31</f>
        <v/>
      </c>
      <c r="X370" s="5">
        <f>'AFI-F6'!Q31</f>
        <v>0</v>
      </c>
      <c r="Y370" s="1"/>
      <c r="Z370" s="1"/>
      <c r="AA370" s="1"/>
    </row>
    <row r="371">
      <c r="A371" s="1"/>
      <c r="B371" s="14">
        <f t="shared" si="10"/>
        <v>28</v>
      </c>
      <c r="C371" s="22" t="str">
        <f t="shared" si="1"/>
        <v>diciembre</v>
      </c>
      <c r="D371" s="22">
        <f t="shared" si="2"/>
        <v>52</v>
      </c>
      <c r="E371" s="23" t="str">
        <f t="shared" si="3"/>
        <v>sábado</v>
      </c>
      <c r="F371" s="22">
        <f t="shared" si="4"/>
        <v>30</v>
      </c>
      <c r="G371" s="22" t="s">
        <v>23</v>
      </c>
      <c r="H371" s="3" t="str">
        <f>'AFI-F6'!$G$3</f>
        <v>CYC </v>
      </c>
      <c r="I371" s="24" t="str">
        <f>'AFI-F6'!B32</f>
        <v/>
      </c>
      <c r="J371" s="2" t="str">
        <f>'AFI-F6'!C32</f>
        <v/>
      </c>
      <c r="K371" s="2" t="str">
        <f>'AFI-F6'!D32</f>
        <v/>
      </c>
      <c r="L371" s="2" t="str">
        <f>'AFI-F6'!E32</f>
        <v/>
      </c>
      <c r="M371" s="2" t="str">
        <f>'AFI-F6'!F32</f>
        <v/>
      </c>
      <c r="N371" s="2" t="str">
        <f>'AFI-F6'!G32</f>
        <v/>
      </c>
      <c r="O371" s="2" t="str">
        <f>'AFI-F6'!H32</f>
        <v/>
      </c>
      <c r="P371" s="2" t="str">
        <f>'AFI-F6'!I32</f>
        <v/>
      </c>
      <c r="Q371" s="2" t="str">
        <f>'AFI-F6'!J32</f>
        <v/>
      </c>
      <c r="R371" s="2" t="str">
        <f>'AFI-F6'!K32</f>
        <v/>
      </c>
      <c r="S371" s="2" t="str">
        <f>'AFI-F6'!L32</f>
        <v/>
      </c>
      <c r="T371" s="2" t="str">
        <f>'AFI-F6'!M32</f>
        <v/>
      </c>
      <c r="U371" s="2" t="str">
        <f>'AFI-F6'!N32</f>
        <v/>
      </c>
      <c r="V371" s="2" t="str">
        <f>'AFI-F6'!O32</f>
        <v/>
      </c>
      <c r="W371" s="2" t="str">
        <f>'AFI-F6'!P32</f>
        <v/>
      </c>
      <c r="X371" s="5">
        <f>'AFI-F6'!Q32</f>
        <v>0</v>
      </c>
      <c r="Y371" s="1"/>
      <c r="Z371" s="1"/>
      <c r="AA371" s="1"/>
    </row>
    <row r="372">
      <c r="A372" s="1"/>
      <c r="B372" s="14">
        <f t="shared" si="10"/>
        <v>29</v>
      </c>
      <c r="C372" s="22" t="str">
        <f t="shared" si="1"/>
        <v>diciembre</v>
      </c>
      <c r="D372" s="22">
        <f t="shared" si="2"/>
        <v>52</v>
      </c>
      <c r="E372" s="23" t="str">
        <f t="shared" si="3"/>
        <v>sábado</v>
      </c>
      <c r="F372" s="22">
        <f t="shared" si="4"/>
        <v>30</v>
      </c>
      <c r="G372" s="22" t="s">
        <v>23</v>
      </c>
      <c r="H372" s="3" t="str">
        <f>'AFI-F6'!$G$3</f>
        <v>CYC </v>
      </c>
      <c r="I372" s="24" t="str">
        <f>'AFI-F6'!B33</f>
        <v/>
      </c>
      <c r="J372" s="2" t="str">
        <f>'AFI-F6'!C33</f>
        <v/>
      </c>
      <c r="K372" s="2" t="str">
        <f>'AFI-F6'!D33</f>
        <v/>
      </c>
      <c r="L372" s="2" t="str">
        <f>'AFI-F6'!E33</f>
        <v/>
      </c>
      <c r="M372" s="2" t="str">
        <f>'AFI-F6'!F33</f>
        <v/>
      </c>
      <c r="N372" s="2" t="str">
        <f>'AFI-F6'!G33</f>
        <v/>
      </c>
      <c r="O372" s="2" t="str">
        <f>'AFI-F6'!H33</f>
        <v/>
      </c>
      <c r="P372" s="2" t="str">
        <f>'AFI-F6'!I33</f>
        <v/>
      </c>
      <c r="Q372" s="2" t="str">
        <f>'AFI-F6'!J33</f>
        <v/>
      </c>
      <c r="R372" s="2" t="str">
        <f>'AFI-F6'!K33</f>
        <v/>
      </c>
      <c r="S372" s="2" t="str">
        <f>'AFI-F6'!L33</f>
        <v/>
      </c>
      <c r="T372" s="2" t="str">
        <f>'AFI-F6'!M33</f>
        <v/>
      </c>
      <c r="U372" s="2" t="str">
        <f>'AFI-F6'!N33</f>
        <v/>
      </c>
      <c r="V372" s="2" t="str">
        <f>'AFI-F6'!O33</f>
        <v/>
      </c>
      <c r="W372" s="2" t="str">
        <f>'AFI-F6'!P33</f>
        <v/>
      </c>
      <c r="X372" s="5">
        <f>'AFI-F6'!Q33</f>
        <v>0</v>
      </c>
      <c r="Y372" s="1"/>
      <c r="Z372" s="1"/>
      <c r="AA372" s="1"/>
    </row>
    <row r="373">
      <c r="A373" s="1"/>
      <c r="B373" s="14">
        <f t="shared" si="10"/>
        <v>30</v>
      </c>
      <c r="C373" s="22" t="str">
        <f t="shared" si="1"/>
        <v>diciembre</v>
      </c>
      <c r="D373" s="22">
        <f t="shared" si="2"/>
        <v>52</v>
      </c>
      <c r="E373" s="23" t="str">
        <f t="shared" si="3"/>
        <v>sábado</v>
      </c>
      <c r="F373" s="22">
        <f t="shared" si="4"/>
        <v>30</v>
      </c>
      <c r="G373" s="22" t="s">
        <v>23</v>
      </c>
      <c r="H373" s="3" t="str">
        <f>'AFI-F6'!$G$3</f>
        <v>CYC </v>
      </c>
      <c r="I373" s="24" t="str">
        <f>'AFI-F6'!B34</f>
        <v/>
      </c>
      <c r="J373" s="2" t="str">
        <f>'AFI-F6'!C34</f>
        <v/>
      </c>
      <c r="K373" s="2" t="str">
        <f>'AFI-F6'!D34</f>
        <v/>
      </c>
      <c r="L373" s="2" t="str">
        <f>'AFI-F6'!E34</f>
        <v/>
      </c>
      <c r="M373" s="2" t="str">
        <f>'AFI-F6'!F34</f>
        <v/>
      </c>
      <c r="N373" s="2" t="str">
        <f>'AFI-F6'!G34</f>
        <v/>
      </c>
      <c r="O373" s="2" t="str">
        <f>'AFI-F6'!H34</f>
        <v/>
      </c>
      <c r="P373" s="2" t="str">
        <f>'AFI-F6'!I34</f>
        <v/>
      </c>
      <c r="Q373" s="2" t="str">
        <f>'AFI-F6'!J34</f>
        <v/>
      </c>
      <c r="R373" s="2" t="str">
        <f>'AFI-F6'!K34</f>
        <v/>
      </c>
      <c r="S373" s="2" t="str">
        <f>'AFI-F6'!L34</f>
        <v/>
      </c>
      <c r="T373" s="2" t="str">
        <f>'AFI-F6'!M34</f>
        <v/>
      </c>
      <c r="U373" s="2" t="str">
        <f>'AFI-F6'!N34</f>
        <v/>
      </c>
      <c r="V373" s="2" t="str">
        <f>'AFI-F6'!O34</f>
        <v/>
      </c>
      <c r="W373" s="2" t="str">
        <f>'AFI-F6'!P34</f>
        <v/>
      </c>
      <c r="X373" s="5">
        <f>'AFI-F6'!Q34</f>
        <v>0</v>
      </c>
      <c r="Y373" s="1"/>
      <c r="Z373" s="1"/>
      <c r="AA373" s="1"/>
    </row>
    <row r="374">
      <c r="A374" s="1"/>
      <c r="B374" s="14">
        <f t="shared" si="10"/>
        <v>31</v>
      </c>
      <c r="C374" s="22" t="str">
        <f t="shared" si="1"/>
        <v>diciembre</v>
      </c>
      <c r="D374" s="22">
        <f t="shared" si="2"/>
        <v>52</v>
      </c>
      <c r="E374" s="23" t="str">
        <f t="shared" si="3"/>
        <v>sábado</v>
      </c>
      <c r="F374" s="22">
        <f t="shared" si="4"/>
        <v>30</v>
      </c>
      <c r="G374" s="22" t="s">
        <v>23</v>
      </c>
      <c r="H374" s="3" t="str">
        <f>'AFI-F6'!$G$3</f>
        <v>CYC </v>
      </c>
      <c r="I374" s="24" t="str">
        <f>'AFI-F6'!B35</f>
        <v/>
      </c>
      <c r="J374" s="2" t="str">
        <f>'AFI-F6'!C35</f>
        <v/>
      </c>
      <c r="K374" s="2" t="str">
        <f>'AFI-F6'!D35</f>
        <v/>
      </c>
      <c r="L374" s="2" t="str">
        <f>'AFI-F6'!E35</f>
        <v/>
      </c>
      <c r="M374" s="2" t="str">
        <f>'AFI-F6'!F35</f>
        <v/>
      </c>
      <c r="N374" s="2" t="str">
        <f>'AFI-F6'!G35</f>
        <v/>
      </c>
      <c r="O374" s="2" t="str">
        <f>'AFI-F6'!H35</f>
        <v/>
      </c>
      <c r="P374" s="2" t="str">
        <f>'AFI-F6'!I35</f>
        <v/>
      </c>
      <c r="Q374" s="2" t="str">
        <f>'AFI-F6'!J35</f>
        <v/>
      </c>
      <c r="R374" s="2" t="str">
        <f>'AFI-F6'!K35</f>
        <v/>
      </c>
      <c r="S374" s="2" t="str">
        <f>'AFI-F6'!L35</f>
        <v/>
      </c>
      <c r="T374" s="2" t="str">
        <f>'AFI-F6'!M35</f>
        <v/>
      </c>
      <c r="U374" s="2" t="str">
        <f>'AFI-F6'!N35</f>
        <v/>
      </c>
      <c r="V374" s="2" t="str">
        <f>'AFI-F6'!O35</f>
        <v/>
      </c>
      <c r="W374" s="2" t="str">
        <f>'AFI-F6'!P35</f>
        <v/>
      </c>
      <c r="X374" s="5">
        <f>'AFI-F6'!Q35</f>
        <v>0</v>
      </c>
      <c r="Y374" s="1"/>
      <c r="Z374" s="1"/>
      <c r="AA374" s="1"/>
    </row>
    <row r="375">
      <c r="A375" s="1"/>
      <c r="B375" s="14">
        <f t="shared" si="10"/>
        <v>32</v>
      </c>
      <c r="C375" s="22" t="str">
        <f t="shared" si="1"/>
        <v>diciembre</v>
      </c>
      <c r="D375" s="22">
        <f t="shared" si="2"/>
        <v>52</v>
      </c>
      <c r="E375" s="23" t="str">
        <f t="shared" si="3"/>
        <v>sábado</v>
      </c>
      <c r="F375" s="22">
        <f t="shared" si="4"/>
        <v>30</v>
      </c>
      <c r="G375" s="22" t="s">
        <v>23</v>
      </c>
      <c r="H375" s="3" t="str">
        <f>'AFI-F6'!$G$3</f>
        <v>CYC </v>
      </c>
      <c r="I375" s="24" t="str">
        <f>'AFI-F6'!B36</f>
        <v/>
      </c>
      <c r="J375" s="2" t="str">
        <f>'AFI-F6'!C36</f>
        <v/>
      </c>
      <c r="K375" s="2" t="str">
        <f>'AFI-F6'!D36</f>
        <v/>
      </c>
      <c r="L375" s="2" t="str">
        <f>'AFI-F6'!E36</f>
        <v/>
      </c>
      <c r="M375" s="2" t="str">
        <f>'AFI-F6'!F36</f>
        <v/>
      </c>
      <c r="N375" s="2" t="str">
        <f>'AFI-F6'!G36</f>
        <v/>
      </c>
      <c r="O375" s="2" t="str">
        <f>'AFI-F6'!H36</f>
        <v/>
      </c>
      <c r="P375" s="2" t="str">
        <f>'AFI-F6'!I36</f>
        <v/>
      </c>
      <c r="Q375" s="2" t="str">
        <f>'AFI-F6'!J36</f>
        <v/>
      </c>
      <c r="R375" s="2" t="str">
        <f>'AFI-F6'!K36</f>
        <v/>
      </c>
      <c r="S375" s="2" t="str">
        <f>'AFI-F6'!L36</f>
        <v/>
      </c>
      <c r="T375" s="2" t="str">
        <f>'AFI-F6'!M36</f>
        <v/>
      </c>
      <c r="U375" s="2" t="str">
        <f>'AFI-F6'!N36</f>
        <v/>
      </c>
      <c r="V375" s="2" t="str">
        <f>'AFI-F6'!O36</f>
        <v/>
      </c>
      <c r="W375" s="2" t="str">
        <f>'AFI-F6'!P36</f>
        <v/>
      </c>
      <c r="X375" s="5">
        <f>'AFI-F6'!Q36</f>
        <v>0</v>
      </c>
      <c r="Y375" s="1"/>
      <c r="Z375" s="1"/>
      <c r="AA375" s="1"/>
    </row>
    <row r="376">
      <c r="A376" s="1"/>
      <c r="B376" s="14">
        <f t="shared" si="10"/>
        <v>33</v>
      </c>
      <c r="C376" s="22" t="str">
        <f t="shared" si="1"/>
        <v>diciembre</v>
      </c>
      <c r="D376" s="22">
        <f t="shared" si="2"/>
        <v>52</v>
      </c>
      <c r="E376" s="23" t="str">
        <f t="shared" si="3"/>
        <v>sábado</v>
      </c>
      <c r="F376" s="22">
        <f t="shared" si="4"/>
        <v>30</v>
      </c>
      <c r="G376" s="22" t="s">
        <v>23</v>
      </c>
      <c r="H376" s="3" t="str">
        <f>'AFI-F6'!$G$3</f>
        <v>CYC </v>
      </c>
      <c r="I376" s="24" t="str">
        <f>'AFI-F6'!B37</f>
        <v/>
      </c>
      <c r="J376" s="2" t="str">
        <f>'AFI-F6'!C37</f>
        <v/>
      </c>
      <c r="K376" s="2" t="str">
        <f>'AFI-F6'!D37</f>
        <v/>
      </c>
      <c r="L376" s="2" t="str">
        <f>'AFI-F6'!E37</f>
        <v/>
      </c>
      <c r="M376" s="2" t="str">
        <f>'AFI-F6'!F37</f>
        <v/>
      </c>
      <c r="N376" s="2" t="str">
        <f>'AFI-F6'!G37</f>
        <v/>
      </c>
      <c r="O376" s="2" t="str">
        <f>'AFI-F6'!H37</f>
        <v/>
      </c>
      <c r="P376" s="2" t="str">
        <f>'AFI-F6'!I37</f>
        <v/>
      </c>
      <c r="Q376" s="2" t="str">
        <f>'AFI-F6'!J37</f>
        <v/>
      </c>
      <c r="R376" s="2" t="str">
        <f>'AFI-F6'!K37</f>
        <v/>
      </c>
      <c r="S376" s="2" t="str">
        <f>'AFI-F6'!L37</f>
        <v/>
      </c>
      <c r="T376" s="2" t="str">
        <f>'AFI-F6'!M37</f>
        <v/>
      </c>
      <c r="U376" s="2" t="str">
        <f>'AFI-F6'!N37</f>
        <v/>
      </c>
      <c r="V376" s="2" t="str">
        <f>'AFI-F6'!O37</f>
        <v/>
      </c>
      <c r="W376" s="2" t="str">
        <f>'AFI-F6'!P37</f>
        <v/>
      </c>
      <c r="X376" s="5">
        <f>'AFI-F6'!Q37</f>
        <v>0</v>
      </c>
      <c r="Y376" s="1"/>
      <c r="Z376" s="1"/>
      <c r="AA376" s="1"/>
    </row>
    <row r="377">
      <c r="A377" s="1"/>
      <c r="B377" s="14">
        <f t="shared" si="10"/>
        <v>34</v>
      </c>
      <c r="C377" s="22" t="str">
        <f t="shared" si="1"/>
        <v>diciembre</v>
      </c>
      <c r="D377" s="22">
        <f t="shared" si="2"/>
        <v>52</v>
      </c>
      <c r="E377" s="23" t="str">
        <f t="shared" si="3"/>
        <v>sábado</v>
      </c>
      <c r="F377" s="22">
        <f t="shared" si="4"/>
        <v>30</v>
      </c>
      <c r="G377" s="22" t="s">
        <v>23</v>
      </c>
      <c r="H377" s="3" t="str">
        <f>'AFI-F6'!$G$3</f>
        <v>CYC </v>
      </c>
      <c r="I377" s="24" t="str">
        <f>'AFI-F6'!B38</f>
        <v/>
      </c>
      <c r="J377" s="2" t="str">
        <f>'AFI-F6'!C38</f>
        <v/>
      </c>
      <c r="K377" s="2" t="str">
        <f>'AFI-F6'!D38</f>
        <v/>
      </c>
      <c r="L377" s="2" t="str">
        <f>'AFI-F6'!E38</f>
        <v/>
      </c>
      <c r="M377" s="2" t="str">
        <f>'AFI-F6'!F38</f>
        <v/>
      </c>
      <c r="N377" s="2" t="str">
        <f>'AFI-F6'!G38</f>
        <v/>
      </c>
      <c r="O377" s="2" t="str">
        <f>'AFI-F6'!H38</f>
        <v/>
      </c>
      <c r="P377" s="2" t="str">
        <f>'AFI-F6'!I38</f>
        <v/>
      </c>
      <c r="Q377" s="2" t="str">
        <f>'AFI-F6'!J38</f>
        <v/>
      </c>
      <c r="R377" s="2" t="str">
        <f>'AFI-F6'!K38</f>
        <v/>
      </c>
      <c r="S377" s="2" t="str">
        <f>'AFI-F6'!L38</f>
        <v/>
      </c>
      <c r="T377" s="2" t="str">
        <f>'AFI-F6'!M38</f>
        <v/>
      </c>
      <c r="U377" s="2" t="str">
        <f>'AFI-F6'!N38</f>
        <v/>
      </c>
      <c r="V377" s="2" t="str">
        <f>'AFI-F6'!O38</f>
        <v/>
      </c>
      <c r="W377" s="2" t="str">
        <f>'AFI-F6'!P38</f>
        <v/>
      </c>
      <c r="X377" s="5">
        <f>'AFI-F6'!Q38</f>
        <v>0</v>
      </c>
      <c r="Y377" s="1"/>
      <c r="Z377" s="1"/>
      <c r="AA377" s="1"/>
    </row>
    <row r="378">
      <c r="A378" s="1"/>
      <c r="B378" s="14">
        <f t="shared" si="10"/>
        <v>35</v>
      </c>
      <c r="C378" s="22" t="str">
        <f t="shared" si="1"/>
        <v>diciembre</v>
      </c>
      <c r="D378" s="22">
        <f t="shared" si="2"/>
        <v>52</v>
      </c>
      <c r="E378" s="23" t="str">
        <f t="shared" si="3"/>
        <v>sábado</v>
      </c>
      <c r="F378" s="22">
        <f t="shared" si="4"/>
        <v>30</v>
      </c>
      <c r="G378" s="22" t="s">
        <v>23</v>
      </c>
      <c r="H378" s="3" t="str">
        <f>'AFI-F6'!$G$3</f>
        <v>CYC </v>
      </c>
      <c r="I378" s="24" t="str">
        <f>'AFI-F6'!B39</f>
        <v/>
      </c>
      <c r="J378" s="2" t="str">
        <f>'AFI-F6'!C39</f>
        <v/>
      </c>
      <c r="K378" s="2" t="str">
        <f>'AFI-F6'!D39</f>
        <v/>
      </c>
      <c r="L378" s="2" t="str">
        <f>'AFI-F6'!E39</f>
        <v/>
      </c>
      <c r="M378" s="2" t="str">
        <f>'AFI-F6'!F39</f>
        <v/>
      </c>
      <c r="N378" s="2" t="str">
        <f>'AFI-F6'!G39</f>
        <v/>
      </c>
      <c r="O378" s="2" t="str">
        <f>'AFI-F6'!H39</f>
        <v/>
      </c>
      <c r="P378" s="2" t="str">
        <f>'AFI-F6'!I39</f>
        <v/>
      </c>
      <c r="Q378" s="2" t="str">
        <f>'AFI-F6'!J39</f>
        <v/>
      </c>
      <c r="R378" s="2" t="str">
        <f>'AFI-F6'!K39</f>
        <v/>
      </c>
      <c r="S378" s="2" t="str">
        <f>'AFI-F6'!L39</f>
        <v/>
      </c>
      <c r="T378" s="2" t="str">
        <f>'AFI-F6'!M39</f>
        <v/>
      </c>
      <c r="U378" s="2" t="str">
        <f>'AFI-F6'!N39</f>
        <v/>
      </c>
      <c r="V378" s="2" t="str">
        <f>'AFI-F6'!O39</f>
        <v/>
      </c>
      <c r="W378" s="2" t="str">
        <f>'AFI-F6'!P39</f>
        <v/>
      </c>
      <c r="X378" s="5">
        <f>'AFI-F6'!Q39</f>
        <v>0</v>
      </c>
      <c r="Y378" s="1"/>
      <c r="Z378" s="1"/>
      <c r="AA378" s="1"/>
    </row>
    <row r="379">
      <c r="A379" s="1"/>
      <c r="B379" s="14">
        <f t="shared" si="10"/>
        <v>36</v>
      </c>
      <c r="C379" s="22" t="str">
        <f t="shared" si="1"/>
        <v>diciembre</v>
      </c>
      <c r="D379" s="22">
        <f t="shared" si="2"/>
        <v>52</v>
      </c>
      <c r="E379" s="23" t="str">
        <f t="shared" si="3"/>
        <v>sábado</v>
      </c>
      <c r="F379" s="22">
        <f t="shared" si="4"/>
        <v>30</v>
      </c>
      <c r="G379" s="22" t="s">
        <v>23</v>
      </c>
      <c r="H379" s="3" t="str">
        <f>'AFI-F6'!$G$3</f>
        <v>CYC </v>
      </c>
      <c r="I379" s="24" t="str">
        <f>'AFI-F6'!B40</f>
        <v/>
      </c>
      <c r="J379" s="2" t="str">
        <f>'AFI-F6'!C40</f>
        <v/>
      </c>
      <c r="K379" s="2" t="str">
        <f>'AFI-F6'!D40</f>
        <v/>
      </c>
      <c r="L379" s="2" t="str">
        <f>'AFI-F6'!E40</f>
        <v/>
      </c>
      <c r="M379" s="2" t="str">
        <f>'AFI-F6'!F40</f>
        <v/>
      </c>
      <c r="N379" s="2" t="str">
        <f>'AFI-F6'!G40</f>
        <v/>
      </c>
      <c r="O379" s="2" t="str">
        <f>'AFI-F6'!H40</f>
        <v/>
      </c>
      <c r="P379" s="2" t="str">
        <f>'AFI-F6'!I40</f>
        <v/>
      </c>
      <c r="Q379" s="2" t="str">
        <f>'AFI-F6'!J40</f>
        <v/>
      </c>
      <c r="R379" s="2" t="str">
        <f>'AFI-F6'!K40</f>
        <v/>
      </c>
      <c r="S379" s="2" t="str">
        <f>'AFI-F6'!L40</f>
        <v/>
      </c>
      <c r="T379" s="2" t="str">
        <f>'AFI-F6'!M40</f>
        <v/>
      </c>
      <c r="U379" s="2" t="str">
        <f>'AFI-F6'!N40</f>
        <v/>
      </c>
      <c r="V379" s="2" t="str">
        <f>'AFI-F6'!O40</f>
        <v/>
      </c>
      <c r="W379" s="2" t="str">
        <f>'AFI-F6'!P40</f>
        <v/>
      </c>
      <c r="X379" s="5">
        <f>'AFI-F6'!Q40</f>
        <v>0</v>
      </c>
      <c r="Y379" s="1"/>
      <c r="Z379" s="1"/>
      <c r="AA379" s="1"/>
    </row>
    <row r="380">
      <c r="A380" s="1"/>
      <c r="B380" s="14">
        <f t="shared" si="10"/>
        <v>37</v>
      </c>
      <c r="C380" s="22" t="str">
        <f t="shared" si="1"/>
        <v>diciembre</v>
      </c>
      <c r="D380" s="22">
        <f t="shared" si="2"/>
        <v>52</v>
      </c>
      <c r="E380" s="23" t="str">
        <f t="shared" si="3"/>
        <v>sábado</v>
      </c>
      <c r="F380" s="22">
        <f t="shared" si="4"/>
        <v>30</v>
      </c>
      <c r="G380" s="22" t="s">
        <v>23</v>
      </c>
      <c r="H380" s="3" t="str">
        <f>'AFI-F6'!$G$3</f>
        <v>CYC </v>
      </c>
      <c r="I380" s="24" t="str">
        <f>'AFI-F6'!B41</f>
        <v/>
      </c>
      <c r="J380" s="2" t="str">
        <f>'AFI-F6'!C41</f>
        <v/>
      </c>
      <c r="K380" s="2" t="str">
        <f>'AFI-F6'!D41</f>
        <v/>
      </c>
      <c r="L380" s="2" t="str">
        <f>'AFI-F6'!E41</f>
        <v/>
      </c>
      <c r="M380" s="2" t="str">
        <f>'AFI-F6'!F41</f>
        <v/>
      </c>
      <c r="N380" s="2" t="str">
        <f>'AFI-F6'!G41</f>
        <v/>
      </c>
      <c r="O380" s="2" t="str">
        <f>'AFI-F6'!H41</f>
        <v/>
      </c>
      <c r="P380" s="2" t="str">
        <f>'AFI-F6'!I41</f>
        <v/>
      </c>
      <c r="Q380" s="2" t="str">
        <f>'AFI-F6'!J41</f>
        <v/>
      </c>
      <c r="R380" s="2" t="str">
        <f>'AFI-F6'!K41</f>
        <v/>
      </c>
      <c r="S380" s="2" t="str">
        <f>'AFI-F6'!L41</f>
        <v/>
      </c>
      <c r="T380" s="2" t="str">
        <f>'AFI-F6'!M41</f>
        <v/>
      </c>
      <c r="U380" s="2" t="str">
        <f>'AFI-F6'!N41</f>
        <v/>
      </c>
      <c r="V380" s="2" t="str">
        <f>'AFI-F6'!O41</f>
        <v/>
      </c>
      <c r="W380" s="2" t="str">
        <f>'AFI-F6'!P41</f>
        <v/>
      </c>
      <c r="X380" s="5">
        <f>'AFI-F6'!Q41</f>
        <v>0</v>
      </c>
      <c r="Y380" s="1"/>
      <c r="Z380" s="1"/>
      <c r="AA380" s="1"/>
    </row>
    <row r="381">
      <c r="A381" s="1"/>
      <c r="B381" s="14">
        <f t="shared" si="10"/>
        <v>38</v>
      </c>
      <c r="C381" s="22" t="str">
        <f t="shared" si="1"/>
        <v>diciembre</v>
      </c>
      <c r="D381" s="22">
        <f t="shared" si="2"/>
        <v>52</v>
      </c>
      <c r="E381" s="23" t="str">
        <f t="shared" si="3"/>
        <v>sábado</v>
      </c>
      <c r="F381" s="22">
        <f t="shared" si="4"/>
        <v>30</v>
      </c>
      <c r="G381" s="22" t="s">
        <v>23</v>
      </c>
      <c r="H381" s="3" t="str">
        <f>'AFI-F6'!$G$3</f>
        <v>CYC </v>
      </c>
      <c r="I381" s="24" t="str">
        <f>'AFI-F6'!B42</f>
        <v/>
      </c>
      <c r="J381" s="2" t="str">
        <f>'AFI-F6'!C42</f>
        <v/>
      </c>
      <c r="K381" s="2" t="str">
        <f>'AFI-F6'!D42</f>
        <v/>
      </c>
      <c r="L381" s="2" t="str">
        <f>'AFI-F6'!E42</f>
        <v/>
      </c>
      <c r="M381" s="2" t="str">
        <f>'AFI-F6'!F42</f>
        <v/>
      </c>
      <c r="N381" s="2" t="str">
        <f>'AFI-F6'!G42</f>
        <v/>
      </c>
      <c r="O381" s="2" t="str">
        <f>'AFI-F6'!H42</f>
        <v/>
      </c>
      <c r="P381" s="2" t="str">
        <f>'AFI-F6'!I42</f>
        <v/>
      </c>
      <c r="Q381" s="2" t="str">
        <f>'AFI-F6'!J42</f>
        <v/>
      </c>
      <c r="R381" s="2" t="str">
        <f>'AFI-F6'!K42</f>
        <v/>
      </c>
      <c r="S381" s="2" t="str">
        <f>'AFI-F6'!L42</f>
        <v/>
      </c>
      <c r="T381" s="2" t="str">
        <f>'AFI-F6'!M42</f>
        <v/>
      </c>
      <c r="U381" s="2" t="str">
        <f>'AFI-F6'!N42</f>
        <v/>
      </c>
      <c r="V381" s="2" t="str">
        <f>'AFI-F6'!O42</f>
        <v/>
      </c>
      <c r="W381" s="2" t="str">
        <f>'AFI-F6'!P42</f>
        <v/>
      </c>
      <c r="X381" s="5">
        <f>'AFI-F6'!Q42</f>
        <v>0</v>
      </c>
      <c r="Y381" s="1"/>
      <c r="Z381" s="1"/>
      <c r="AA381" s="1"/>
    </row>
    <row r="382">
      <c r="A382" s="1"/>
      <c r="B382" s="14">
        <f t="shared" si="10"/>
        <v>39</v>
      </c>
      <c r="C382" s="22" t="str">
        <f t="shared" si="1"/>
        <v>diciembre</v>
      </c>
      <c r="D382" s="22">
        <f t="shared" si="2"/>
        <v>52</v>
      </c>
      <c r="E382" s="23" t="str">
        <f t="shared" si="3"/>
        <v>sábado</v>
      </c>
      <c r="F382" s="22">
        <f t="shared" si="4"/>
        <v>30</v>
      </c>
      <c r="G382" s="22" t="s">
        <v>23</v>
      </c>
      <c r="H382" s="3" t="str">
        <f>'AFI-F6'!$G$3</f>
        <v>CYC </v>
      </c>
      <c r="I382" s="24" t="str">
        <f>'AFI-F6'!B43</f>
        <v/>
      </c>
      <c r="J382" s="2" t="str">
        <f>'AFI-F6'!C43</f>
        <v/>
      </c>
      <c r="K382" s="2" t="str">
        <f>'AFI-F6'!D43</f>
        <v/>
      </c>
      <c r="L382" s="2" t="str">
        <f>'AFI-F6'!E43</f>
        <v/>
      </c>
      <c r="M382" s="2" t="str">
        <f>'AFI-F6'!F43</f>
        <v/>
      </c>
      <c r="N382" s="2" t="str">
        <f>'AFI-F6'!G43</f>
        <v/>
      </c>
      <c r="O382" s="2" t="str">
        <f>'AFI-F6'!H43</f>
        <v/>
      </c>
      <c r="P382" s="2" t="str">
        <f>'AFI-F6'!I43</f>
        <v/>
      </c>
      <c r="Q382" s="2" t="str">
        <f>'AFI-F6'!J43</f>
        <v/>
      </c>
      <c r="R382" s="2" t="str">
        <f>'AFI-F6'!K43</f>
        <v/>
      </c>
      <c r="S382" s="2" t="str">
        <f>'AFI-F6'!L43</f>
        <v/>
      </c>
      <c r="T382" s="2" t="str">
        <f>'AFI-F6'!M43</f>
        <v/>
      </c>
      <c r="U382" s="2" t="str">
        <f>'AFI-F6'!N43</f>
        <v/>
      </c>
      <c r="V382" s="2" t="str">
        <f>'AFI-F6'!O43</f>
        <v/>
      </c>
      <c r="W382" s="2" t="str">
        <f>'AFI-F6'!P43</f>
        <v/>
      </c>
      <c r="X382" s="5">
        <f>'AFI-F6'!Q43</f>
        <v>0</v>
      </c>
      <c r="Y382" s="1"/>
      <c r="Z382" s="1"/>
      <c r="AA382" s="1"/>
    </row>
    <row r="383">
      <c r="A383" s="1"/>
      <c r="B383" s="14">
        <f t="shared" si="10"/>
        <v>40</v>
      </c>
      <c r="C383" s="22" t="str">
        <f t="shared" si="1"/>
        <v>diciembre</v>
      </c>
      <c r="D383" s="22">
        <f t="shared" si="2"/>
        <v>52</v>
      </c>
      <c r="E383" s="23" t="str">
        <f t="shared" si="3"/>
        <v>sábado</v>
      </c>
      <c r="F383" s="22">
        <f t="shared" si="4"/>
        <v>30</v>
      </c>
      <c r="G383" s="22" t="s">
        <v>23</v>
      </c>
      <c r="H383" s="3" t="str">
        <f>'AFI-F6'!$G$3</f>
        <v>CYC </v>
      </c>
      <c r="I383" s="24" t="str">
        <f>'AFI-F6'!B44</f>
        <v/>
      </c>
      <c r="J383" s="2" t="str">
        <f>'AFI-F6'!C44</f>
        <v/>
      </c>
      <c r="K383" s="2" t="str">
        <f>'AFI-F6'!D44</f>
        <v/>
      </c>
      <c r="L383" s="2" t="str">
        <f>'AFI-F6'!E44</f>
        <v/>
      </c>
      <c r="M383" s="2" t="str">
        <f>'AFI-F6'!F44</f>
        <v/>
      </c>
      <c r="N383" s="2" t="str">
        <f>'AFI-F6'!G44</f>
        <v/>
      </c>
      <c r="O383" s="2" t="str">
        <f>'AFI-F6'!H44</f>
        <v/>
      </c>
      <c r="P383" s="2" t="str">
        <f>'AFI-F6'!I44</f>
        <v/>
      </c>
      <c r="Q383" s="2" t="str">
        <f>'AFI-F6'!J44</f>
        <v/>
      </c>
      <c r="R383" s="2" t="str">
        <f>'AFI-F6'!K44</f>
        <v/>
      </c>
      <c r="S383" s="2" t="str">
        <f>'AFI-F6'!L44</f>
        <v/>
      </c>
      <c r="T383" s="2" t="str">
        <f>'AFI-F6'!M44</f>
        <v/>
      </c>
      <c r="U383" s="2" t="str">
        <f>'AFI-F6'!N44</f>
        <v/>
      </c>
      <c r="V383" s="2" t="str">
        <f>'AFI-F6'!O44</f>
        <v/>
      </c>
      <c r="W383" s="2" t="str">
        <f>'AFI-F6'!P44</f>
        <v/>
      </c>
      <c r="X383" s="5">
        <f>'AFI-F6'!Q44</f>
        <v>0</v>
      </c>
      <c r="Y383" s="1"/>
      <c r="Z383" s="1"/>
      <c r="AA383" s="1"/>
    </row>
    <row r="384">
      <c r="A384" s="1"/>
      <c r="B384" s="14">
        <f t="shared" si="10"/>
        <v>41</v>
      </c>
      <c r="C384" s="22" t="str">
        <f t="shared" si="1"/>
        <v>diciembre</v>
      </c>
      <c r="D384" s="22">
        <f t="shared" si="2"/>
        <v>52</v>
      </c>
      <c r="E384" s="23" t="str">
        <f t="shared" si="3"/>
        <v>sábado</v>
      </c>
      <c r="F384" s="22">
        <f t="shared" si="4"/>
        <v>30</v>
      </c>
      <c r="G384" s="22" t="s">
        <v>23</v>
      </c>
      <c r="H384" s="3" t="str">
        <f>'AFI-F6'!$G$3</f>
        <v>CYC </v>
      </c>
      <c r="I384" s="24" t="str">
        <f>'AFI-F6'!B45</f>
        <v/>
      </c>
      <c r="J384" s="2" t="str">
        <f>'AFI-F6'!C45</f>
        <v/>
      </c>
      <c r="K384" s="2" t="str">
        <f>'AFI-F6'!D45</f>
        <v/>
      </c>
      <c r="L384" s="2" t="str">
        <f>'AFI-F6'!E45</f>
        <v/>
      </c>
      <c r="M384" s="2" t="str">
        <f>'AFI-F6'!F45</f>
        <v/>
      </c>
      <c r="N384" s="2" t="str">
        <f>'AFI-F6'!G45</f>
        <v/>
      </c>
      <c r="O384" s="2" t="str">
        <f>'AFI-F6'!H45</f>
        <v/>
      </c>
      <c r="P384" s="2" t="str">
        <f>'AFI-F6'!I45</f>
        <v/>
      </c>
      <c r="Q384" s="2" t="str">
        <f>'AFI-F6'!J45</f>
        <v/>
      </c>
      <c r="R384" s="2" t="str">
        <f>'AFI-F6'!K45</f>
        <v/>
      </c>
      <c r="S384" s="2" t="str">
        <f>'AFI-F6'!L45</f>
        <v/>
      </c>
      <c r="T384" s="2" t="str">
        <f>'AFI-F6'!M45</f>
        <v/>
      </c>
      <c r="U384" s="2" t="str">
        <f>'AFI-F6'!N45</f>
        <v/>
      </c>
      <c r="V384" s="2" t="str">
        <f>'AFI-F6'!O45</f>
        <v/>
      </c>
      <c r="W384" s="2" t="str">
        <f>'AFI-F6'!P45</f>
        <v/>
      </c>
      <c r="X384" s="5">
        <f>'AFI-F6'!Q45</f>
        <v>0</v>
      </c>
      <c r="Y384" s="1"/>
      <c r="Z384" s="1"/>
      <c r="AA384" s="1"/>
    </row>
    <row r="385">
      <c r="A385" s="1"/>
      <c r="B385" s="14">
        <f t="shared" si="10"/>
        <v>42</v>
      </c>
      <c r="C385" s="22" t="str">
        <f t="shared" si="1"/>
        <v>diciembre</v>
      </c>
      <c r="D385" s="22">
        <f t="shared" si="2"/>
        <v>52</v>
      </c>
      <c r="E385" s="23" t="str">
        <f t="shared" si="3"/>
        <v>sábado</v>
      </c>
      <c r="F385" s="22">
        <f t="shared" si="4"/>
        <v>30</v>
      </c>
      <c r="G385" s="22" t="s">
        <v>23</v>
      </c>
      <c r="H385" s="3" t="str">
        <f>'AFI-F6'!$G$3</f>
        <v>CYC </v>
      </c>
      <c r="I385" s="24" t="str">
        <f>'AFI-F6'!B46</f>
        <v/>
      </c>
      <c r="J385" s="2" t="str">
        <f>'AFI-F6'!C46</f>
        <v/>
      </c>
      <c r="K385" s="2" t="str">
        <f>'AFI-F6'!D46</f>
        <v/>
      </c>
      <c r="L385" s="2" t="str">
        <f>'AFI-F6'!E46</f>
        <v/>
      </c>
      <c r="M385" s="2" t="str">
        <f>'AFI-F6'!F46</f>
        <v/>
      </c>
      <c r="N385" s="2" t="str">
        <f>'AFI-F6'!G46</f>
        <v/>
      </c>
      <c r="O385" s="2" t="str">
        <f>'AFI-F6'!H46</f>
        <v/>
      </c>
      <c r="P385" s="2" t="str">
        <f>'AFI-F6'!I46</f>
        <v/>
      </c>
      <c r="Q385" s="2" t="str">
        <f>'AFI-F6'!J46</f>
        <v/>
      </c>
      <c r="R385" s="2" t="str">
        <f>'AFI-F6'!K46</f>
        <v/>
      </c>
      <c r="S385" s="2" t="str">
        <f>'AFI-F6'!L46</f>
        <v/>
      </c>
      <c r="T385" s="2" t="str">
        <f>'AFI-F6'!M46</f>
        <v/>
      </c>
      <c r="U385" s="2" t="str">
        <f>'AFI-F6'!N46</f>
        <v/>
      </c>
      <c r="V385" s="2" t="str">
        <f>'AFI-F6'!O46</f>
        <v/>
      </c>
      <c r="W385" s="2" t="str">
        <f>'AFI-F6'!P46</f>
        <v/>
      </c>
      <c r="X385" s="5">
        <f>'AFI-F6'!Q46</f>
        <v>0</v>
      </c>
      <c r="Y385" s="1"/>
      <c r="Z385" s="1"/>
      <c r="AA385" s="1"/>
    </row>
    <row r="386">
      <c r="A386" s="1"/>
      <c r="B386" s="14">
        <f t="shared" si="10"/>
        <v>43</v>
      </c>
      <c r="C386" s="22" t="str">
        <f t="shared" si="1"/>
        <v>diciembre</v>
      </c>
      <c r="D386" s="22">
        <f t="shared" si="2"/>
        <v>52</v>
      </c>
      <c r="E386" s="23" t="str">
        <f t="shared" si="3"/>
        <v>sábado</v>
      </c>
      <c r="F386" s="22">
        <f t="shared" si="4"/>
        <v>30</v>
      </c>
      <c r="G386" s="22" t="s">
        <v>23</v>
      </c>
      <c r="H386" s="3" t="str">
        <f>'AFI-F6'!$G$3</f>
        <v>CYC </v>
      </c>
      <c r="I386" s="24" t="str">
        <f>'AFI-F6'!B47</f>
        <v/>
      </c>
      <c r="J386" s="2" t="str">
        <f>'AFI-F6'!C47</f>
        <v/>
      </c>
      <c r="K386" s="2" t="str">
        <f>'AFI-F6'!D47</f>
        <v/>
      </c>
      <c r="L386" s="2" t="str">
        <f>'AFI-F6'!E47</f>
        <v/>
      </c>
      <c r="M386" s="2" t="str">
        <f>'AFI-F6'!F47</f>
        <v/>
      </c>
      <c r="N386" s="2" t="str">
        <f>'AFI-F6'!G47</f>
        <v/>
      </c>
      <c r="O386" s="2" t="str">
        <f>'AFI-F6'!H47</f>
        <v/>
      </c>
      <c r="P386" s="2" t="str">
        <f>'AFI-F6'!I47</f>
        <v/>
      </c>
      <c r="Q386" s="2" t="str">
        <f>'AFI-F6'!J47</f>
        <v/>
      </c>
      <c r="R386" s="2" t="str">
        <f>'AFI-F6'!K47</f>
        <v/>
      </c>
      <c r="S386" s="2" t="str">
        <f>'AFI-F6'!L47</f>
        <v/>
      </c>
      <c r="T386" s="2" t="str">
        <f>'AFI-F6'!M47</f>
        <v/>
      </c>
      <c r="U386" s="2" t="str">
        <f>'AFI-F6'!N47</f>
        <v/>
      </c>
      <c r="V386" s="2" t="str">
        <f>'AFI-F6'!O47</f>
        <v/>
      </c>
      <c r="W386" s="2" t="str">
        <f>'AFI-F6'!P47</f>
        <v/>
      </c>
      <c r="X386" s="5">
        <f>'AFI-F6'!Q47</f>
        <v>0</v>
      </c>
      <c r="Y386" s="1"/>
      <c r="Z386" s="1"/>
      <c r="AA386" s="1"/>
    </row>
    <row r="387">
      <c r="A387" s="1"/>
      <c r="B387" s="14">
        <f t="shared" si="10"/>
        <v>44</v>
      </c>
      <c r="C387" s="22" t="str">
        <f t="shared" si="1"/>
        <v>diciembre</v>
      </c>
      <c r="D387" s="22">
        <f t="shared" si="2"/>
        <v>52</v>
      </c>
      <c r="E387" s="23" t="str">
        <f t="shared" si="3"/>
        <v>sábado</v>
      </c>
      <c r="F387" s="22">
        <f t="shared" si="4"/>
        <v>30</v>
      </c>
      <c r="G387" s="22" t="s">
        <v>23</v>
      </c>
      <c r="H387" s="3" t="str">
        <f>'AFI-F6'!$G$3</f>
        <v>CYC </v>
      </c>
      <c r="I387" s="24" t="str">
        <f>'AFI-F6'!B48</f>
        <v/>
      </c>
      <c r="J387" s="2" t="str">
        <f>'AFI-F6'!C48</f>
        <v/>
      </c>
      <c r="K387" s="2" t="str">
        <f>'AFI-F6'!D48</f>
        <v/>
      </c>
      <c r="L387" s="2" t="str">
        <f>'AFI-F6'!E48</f>
        <v/>
      </c>
      <c r="M387" s="2" t="str">
        <f>'AFI-F6'!F48</f>
        <v/>
      </c>
      <c r="N387" s="2" t="str">
        <f>'AFI-F6'!G48</f>
        <v/>
      </c>
      <c r="O387" s="2" t="str">
        <f>'AFI-F6'!H48</f>
        <v/>
      </c>
      <c r="P387" s="2" t="str">
        <f>'AFI-F6'!I48</f>
        <v/>
      </c>
      <c r="Q387" s="2" t="str">
        <f>'AFI-F6'!J48</f>
        <v/>
      </c>
      <c r="R387" s="2" t="str">
        <f>'AFI-F6'!K48</f>
        <v/>
      </c>
      <c r="S387" s="2" t="str">
        <f>'AFI-F6'!L48</f>
        <v/>
      </c>
      <c r="T387" s="2" t="str">
        <f>'AFI-F6'!M48</f>
        <v/>
      </c>
      <c r="U387" s="2" t="str">
        <f>'AFI-F6'!N48</f>
        <v/>
      </c>
      <c r="V387" s="2" t="str">
        <f>'AFI-F6'!O48</f>
        <v/>
      </c>
      <c r="W387" s="2" t="str">
        <f>'AFI-F6'!P48</f>
        <v/>
      </c>
      <c r="X387" s="5">
        <f>'AFI-F6'!Q48</f>
        <v>0</v>
      </c>
      <c r="Y387" s="1"/>
      <c r="Z387" s="1"/>
      <c r="AA387" s="1"/>
    </row>
    <row r="388">
      <c r="A388" s="1"/>
      <c r="B388" s="14">
        <f t="shared" si="10"/>
        <v>45</v>
      </c>
      <c r="C388" s="22" t="str">
        <f t="shared" si="1"/>
        <v>diciembre</v>
      </c>
      <c r="D388" s="22">
        <f t="shared" si="2"/>
        <v>52</v>
      </c>
      <c r="E388" s="23" t="str">
        <f t="shared" si="3"/>
        <v>sábado</v>
      </c>
      <c r="F388" s="22">
        <f t="shared" si="4"/>
        <v>30</v>
      </c>
      <c r="G388" s="22" t="s">
        <v>23</v>
      </c>
      <c r="H388" s="3" t="str">
        <f>'AFI-F6'!$G$3</f>
        <v>CYC </v>
      </c>
      <c r="I388" s="24" t="str">
        <f>'AFI-F6'!B49</f>
        <v/>
      </c>
      <c r="J388" s="2" t="str">
        <f>'AFI-F6'!C49</f>
        <v/>
      </c>
      <c r="K388" s="2" t="str">
        <f>'AFI-F6'!D49</f>
        <v/>
      </c>
      <c r="L388" s="2" t="str">
        <f>'AFI-F6'!E49</f>
        <v/>
      </c>
      <c r="M388" s="2" t="str">
        <f>'AFI-F6'!F49</f>
        <v/>
      </c>
      <c r="N388" s="2" t="str">
        <f>'AFI-F6'!G49</f>
        <v/>
      </c>
      <c r="O388" s="2" t="str">
        <f>'AFI-F6'!H49</f>
        <v/>
      </c>
      <c r="P388" s="2" t="str">
        <f>'AFI-F6'!I49</f>
        <v/>
      </c>
      <c r="Q388" s="2" t="str">
        <f>'AFI-F6'!J49</f>
        <v/>
      </c>
      <c r="R388" s="2" t="str">
        <f>'AFI-F6'!K49</f>
        <v/>
      </c>
      <c r="S388" s="2" t="str">
        <f>'AFI-F6'!L49</f>
        <v/>
      </c>
      <c r="T388" s="2" t="str">
        <f>'AFI-F6'!M49</f>
        <v/>
      </c>
      <c r="U388" s="2" t="str">
        <f>'AFI-F6'!N49</f>
        <v/>
      </c>
      <c r="V388" s="2" t="str">
        <f>'AFI-F6'!O49</f>
        <v/>
      </c>
      <c r="W388" s="2" t="str">
        <f>'AFI-F6'!P49</f>
        <v/>
      </c>
      <c r="X388" s="5">
        <f>'AFI-F6'!Q49</f>
        <v>0</v>
      </c>
      <c r="Y388" s="1"/>
      <c r="Z388" s="1"/>
      <c r="AA388" s="1"/>
    </row>
    <row r="389">
      <c r="A389" s="1"/>
      <c r="B389" s="14">
        <f t="shared" si="10"/>
        <v>46</v>
      </c>
      <c r="C389" s="22" t="str">
        <f t="shared" si="1"/>
        <v>diciembre</v>
      </c>
      <c r="D389" s="22">
        <f t="shared" si="2"/>
        <v>52</v>
      </c>
      <c r="E389" s="23" t="str">
        <f t="shared" si="3"/>
        <v>sábado</v>
      </c>
      <c r="F389" s="22">
        <f t="shared" si="4"/>
        <v>30</v>
      </c>
      <c r="G389" s="22" t="s">
        <v>23</v>
      </c>
      <c r="H389" s="3" t="str">
        <f>'AFI-F6'!$G$3</f>
        <v>CYC </v>
      </c>
      <c r="I389" s="24" t="str">
        <f>'AFI-F6'!B50</f>
        <v/>
      </c>
      <c r="J389" s="2" t="str">
        <f>'AFI-F6'!C50</f>
        <v/>
      </c>
      <c r="K389" s="2" t="str">
        <f>'AFI-F6'!D50</f>
        <v/>
      </c>
      <c r="L389" s="2" t="str">
        <f>'AFI-F6'!E50</f>
        <v/>
      </c>
      <c r="M389" s="2" t="str">
        <f>'AFI-F6'!F50</f>
        <v/>
      </c>
      <c r="N389" s="2" t="str">
        <f>'AFI-F6'!G50</f>
        <v/>
      </c>
      <c r="O389" s="2" t="str">
        <f>'AFI-F6'!H50</f>
        <v/>
      </c>
      <c r="P389" s="2" t="str">
        <f>'AFI-F6'!I50</f>
        <v/>
      </c>
      <c r="Q389" s="2" t="str">
        <f>'AFI-F6'!J50</f>
        <v/>
      </c>
      <c r="R389" s="2" t="str">
        <f>'AFI-F6'!K50</f>
        <v/>
      </c>
      <c r="S389" s="2" t="str">
        <f>'AFI-F6'!L50</f>
        <v/>
      </c>
      <c r="T389" s="2" t="str">
        <f>'AFI-F6'!M50</f>
        <v/>
      </c>
      <c r="U389" s="2" t="str">
        <f>'AFI-F6'!N50</f>
        <v/>
      </c>
      <c r="V389" s="2" t="str">
        <f>'AFI-F6'!O50</f>
        <v/>
      </c>
      <c r="W389" s="2" t="str">
        <f>'AFI-F6'!P50</f>
        <v/>
      </c>
      <c r="X389" s="5">
        <f>'AFI-F6'!Q50</f>
        <v>0</v>
      </c>
      <c r="Y389" s="1"/>
      <c r="Z389" s="1"/>
      <c r="AA389" s="1"/>
    </row>
    <row r="390">
      <c r="A390" s="1"/>
      <c r="B390" s="14">
        <f t="shared" si="10"/>
        <v>47</v>
      </c>
      <c r="C390" s="22" t="str">
        <f t="shared" si="1"/>
        <v>diciembre</v>
      </c>
      <c r="D390" s="22">
        <f t="shared" si="2"/>
        <v>52</v>
      </c>
      <c r="E390" s="23" t="str">
        <f t="shared" si="3"/>
        <v>sábado</v>
      </c>
      <c r="F390" s="22">
        <f t="shared" si="4"/>
        <v>30</v>
      </c>
      <c r="G390" s="22" t="s">
        <v>23</v>
      </c>
      <c r="H390" s="3" t="str">
        <f>'AFI-F6'!$G$3</f>
        <v>CYC </v>
      </c>
      <c r="I390" s="24" t="str">
        <f>'AFI-F6'!B51</f>
        <v/>
      </c>
      <c r="J390" s="2" t="str">
        <f>'AFI-F6'!C51</f>
        <v/>
      </c>
      <c r="K390" s="2" t="str">
        <f>'AFI-F6'!D51</f>
        <v/>
      </c>
      <c r="L390" s="2" t="str">
        <f>'AFI-F6'!E51</f>
        <v/>
      </c>
      <c r="M390" s="2" t="str">
        <f>'AFI-F6'!F51</f>
        <v/>
      </c>
      <c r="N390" s="2" t="str">
        <f>'AFI-F6'!G51</f>
        <v/>
      </c>
      <c r="O390" s="2" t="str">
        <f>'AFI-F6'!H51</f>
        <v/>
      </c>
      <c r="P390" s="2" t="str">
        <f>'AFI-F6'!I51</f>
        <v/>
      </c>
      <c r="Q390" s="2" t="str">
        <f>'AFI-F6'!J51</f>
        <v/>
      </c>
      <c r="R390" s="2" t="str">
        <f>'AFI-F6'!K51</f>
        <v/>
      </c>
      <c r="S390" s="2" t="str">
        <f>'AFI-F6'!L51</f>
        <v/>
      </c>
      <c r="T390" s="2" t="str">
        <f>'AFI-F6'!M51</f>
        <v/>
      </c>
      <c r="U390" s="2" t="str">
        <f>'AFI-F6'!N51</f>
        <v/>
      </c>
      <c r="V390" s="2" t="str">
        <f>'AFI-F6'!O51</f>
        <v/>
      </c>
      <c r="W390" s="2" t="str">
        <f>'AFI-F6'!P51</f>
        <v/>
      </c>
      <c r="X390" s="5">
        <f>'AFI-F6'!Q51</f>
        <v>0</v>
      </c>
      <c r="Y390" s="1"/>
      <c r="Z390" s="1"/>
      <c r="AA390" s="1"/>
    </row>
    <row r="391">
      <c r="A391" s="1"/>
      <c r="B391" s="14">
        <f t="shared" si="10"/>
        <v>48</v>
      </c>
      <c r="C391" s="22" t="str">
        <f t="shared" si="1"/>
        <v>diciembre</v>
      </c>
      <c r="D391" s="22">
        <f t="shared" si="2"/>
        <v>52</v>
      </c>
      <c r="E391" s="23" t="str">
        <f t="shared" si="3"/>
        <v>sábado</v>
      </c>
      <c r="F391" s="22">
        <f t="shared" si="4"/>
        <v>30</v>
      </c>
      <c r="G391" s="22" t="s">
        <v>23</v>
      </c>
      <c r="H391" s="3" t="str">
        <f>'AFI-F6'!$G$3</f>
        <v>CYC </v>
      </c>
      <c r="I391" s="24" t="str">
        <f>'AFI-F6'!B52</f>
        <v/>
      </c>
      <c r="J391" s="2" t="str">
        <f>'AFI-F6'!C52</f>
        <v/>
      </c>
      <c r="K391" s="2" t="str">
        <f>'AFI-F6'!D52</f>
        <v/>
      </c>
      <c r="L391" s="2" t="str">
        <f>'AFI-F6'!E52</f>
        <v/>
      </c>
      <c r="M391" s="2" t="str">
        <f>'AFI-F6'!F52</f>
        <v/>
      </c>
      <c r="N391" s="2" t="str">
        <f>'AFI-F6'!G52</f>
        <v/>
      </c>
      <c r="O391" s="2" t="str">
        <f>'AFI-F6'!H52</f>
        <v/>
      </c>
      <c r="P391" s="2" t="str">
        <f>'AFI-F6'!I52</f>
        <v/>
      </c>
      <c r="Q391" s="2" t="str">
        <f>'AFI-F6'!J52</f>
        <v/>
      </c>
      <c r="R391" s="2" t="str">
        <f>'AFI-F6'!K52</f>
        <v/>
      </c>
      <c r="S391" s="2" t="str">
        <f>'AFI-F6'!L52</f>
        <v/>
      </c>
      <c r="T391" s="2" t="str">
        <f>'AFI-F6'!M52</f>
        <v/>
      </c>
      <c r="U391" s="2" t="str">
        <f>'AFI-F6'!N52</f>
        <v/>
      </c>
      <c r="V391" s="2" t="str">
        <f>'AFI-F6'!O52</f>
        <v/>
      </c>
      <c r="W391" s="2" t="str">
        <f>'AFI-F6'!P52</f>
        <v/>
      </c>
      <c r="X391" s="5">
        <f>'AFI-F6'!Q52</f>
        <v>0</v>
      </c>
      <c r="Y391" s="1"/>
      <c r="Z391" s="1"/>
      <c r="AA391" s="1"/>
    </row>
    <row r="392">
      <c r="A392" s="1"/>
      <c r="B392" s="14">
        <f t="shared" si="10"/>
        <v>49</v>
      </c>
      <c r="C392" s="22" t="str">
        <f t="shared" si="1"/>
        <v>diciembre</v>
      </c>
      <c r="D392" s="22">
        <f t="shared" si="2"/>
        <v>52</v>
      </c>
      <c r="E392" s="23" t="str">
        <f t="shared" si="3"/>
        <v>sábado</v>
      </c>
      <c r="F392" s="22">
        <f t="shared" si="4"/>
        <v>30</v>
      </c>
      <c r="G392" s="22" t="s">
        <v>23</v>
      </c>
      <c r="H392" s="3" t="str">
        <f>'AFI-F6'!$G$3</f>
        <v>CYC </v>
      </c>
      <c r="I392" s="24" t="str">
        <f>'AFI-F6'!B53</f>
        <v/>
      </c>
      <c r="J392" s="2" t="str">
        <f>'AFI-F6'!C53</f>
        <v/>
      </c>
      <c r="K392" s="2" t="str">
        <f>'AFI-F6'!D53</f>
        <v/>
      </c>
      <c r="L392" s="2" t="str">
        <f>'AFI-F6'!E53</f>
        <v/>
      </c>
      <c r="M392" s="2" t="str">
        <f>'AFI-F6'!F53</f>
        <v/>
      </c>
      <c r="N392" s="2" t="str">
        <f>'AFI-F6'!G53</f>
        <v/>
      </c>
      <c r="O392" s="2" t="str">
        <f>'AFI-F6'!H53</f>
        <v/>
      </c>
      <c r="P392" s="2" t="str">
        <f>'AFI-F6'!I53</f>
        <v/>
      </c>
      <c r="Q392" s="2" t="str">
        <f>'AFI-F6'!J53</f>
        <v/>
      </c>
      <c r="R392" s="2" t="str">
        <f>'AFI-F6'!K53</f>
        <v/>
      </c>
      <c r="S392" s="2" t="str">
        <f>'AFI-F6'!L53</f>
        <v/>
      </c>
      <c r="T392" s="2" t="str">
        <f>'AFI-F6'!M53</f>
        <v/>
      </c>
      <c r="U392" s="2" t="str">
        <f>'AFI-F6'!N53</f>
        <v/>
      </c>
      <c r="V392" s="2" t="str">
        <f>'AFI-F6'!O53</f>
        <v/>
      </c>
      <c r="W392" s="2" t="str">
        <f>'AFI-F6'!P53</f>
        <v/>
      </c>
      <c r="X392" s="5">
        <f>'AFI-F6'!Q53</f>
        <v>0</v>
      </c>
      <c r="Y392" s="1"/>
      <c r="Z392" s="1"/>
      <c r="AA392" s="1"/>
    </row>
    <row r="393">
      <c r="A393" s="1"/>
      <c r="B393" s="14">
        <f t="shared" si="10"/>
        <v>50</v>
      </c>
      <c r="C393" s="22" t="str">
        <f t="shared" si="1"/>
        <v>diciembre</v>
      </c>
      <c r="D393" s="22">
        <f t="shared" si="2"/>
        <v>52</v>
      </c>
      <c r="E393" s="23" t="str">
        <f t="shared" si="3"/>
        <v>sábado</v>
      </c>
      <c r="F393" s="22">
        <f t="shared" si="4"/>
        <v>30</v>
      </c>
      <c r="G393" s="22" t="s">
        <v>23</v>
      </c>
      <c r="H393" s="3" t="str">
        <f>'AFI-F6'!$G$3</f>
        <v>CYC </v>
      </c>
      <c r="I393" s="24" t="str">
        <f>'AFI-F6'!B54</f>
        <v/>
      </c>
      <c r="J393" s="2" t="str">
        <f>'AFI-F6'!C54</f>
        <v/>
      </c>
      <c r="K393" s="2" t="str">
        <f>'AFI-F6'!D54</f>
        <v/>
      </c>
      <c r="L393" s="2" t="str">
        <f>'AFI-F6'!E54</f>
        <v/>
      </c>
      <c r="M393" s="2" t="str">
        <f>'AFI-F6'!F54</f>
        <v/>
      </c>
      <c r="N393" s="2" t="str">
        <f>'AFI-F6'!G54</f>
        <v/>
      </c>
      <c r="O393" s="2" t="str">
        <f>'AFI-F6'!H54</f>
        <v/>
      </c>
      <c r="P393" s="2" t="str">
        <f>'AFI-F6'!I54</f>
        <v/>
      </c>
      <c r="Q393" s="2" t="str">
        <f>'AFI-F6'!J54</f>
        <v/>
      </c>
      <c r="R393" s="2" t="str">
        <f>'AFI-F6'!K54</f>
        <v/>
      </c>
      <c r="S393" s="2" t="str">
        <f>'AFI-F6'!L54</f>
        <v/>
      </c>
      <c r="T393" s="2" t="str">
        <f>'AFI-F6'!M54</f>
        <v/>
      </c>
      <c r="U393" s="2" t="str">
        <f>'AFI-F6'!N54</f>
        <v/>
      </c>
      <c r="V393" s="2" t="str">
        <f>'AFI-F6'!O54</f>
        <v/>
      </c>
      <c r="W393" s="2" t="str">
        <f>'AFI-F6'!P54</f>
        <v/>
      </c>
      <c r="X393" s="5">
        <f>'AFI-F6'!Q54</f>
        <v>0</v>
      </c>
      <c r="Y393" s="1"/>
      <c r="Z393" s="1"/>
      <c r="AA393" s="1"/>
    </row>
    <row r="394">
      <c r="A394" s="1"/>
      <c r="B394" s="14">
        <f t="shared" si="10"/>
        <v>51</v>
      </c>
      <c r="C394" s="22" t="str">
        <f t="shared" si="1"/>
        <v>diciembre</v>
      </c>
      <c r="D394" s="22">
        <f t="shared" si="2"/>
        <v>52</v>
      </c>
      <c r="E394" s="23" t="str">
        <f t="shared" si="3"/>
        <v>sábado</v>
      </c>
      <c r="F394" s="22">
        <f t="shared" si="4"/>
        <v>30</v>
      </c>
      <c r="G394" s="22" t="s">
        <v>23</v>
      </c>
      <c r="H394" s="3" t="str">
        <f>'AFI-F6'!$G$3</f>
        <v>CYC </v>
      </c>
      <c r="I394" s="24" t="str">
        <f>'AFI-F6'!B55</f>
        <v/>
      </c>
      <c r="J394" s="2" t="str">
        <f>'AFI-F6'!C55</f>
        <v/>
      </c>
      <c r="K394" s="2" t="str">
        <f>'AFI-F6'!D55</f>
        <v/>
      </c>
      <c r="L394" s="2" t="str">
        <f>'AFI-F6'!E55</f>
        <v/>
      </c>
      <c r="M394" s="2" t="str">
        <f>'AFI-F6'!F55</f>
        <v/>
      </c>
      <c r="N394" s="2" t="str">
        <f>'AFI-F6'!G55</f>
        <v/>
      </c>
      <c r="O394" s="2" t="str">
        <f>'AFI-F6'!H55</f>
        <v/>
      </c>
      <c r="P394" s="2" t="str">
        <f>'AFI-F6'!I55</f>
        <v/>
      </c>
      <c r="Q394" s="2" t="str">
        <f>'AFI-F6'!J55</f>
        <v/>
      </c>
      <c r="R394" s="2" t="str">
        <f>'AFI-F6'!K55</f>
        <v/>
      </c>
      <c r="S394" s="2" t="str">
        <f>'AFI-F6'!L55</f>
        <v/>
      </c>
      <c r="T394" s="2" t="str">
        <f>'AFI-F6'!M55</f>
        <v/>
      </c>
      <c r="U394" s="2" t="str">
        <f>'AFI-F6'!N55</f>
        <v/>
      </c>
      <c r="V394" s="2" t="str">
        <f>'AFI-F6'!O55</f>
        <v/>
      </c>
      <c r="W394" s="2" t="str">
        <f>'AFI-F6'!P55</f>
        <v/>
      </c>
      <c r="X394" s="5">
        <f>'AFI-F6'!Q55</f>
        <v>0</v>
      </c>
      <c r="Y394" s="1"/>
      <c r="Z394" s="1"/>
      <c r="AA394" s="1"/>
    </row>
    <row r="395">
      <c r="A395" s="1"/>
      <c r="B395" s="14">
        <f t="shared" si="10"/>
        <v>52</v>
      </c>
      <c r="C395" s="22" t="str">
        <f t="shared" si="1"/>
        <v>diciembre</v>
      </c>
      <c r="D395" s="22">
        <f t="shared" si="2"/>
        <v>52</v>
      </c>
      <c r="E395" s="23" t="str">
        <f t="shared" si="3"/>
        <v>sábado</v>
      </c>
      <c r="F395" s="22">
        <f t="shared" si="4"/>
        <v>30</v>
      </c>
      <c r="G395" s="22" t="s">
        <v>23</v>
      </c>
      <c r="H395" s="3" t="str">
        <f>'AFI-F6'!$G$3</f>
        <v>CYC </v>
      </c>
      <c r="I395" s="24" t="str">
        <f>'AFI-F6'!B56</f>
        <v/>
      </c>
      <c r="J395" s="2" t="str">
        <f>'AFI-F6'!C56</f>
        <v/>
      </c>
      <c r="K395" s="2" t="str">
        <f>'AFI-F6'!D56</f>
        <v/>
      </c>
      <c r="L395" s="2" t="str">
        <f>'AFI-F6'!E56</f>
        <v/>
      </c>
      <c r="M395" s="2" t="str">
        <f>'AFI-F6'!F56</f>
        <v/>
      </c>
      <c r="N395" s="2" t="str">
        <f>'AFI-F6'!G56</f>
        <v/>
      </c>
      <c r="O395" s="2" t="str">
        <f>'AFI-F6'!H56</f>
        <v/>
      </c>
      <c r="P395" s="2" t="str">
        <f>'AFI-F6'!I56</f>
        <v/>
      </c>
      <c r="Q395" s="2" t="str">
        <f>'AFI-F6'!J56</f>
        <v/>
      </c>
      <c r="R395" s="2" t="str">
        <f>'AFI-F6'!K56</f>
        <v/>
      </c>
      <c r="S395" s="2" t="str">
        <f>'AFI-F6'!L56</f>
        <v/>
      </c>
      <c r="T395" s="2" t="str">
        <f>'AFI-F6'!M56</f>
        <v/>
      </c>
      <c r="U395" s="2" t="str">
        <f>'AFI-F6'!N56</f>
        <v/>
      </c>
      <c r="V395" s="2" t="str">
        <f>'AFI-F6'!O56</f>
        <v/>
      </c>
      <c r="W395" s="2" t="str">
        <f>'AFI-F6'!P56</f>
        <v/>
      </c>
      <c r="X395" s="5">
        <f>'AFI-F6'!Q56</f>
        <v>0</v>
      </c>
      <c r="Y395" s="1"/>
      <c r="Z395" s="1"/>
      <c r="AA395" s="1"/>
    </row>
    <row r="396">
      <c r="A396" s="1"/>
      <c r="B396" s="14">
        <f t="shared" si="10"/>
        <v>53</v>
      </c>
      <c r="C396" s="22" t="str">
        <f t="shared" si="1"/>
        <v>diciembre</v>
      </c>
      <c r="D396" s="22">
        <f t="shared" si="2"/>
        <v>52</v>
      </c>
      <c r="E396" s="23" t="str">
        <f t="shared" si="3"/>
        <v>sábado</v>
      </c>
      <c r="F396" s="22">
        <f t="shared" si="4"/>
        <v>30</v>
      </c>
      <c r="G396" s="22" t="s">
        <v>23</v>
      </c>
      <c r="H396" s="3" t="str">
        <f>'AFI-F6'!$G$3</f>
        <v>CYC </v>
      </c>
      <c r="I396" s="24" t="str">
        <f>'AFI-F6'!B57</f>
        <v/>
      </c>
      <c r="J396" s="2" t="str">
        <f>'AFI-F6'!C57</f>
        <v/>
      </c>
      <c r="K396" s="2" t="str">
        <f>'AFI-F6'!D57</f>
        <v/>
      </c>
      <c r="L396" s="2" t="str">
        <f>'AFI-F6'!E57</f>
        <v/>
      </c>
      <c r="M396" s="2" t="str">
        <f>'AFI-F6'!F57</f>
        <v/>
      </c>
      <c r="N396" s="2" t="str">
        <f>'AFI-F6'!G57</f>
        <v/>
      </c>
      <c r="O396" s="2" t="str">
        <f>'AFI-F6'!H57</f>
        <v/>
      </c>
      <c r="P396" s="2" t="str">
        <f>'AFI-F6'!I57</f>
        <v/>
      </c>
      <c r="Q396" s="2" t="str">
        <f>'AFI-F6'!J57</f>
        <v/>
      </c>
      <c r="R396" s="2" t="str">
        <f>'AFI-F6'!K57</f>
        <v/>
      </c>
      <c r="S396" s="2" t="str">
        <f>'AFI-F6'!L57</f>
        <v/>
      </c>
      <c r="T396" s="2" t="str">
        <f>'AFI-F6'!M57</f>
        <v/>
      </c>
      <c r="U396" s="2" t="str">
        <f>'AFI-F6'!N57</f>
        <v/>
      </c>
      <c r="V396" s="2" t="str">
        <f>'AFI-F6'!O57</f>
        <v/>
      </c>
      <c r="W396" s="2" t="str">
        <f>'AFI-F6'!P57</f>
        <v/>
      </c>
      <c r="X396" s="5">
        <f>'AFI-F6'!Q57</f>
        <v>0</v>
      </c>
      <c r="Y396" s="1"/>
      <c r="Z396" s="1"/>
      <c r="AA396" s="1"/>
    </row>
    <row r="397">
      <c r="A397" s="1"/>
      <c r="B397" s="14">
        <f t="shared" si="10"/>
        <v>54</v>
      </c>
      <c r="C397" s="22" t="str">
        <f t="shared" si="1"/>
        <v>diciembre</v>
      </c>
      <c r="D397" s="22">
        <f t="shared" si="2"/>
        <v>52</v>
      </c>
      <c r="E397" s="23" t="str">
        <f t="shared" si="3"/>
        <v>sábado</v>
      </c>
      <c r="F397" s="22">
        <f t="shared" si="4"/>
        <v>30</v>
      </c>
      <c r="G397" s="22" t="s">
        <v>23</v>
      </c>
      <c r="H397" s="3" t="str">
        <f>'AFI-F6'!$G$3</f>
        <v>CYC </v>
      </c>
      <c r="I397" s="24" t="str">
        <f>'AFI-F6'!B58</f>
        <v/>
      </c>
      <c r="J397" s="2" t="str">
        <f>'AFI-F6'!C58</f>
        <v/>
      </c>
      <c r="K397" s="2" t="str">
        <f>'AFI-F6'!D58</f>
        <v/>
      </c>
      <c r="L397" s="2" t="str">
        <f>'AFI-F6'!E58</f>
        <v/>
      </c>
      <c r="M397" s="2" t="str">
        <f>'AFI-F6'!F58</f>
        <v/>
      </c>
      <c r="N397" s="2" t="str">
        <f>'AFI-F6'!G58</f>
        <v/>
      </c>
      <c r="O397" s="2" t="str">
        <f>'AFI-F6'!H58</f>
        <v/>
      </c>
      <c r="P397" s="2" t="str">
        <f>'AFI-F6'!I58</f>
        <v/>
      </c>
      <c r="Q397" s="2" t="str">
        <f>'AFI-F6'!J58</f>
        <v/>
      </c>
      <c r="R397" s="2" t="str">
        <f>'AFI-F6'!K58</f>
        <v/>
      </c>
      <c r="S397" s="2" t="str">
        <f>'AFI-F6'!L58</f>
        <v/>
      </c>
      <c r="T397" s="2" t="str">
        <f>'AFI-F6'!M58</f>
        <v/>
      </c>
      <c r="U397" s="2" t="str">
        <f>'AFI-F6'!N58</f>
        <v/>
      </c>
      <c r="V397" s="2" t="str">
        <f>'AFI-F6'!O58</f>
        <v/>
      </c>
      <c r="W397" s="2" t="str">
        <f>'AFI-F6'!P58</f>
        <v/>
      </c>
      <c r="X397" s="5">
        <f>'AFI-F6'!Q58</f>
        <v>0</v>
      </c>
      <c r="Y397" s="1"/>
      <c r="Z397" s="1"/>
      <c r="AA397" s="1"/>
    </row>
    <row r="398">
      <c r="A398" s="1"/>
      <c r="B398" s="14">
        <f t="shared" si="10"/>
        <v>55</v>
      </c>
      <c r="C398" s="22" t="str">
        <f t="shared" si="1"/>
        <v>diciembre</v>
      </c>
      <c r="D398" s="22">
        <f t="shared" si="2"/>
        <v>52</v>
      </c>
      <c r="E398" s="23" t="str">
        <f t="shared" si="3"/>
        <v>sábado</v>
      </c>
      <c r="F398" s="22">
        <f t="shared" si="4"/>
        <v>30</v>
      </c>
      <c r="G398" s="22" t="s">
        <v>23</v>
      </c>
      <c r="H398" s="3" t="str">
        <f>'AFI-F6'!$G$3</f>
        <v>CYC </v>
      </c>
      <c r="I398" s="24" t="str">
        <f>'AFI-F6'!B59</f>
        <v/>
      </c>
      <c r="J398" s="2" t="str">
        <f>'AFI-F6'!C59</f>
        <v/>
      </c>
      <c r="K398" s="2" t="str">
        <f>'AFI-F6'!D59</f>
        <v/>
      </c>
      <c r="L398" s="2" t="str">
        <f>'AFI-F6'!E59</f>
        <v/>
      </c>
      <c r="M398" s="2" t="str">
        <f>'AFI-F6'!F59</f>
        <v/>
      </c>
      <c r="N398" s="2" t="str">
        <f>'AFI-F6'!G59</f>
        <v/>
      </c>
      <c r="O398" s="2" t="str">
        <f>'AFI-F6'!H59</f>
        <v/>
      </c>
      <c r="P398" s="2" t="str">
        <f>'AFI-F6'!I59</f>
        <v/>
      </c>
      <c r="Q398" s="2" t="str">
        <f>'AFI-F6'!J59</f>
        <v/>
      </c>
      <c r="R398" s="2" t="str">
        <f>'AFI-F6'!K59</f>
        <v/>
      </c>
      <c r="S398" s="2" t="str">
        <f>'AFI-F6'!L59</f>
        <v/>
      </c>
      <c r="T398" s="2" t="str">
        <f>'AFI-F6'!M59</f>
        <v/>
      </c>
      <c r="U398" s="2" t="str">
        <f>'AFI-F6'!N59</f>
        <v/>
      </c>
      <c r="V398" s="2" t="str">
        <f>'AFI-F6'!O59</f>
        <v/>
      </c>
      <c r="W398" s="2" t="str">
        <f>'AFI-F6'!P59</f>
        <v/>
      </c>
      <c r="X398" s="5">
        <f>'AFI-F6'!Q59</f>
        <v>0</v>
      </c>
      <c r="Y398" s="1"/>
      <c r="Z398" s="1"/>
      <c r="AA398" s="1"/>
    </row>
    <row r="399">
      <c r="A399" s="1"/>
      <c r="B399" s="14">
        <f t="shared" si="10"/>
        <v>56</v>
      </c>
      <c r="C399" s="22" t="str">
        <f t="shared" si="1"/>
        <v>diciembre</v>
      </c>
      <c r="D399" s="22">
        <f t="shared" si="2"/>
        <v>52</v>
      </c>
      <c r="E399" s="23" t="str">
        <f t="shared" si="3"/>
        <v>sábado</v>
      </c>
      <c r="F399" s="22">
        <f t="shared" si="4"/>
        <v>30</v>
      </c>
      <c r="G399" s="22" t="s">
        <v>23</v>
      </c>
      <c r="H399" s="3" t="str">
        <f>'AFI-F6'!$G$3</f>
        <v>CYC </v>
      </c>
      <c r="I399" s="24" t="str">
        <f>'AFI-F6'!B60</f>
        <v/>
      </c>
      <c r="J399" s="2" t="str">
        <f>'AFI-F6'!C60</f>
        <v/>
      </c>
      <c r="K399" s="2" t="str">
        <f>'AFI-F6'!D60</f>
        <v/>
      </c>
      <c r="L399" s="2" t="str">
        <f>'AFI-F6'!E60</f>
        <v/>
      </c>
      <c r="M399" s="2" t="str">
        <f>'AFI-F6'!F60</f>
        <v/>
      </c>
      <c r="N399" s="2" t="str">
        <f>'AFI-F6'!G60</f>
        <v/>
      </c>
      <c r="O399" s="2" t="str">
        <f>'AFI-F6'!H60</f>
        <v/>
      </c>
      <c r="P399" s="2" t="str">
        <f>'AFI-F6'!I60</f>
        <v/>
      </c>
      <c r="Q399" s="2" t="str">
        <f>'AFI-F6'!J60</f>
        <v/>
      </c>
      <c r="R399" s="2" t="str">
        <f>'AFI-F6'!K60</f>
        <v/>
      </c>
      <c r="S399" s="2" t="str">
        <f>'AFI-F6'!L60</f>
        <v/>
      </c>
      <c r="T399" s="2" t="str">
        <f>'AFI-F6'!M60</f>
        <v/>
      </c>
      <c r="U399" s="2" t="str">
        <f>'AFI-F6'!N60</f>
        <v/>
      </c>
      <c r="V399" s="2" t="str">
        <f>'AFI-F6'!O60</f>
        <v/>
      </c>
      <c r="W399" s="2" t="str">
        <f>'AFI-F6'!P60</f>
        <v/>
      </c>
      <c r="X399" s="5">
        <f>'AFI-F6'!Q60</f>
        <v>0</v>
      </c>
      <c r="Y399" s="1"/>
      <c r="Z399" s="1"/>
      <c r="AA399" s="1"/>
    </row>
    <row r="400">
      <c r="A400" s="1"/>
      <c r="B400" s="14">
        <f t="shared" si="10"/>
        <v>57</v>
      </c>
      <c r="C400" s="22" t="str">
        <f t="shared" si="1"/>
        <v>diciembre</v>
      </c>
      <c r="D400" s="22">
        <f t="shared" si="2"/>
        <v>52</v>
      </c>
      <c r="E400" s="23" t="str">
        <f t="shared" si="3"/>
        <v>sábado</v>
      </c>
      <c r="F400" s="22">
        <f t="shared" si="4"/>
        <v>30</v>
      </c>
      <c r="G400" s="22" t="s">
        <v>23</v>
      </c>
      <c r="H400" s="3" t="str">
        <f>'AFI-F6'!$G$3</f>
        <v>CYC </v>
      </c>
      <c r="I400" s="24" t="str">
        <f>'AFI-F6'!B61</f>
        <v/>
      </c>
      <c r="J400" s="2" t="str">
        <f>'AFI-F6'!C61</f>
        <v/>
      </c>
      <c r="K400" s="2" t="str">
        <f>'AFI-F6'!D61</f>
        <v/>
      </c>
      <c r="L400" s="2" t="str">
        <f>'AFI-F6'!E61</f>
        <v/>
      </c>
      <c r="M400" s="2" t="str">
        <f>'AFI-F6'!F61</f>
        <v/>
      </c>
      <c r="N400" s="2" t="str">
        <f>'AFI-F6'!G61</f>
        <v/>
      </c>
      <c r="O400" s="2" t="str">
        <f>'AFI-F6'!H61</f>
        <v/>
      </c>
      <c r="P400" s="2" t="str">
        <f>'AFI-F6'!I61</f>
        <v/>
      </c>
      <c r="Q400" s="2" t="str">
        <f>'AFI-F6'!J61</f>
        <v/>
      </c>
      <c r="R400" s="2" t="str">
        <f>'AFI-F6'!K61</f>
        <v/>
      </c>
      <c r="S400" s="2" t="str">
        <f>'AFI-F6'!L61</f>
        <v/>
      </c>
      <c r="T400" s="2" t="str">
        <f>'AFI-F6'!M61</f>
        <v/>
      </c>
      <c r="U400" s="2" t="str">
        <f>'AFI-F6'!N61</f>
        <v/>
      </c>
      <c r="V400" s="2" t="str">
        <f>'AFI-F6'!O61</f>
        <v/>
      </c>
      <c r="W400" s="2" t="str">
        <f>'AFI-F6'!P61</f>
        <v/>
      </c>
      <c r="X400" s="5">
        <f>'AFI-F6'!Q61</f>
        <v>0</v>
      </c>
      <c r="Y400" s="1"/>
      <c r="Z400" s="1"/>
      <c r="AA400" s="1"/>
    </row>
    <row r="401">
      <c r="A401" s="1"/>
      <c r="B401" s="14">
        <f t="shared" si="10"/>
        <v>58</v>
      </c>
      <c r="C401" s="22" t="str">
        <f t="shared" si="1"/>
        <v>diciembre</v>
      </c>
      <c r="D401" s="22">
        <f t="shared" si="2"/>
        <v>52</v>
      </c>
      <c r="E401" s="23" t="str">
        <f t="shared" si="3"/>
        <v>sábado</v>
      </c>
      <c r="F401" s="22">
        <f t="shared" si="4"/>
        <v>30</v>
      </c>
      <c r="G401" s="22" t="s">
        <v>23</v>
      </c>
      <c r="H401" s="3" t="str">
        <f>'AFI-F6'!$G$3</f>
        <v>CYC </v>
      </c>
      <c r="I401" s="24" t="str">
        <f>'AFI-F6'!B62</f>
        <v/>
      </c>
      <c r="J401" s="2" t="str">
        <f>'AFI-F6'!C62</f>
        <v/>
      </c>
      <c r="K401" s="2" t="str">
        <f>'AFI-F6'!D62</f>
        <v/>
      </c>
      <c r="L401" s="2" t="str">
        <f>'AFI-F6'!E62</f>
        <v/>
      </c>
      <c r="M401" s="2" t="str">
        <f>'AFI-F6'!F62</f>
        <v/>
      </c>
      <c r="N401" s="2" t="str">
        <f>'AFI-F6'!G62</f>
        <v/>
      </c>
      <c r="O401" s="2" t="str">
        <f>'AFI-F6'!H62</f>
        <v/>
      </c>
      <c r="P401" s="2" t="str">
        <f>'AFI-F6'!I62</f>
        <v/>
      </c>
      <c r="Q401" s="2" t="str">
        <f>'AFI-F6'!J62</f>
        <v/>
      </c>
      <c r="R401" s="2" t="str">
        <f>'AFI-F6'!K62</f>
        <v/>
      </c>
      <c r="S401" s="2" t="str">
        <f>'AFI-F6'!L62</f>
        <v/>
      </c>
      <c r="T401" s="2" t="str">
        <f>'AFI-F6'!M62</f>
        <v/>
      </c>
      <c r="U401" s="2" t="str">
        <f>'AFI-F6'!N62</f>
        <v/>
      </c>
      <c r="V401" s="2" t="str">
        <f>'AFI-F6'!O62</f>
        <v/>
      </c>
      <c r="W401" s="2" t="str">
        <f>'AFI-F6'!P62</f>
        <v/>
      </c>
      <c r="X401" s="5">
        <f>'AFI-F6'!Q62</f>
        <v>0</v>
      </c>
      <c r="Y401" s="1"/>
      <c r="Z401" s="1"/>
      <c r="AA401" s="1"/>
    </row>
    <row r="402">
      <c r="A402" s="1"/>
      <c r="B402" s="14">
        <f t="shared" si="10"/>
        <v>59</v>
      </c>
      <c r="C402" s="22" t="str">
        <f t="shared" si="1"/>
        <v>diciembre</v>
      </c>
      <c r="D402" s="22">
        <f t="shared" si="2"/>
        <v>52</v>
      </c>
      <c r="E402" s="23" t="str">
        <f t="shared" si="3"/>
        <v>sábado</v>
      </c>
      <c r="F402" s="22">
        <f t="shared" si="4"/>
        <v>30</v>
      </c>
      <c r="G402" s="22" t="s">
        <v>23</v>
      </c>
      <c r="H402" s="3" t="str">
        <f>'AFI-F6'!$G$3</f>
        <v>CYC </v>
      </c>
      <c r="I402" s="24" t="str">
        <f>'AFI-F6'!B63</f>
        <v/>
      </c>
      <c r="J402" s="2" t="str">
        <f>'AFI-F6'!C63</f>
        <v/>
      </c>
      <c r="K402" s="2" t="str">
        <f>'AFI-F6'!D63</f>
        <v/>
      </c>
      <c r="L402" s="2" t="str">
        <f>'AFI-F6'!E63</f>
        <v/>
      </c>
      <c r="M402" s="2" t="str">
        <f>'AFI-F6'!F63</f>
        <v/>
      </c>
      <c r="N402" s="2" t="str">
        <f>'AFI-F6'!G63</f>
        <v/>
      </c>
      <c r="O402" s="2" t="str">
        <f>'AFI-F6'!H63</f>
        <v/>
      </c>
      <c r="P402" s="2" t="str">
        <f>'AFI-F6'!I63</f>
        <v/>
      </c>
      <c r="Q402" s="2" t="str">
        <f>'AFI-F6'!J63</f>
        <v/>
      </c>
      <c r="R402" s="2" t="str">
        <f>'AFI-F6'!K63</f>
        <v/>
      </c>
      <c r="S402" s="2" t="str">
        <f>'AFI-F6'!L63</f>
        <v/>
      </c>
      <c r="T402" s="2" t="str">
        <f>'AFI-F6'!M63</f>
        <v/>
      </c>
      <c r="U402" s="2" t="str">
        <f>'AFI-F6'!N63</f>
        <v/>
      </c>
      <c r="V402" s="2" t="str">
        <f>'AFI-F6'!O63</f>
        <v/>
      </c>
      <c r="W402" s="2" t="str">
        <f>'AFI-F6'!P63</f>
        <v/>
      </c>
      <c r="X402" s="5">
        <f>'AFI-F6'!Q63</f>
        <v>0</v>
      </c>
      <c r="Y402" s="1"/>
      <c r="Z402" s="1"/>
      <c r="AA402" s="1"/>
    </row>
    <row r="403">
      <c r="A403" s="1"/>
      <c r="B403" s="14">
        <f t="shared" si="10"/>
        <v>60</v>
      </c>
      <c r="C403" s="22" t="str">
        <f t="shared" si="1"/>
        <v>diciembre</v>
      </c>
      <c r="D403" s="22">
        <f t="shared" si="2"/>
        <v>52</v>
      </c>
      <c r="E403" s="23" t="str">
        <f t="shared" si="3"/>
        <v>sábado</v>
      </c>
      <c r="F403" s="22">
        <f t="shared" si="4"/>
        <v>30</v>
      </c>
      <c r="G403" s="22" t="s">
        <v>23</v>
      </c>
      <c r="H403" s="3" t="str">
        <f>'AFI-F6'!$G$3</f>
        <v>CYC </v>
      </c>
      <c r="I403" s="24" t="str">
        <f>'AFI-F6'!B64</f>
        <v/>
      </c>
      <c r="J403" s="2" t="str">
        <f>'AFI-F6'!C64</f>
        <v/>
      </c>
      <c r="K403" s="2" t="str">
        <f>'AFI-F6'!D64</f>
        <v/>
      </c>
      <c r="L403" s="2" t="str">
        <f>'AFI-F6'!E64</f>
        <v/>
      </c>
      <c r="M403" s="2" t="str">
        <f>'AFI-F6'!F64</f>
        <v/>
      </c>
      <c r="N403" s="2" t="str">
        <f>'AFI-F6'!G64</f>
        <v/>
      </c>
      <c r="O403" s="2" t="str">
        <f>'AFI-F6'!H64</f>
        <v/>
      </c>
      <c r="P403" s="2" t="str">
        <f>'AFI-F6'!I64</f>
        <v/>
      </c>
      <c r="Q403" s="2" t="str">
        <f>'AFI-F6'!J64</f>
        <v/>
      </c>
      <c r="R403" s="2" t="str">
        <f>'AFI-F6'!K64</f>
        <v/>
      </c>
      <c r="S403" s="2" t="str">
        <f>'AFI-F6'!L64</f>
        <v/>
      </c>
      <c r="T403" s="2" t="str">
        <f>'AFI-F6'!M64</f>
        <v/>
      </c>
      <c r="U403" s="2" t="str">
        <f>'AFI-F6'!N64</f>
        <v/>
      </c>
      <c r="V403" s="2" t="str">
        <f>'AFI-F6'!O64</f>
        <v/>
      </c>
      <c r="W403" s="2" t="str">
        <f>'AFI-F6'!P64</f>
        <v/>
      </c>
      <c r="X403" s="5">
        <f>'AFI-F6'!Q64</f>
        <v>0</v>
      </c>
      <c r="Y403" s="1"/>
      <c r="Z403" s="1"/>
      <c r="AA403" s="1"/>
    </row>
    <row r="404">
      <c r="A404" s="1"/>
      <c r="B404" s="14">
        <f t="shared" si="10"/>
        <v>61</v>
      </c>
      <c r="C404" s="22" t="str">
        <f t="shared" si="1"/>
        <v>diciembre</v>
      </c>
      <c r="D404" s="22">
        <f t="shared" si="2"/>
        <v>52</v>
      </c>
      <c r="E404" s="23" t="str">
        <f t="shared" si="3"/>
        <v>sábado</v>
      </c>
      <c r="F404" s="22">
        <f t="shared" si="4"/>
        <v>30</v>
      </c>
      <c r="G404" s="22" t="s">
        <v>23</v>
      </c>
      <c r="H404" s="3" t="str">
        <f>'AFI-F6'!$G$3</f>
        <v>CYC </v>
      </c>
      <c r="I404" s="24" t="str">
        <f>'AFI-F6'!B65</f>
        <v/>
      </c>
      <c r="J404" s="2" t="str">
        <f>'AFI-F6'!C65</f>
        <v/>
      </c>
      <c r="K404" s="2" t="str">
        <f>'AFI-F6'!D65</f>
        <v/>
      </c>
      <c r="L404" s="2" t="str">
        <f>'AFI-F6'!E65</f>
        <v/>
      </c>
      <c r="M404" s="2" t="str">
        <f>'AFI-F6'!F65</f>
        <v/>
      </c>
      <c r="N404" s="2" t="str">
        <f>'AFI-F6'!G65</f>
        <v/>
      </c>
      <c r="O404" s="2" t="str">
        <f>'AFI-F6'!H65</f>
        <v/>
      </c>
      <c r="P404" s="2" t="str">
        <f>'AFI-F6'!I65</f>
        <v/>
      </c>
      <c r="Q404" s="2" t="str">
        <f>'AFI-F6'!J65</f>
        <v/>
      </c>
      <c r="R404" s="2" t="str">
        <f>'AFI-F6'!K65</f>
        <v/>
      </c>
      <c r="S404" s="2" t="str">
        <f>'AFI-F6'!L65</f>
        <v/>
      </c>
      <c r="T404" s="2" t="str">
        <f>'AFI-F6'!M65</f>
        <v/>
      </c>
      <c r="U404" s="2" t="str">
        <f>'AFI-F6'!N65</f>
        <v/>
      </c>
      <c r="V404" s="2" t="str">
        <f>'AFI-F6'!O65</f>
        <v/>
      </c>
      <c r="W404" s="2" t="str">
        <f>'AFI-F6'!P65</f>
        <v/>
      </c>
      <c r="X404" s="5">
        <f>'AFI-F6'!Q65</f>
        <v>0</v>
      </c>
      <c r="Y404" s="1"/>
      <c r="Z404" s="1"/>
      <c r="AA404" s="1"/>
    </row>
    <row r="405">
      <c r="A405" s="1"/>
      <c r="B405" s="14">
        <f t="shared" si="10"/>
        <v>62</v>
      </c>
      <c r="C405" s="22" t="str">
        <f t="shared" si="1"/>
        <v>diciembre</v>
      </c>
      <c r="D405" s="22">
        <f t="shared" si="2"/>
        <v>52</v>
      </c>
      <c r="E405" s="23" t="str">
        <f t="shared" si="3"/>
        <v>sábado</v>
      </c>
      <c r="F405" s="22">
        <f t="shared" si="4"/>
        <v>30</v>
      </c>
      <c r="G405" s="22" t="s">
        <v>23</v>
      </c>
      <c r="H405" s="3" t="str">
        <f>'AFI-F6'!$G$3</f>
        <v>CYC </v>
      </c>
      <c r="I405" s="24" t="str">
        <f>'AFI-F6'!B66</f>
        <v/>
      </c>
      <c r="J405" s="2" t="str">
        <f>'AFI-F6'!C66</f>
        <v/>
      </c>
      <c r="K405" s="2" t="str">
        <f>'AFI-F6'!D66</f>
        <v/>
      </c>
      <c r="L405" s="2" t="str">
        <f>'AFI-F6'!E66</f>
        <v/>
      </c>
      <c r="M405" s="2" t="str">
        <f>'AFI-F6'!F66</f>
        <v/>
      </c>
      <c r="N405" s="2" t="str">
        <f>'AFI-F6'!G66</f>
        <v/>
      </c>
      <c r="O405" s="2" t="str">
        <f>'AFI-F6'!H66</f>
        <v/>
      </c>
      <c r="P405" s="2" t="str">
        <f>'AFI-F6'!I66</f>
        <v/>
      </c>
      <c r="Q405" s="2" t="str">
        <f>'AFI-F6'!J66</f>
        <v/>
      </c>
      <c r="R405" s="2" t="str">
        <f>'AFI-F6'!K66</f>
        <v/>
      </c>
      <c r="S405" s="2" t="str">
        <f>'AFI-F6'!L66</f>
        <v/>
      </c>
      <c r="T405" s="2" t="str">
        <f>'AFI-F6'!M66</f>
        <v/>
      </c>
      <c r="U405" s="2" t="str">
        <f>'AFI-F6'!N66</f>
        <v/>
      </c>
      <c r="V405" s="2" t="str">
        <f>'AFI-F6'!O66</f>
        <v/>
      </c>
      <c r="W405" s="2" t="str">
        <f>'AFI-F6'!P66</f>
        <v/>
      </c>
      <c r="X405" s="5">
        <f>'AFI-F6'!Q66</f>
        <v>0</v>
      </c>
      <c r="Y405" s="1"/>
      <c r="Z405" s="1"/>
      <c r="AA405" s="1"/>
    </row>
    <row r="406">
      <c r="A406" s="1"/>
      <c r="B406" s="14">
        <f t="shared" si="10"/>
        <v>63</v>
      </c>
      <c r="C406" s="22" t="str">
        <f t="shared" si="1"/>
        <v>diciembre</v>
      </c>
      <c r="D406" s="22">
        <f t="shared" si="2"/>
        <v>52</v>
      </c>
      <c r="E406" s="23" t="str">
        <f t="shared" si="3"/>
        <v>sábado</v>
      </c>
      <c r="F406" s="22">
        <f t="shared" si="4"/>
        <v>30</v>
      </c>
      <c r="G406" s="22" t="s">
        <v>23</v>
      </c>
      <c r="H406" s="3" t="str">
        <f>'AFI-F6'!$G$3</f>
        <v>CYC </v>
      </c>
      <c r="I406" s="24" t="str">
        <f>'AFI-F6'!B67</f>
        <v/>
      </c>
      <c r="J406" s="2" t="str">
        <f>'AFI-F6'!C67</f>
        <v/>
      </c>
      <c r="K406" s="2" t="str">
        <f>'AFI-F6'!D67</f>
        <v/>
      </c>
      <c r="L406" s="2" t="str">
        <f>'AFI-F6'!E67</f>
        <v/>
      </c>
      <c r="M406" s="2" t="str">
        <f>'AFI-F6'!F67</f>
        <v/>
      </c>
      <c r="N406" s="2" t="str">
        <f>'AFI-F6'!G67</f>
        <v/>
      </c>
      <c r="O406" s="2" t="str">
        <f>'AFI-F6'!H67</f>
        <v/>
      </c>
      <c r="P406" s="2" t="str">
        <f>'AFI-F6'!I67</f>
        <v/>
      </c>
      <c r="Q406" s="2" t="str">
        <f>'AFI-F6'!J67</f>
        <v/>
      </c>
      <c r="R406" s="2" t="str">
        <f>'AFI-F6'!K67</f>
        <v/>
      </c>
      <c r="S406" s="2" t="str">
        <f>'AFI-F6'!L67</f>
        <v/>
      </c>
      <c r="T406" s="2" t="str">
        <f>'AFI-F6'!M67</f>
        <v/>
      </c>
      <c r="U406" s="2" t="str">
        <f>'AFI-F6'!N67</f>
        <v/>
      </c>
      <c r="V406" s="2" t="str">
        <f>'AFI-F6'!O67</f>
        <v/>
      </c>
      <c r="W406" s="2" t="str">
        <f>'AFI-F6'!P67</f>
        <v/>
      </c>
      <c r="X406" s="5">
        <f>'AFI-F6'!Q67</f>
        <v>0</v>
      </c>
      <c r="Y406" s="1"/>
      <c r="Z406" s="1"/>
      <c r="AA406" s="1"/>
    </row>
    <row r="407">
      <c r="A407" s="1"/>
      <c r="B407" s="14">
        <f t="shared" si="10"/>
        <v>64</v>
      </c>
      <c r="C407" s="22" t="str">
        <f t="shared" si="1"/>
        <v>diciembre</v>
      </c>
      <c r="D407" s="22">
        <f t="shared" si="2"/>
        <v>52</v>
      </c>
      <c r="E407" s="23" t="str">
        <f t="shared" si="3"/>
        <v>sábado</v>
      </c>
      <c r="F407" s="22">
        <f t="shared" si="4"/>
        <v>30</v>
      </c>
      <c r="G407" s="22" t="s">
        <v>23</v>
      </c>
      <c r="H407" s="3" t="str">
        <f>'AFI-F6'!$G$3</f>
        <v>CYC </v>
      </c>
      <c r="I407" s="24" t="str">
        <f>'AFI-F6'!B68</f>
        <v/>
      </c>
      <c r="J407" s="2" t="str">
        <f>'AFI-F6'!C68</f>
        <v/>
      </c>
      <c r="K407" s="2" t="str">
        <f>'AFI-F6'!D68</f>
        <v/>
      </c>
      <c r="L407" s="2" t="str">
        <f>'AFI-F6'!E68</f>
        <v/>
      </c>
      <c r="M407" s="2" t="str">
        <f>'AFI-F6'!F68</f>
        <v/>
      </c>
      <c r="N407" s="2" t="str">
        <f>'AFI-F6'!G68</f>
        <v/>
      </c>
      <c r="O407" s="2" t="str">
        <f>'AFI-F6'!H68</f>
        <v/>
      </c>
      <c r="P407" s="2" t="str">
        <f>'AFI-F6'!I68</f>
        <v/>
      </c>
      <c r="Q407" s="2" t="str">
        <f>'AFI-F6'!J68</f>
        <v/>
      </c>
      <c r="R407" s="2" t="str">
        <f>'AFI-F6'!K68</f>
        <v/>
      </c>
      <c r="S407" s="2" t="str">
        <f>'AFI-F6'!L68</f>
        <v/>
      </c>
      <c r="T407" s="2" t="str">
        <f>'AFI-F6'!M68</f>
        <v/>
      </c>
      <c r="U407" s="2" t="str">
        <f>'AFI-F6'!N68</f>
        <v/>
      </c>
      <c r="V407" s="2" t="str">
        <f>'AFI-F6'!O68</f>
        <v/>
      </c>
      <c r="W407" s="2" t="str">
        <f>'AFI-F6'!P68</f>
        <v/>
      </c>
      <c r="X407" s="5">
        <f>'AFI-F6'!Q68</f>
        <v>0</v>
      </c>
      <c r="Y407" s="1"/>
      <c r="Z407" s="1"/>
      <c r="AA407" s="1"/>
    </row>
    <row r="408">
      <c r="A408" s="1"/>
      <c r="B408" s="14">
        <f t="shared" si="10"/>
        <v>65</v>
      </c>
      <c r="C408" s="22" t="str">
        <f t="shared" si="1"/>
        <v>diciembre</v>
      </c>
      <c r="D408" s="22">
        <f t="shared" si="2"/>
        <v>52</v>
      </c>
      <c r="E408" s="23" t="str">
        <f t="shared" si="3"/>
        <v>sábado</v>
      </c>
      <c r="F408" s="22">
        <f t="shared" si="4"/>
        <v>30</v>
      </c>
      <c r="G408" s="22" t="s">
        <v>23</v>
      </c>
      <c r="H408" s="3" t="str">
        <f>'AFI-F6'!$G$3</f>
        <v>CYC </v>
      </c>
      <c r="I408" s="24" t="str">
        <f>'AFI-F6'!B69</f>
        <v/>
      </c>
      <c r="J408" s="2" t="str">
        <f>'AFI-F6'!C69</f>
        <v/>
      </c>
      <c r="K408" s="2" t="str">
        <f>'AFI-F6'!D69</f>
        <v/>
      </c>
      <c r="L408" s="2" t="str">
        <f>'AFI-F6'!E69</f>
        <v/>
      </c>
      <c r="M408" s="2" t="str">
        <f>'AFI-F6'!F69</f>
        <v/>
      </c>
      <c r="N408" s="2" t="str">
        <f>'AFI-F6'!G69</f>
        <v/>
      </c>
      <c r="O408" s="2" t="str">
        <f>'AFI-F6'!H69</f>
        <v/>
      </c>
      <c r="P408" s="2" t="str">
        <f>'AFI-F6'!I69</f>
        <v/>
      </c>
      <c r="Q408" s="2" t="str">
        <f>'AFI-F6'!J69</f>
        <v/>
      </c>
      <c r="R408" s="2" t="str">
        <f>'AFI-F6'!K69</f>
        <v/>
      </c>
      <c r="S408" s="2" t="str">
        <f>'AFI-F6'!L69</f>
        <v/>
      </c>
      <c r="T408" s="2" t="str">
        <f>'AFI-F6'!M69</f>
        <v/>
      </c>
      <c r="U408" s="2" t="str">
        <f>'AFI-F6'!N69</f>
        <v/>
      </c>
      <c r="V408" s="2" t="str">
        <f>'AFI-F6'!O69</f>
        <v/>
      </c>
      <c r="W408" s="2" t="str">
        <f>'AFI-F6'!P69</f>
        <v/>
      </c>
      <c r="X408" s="5">
        <f>'AFI-F6'!Q69</f>
        <v>0</v>
      </c>
      <c r="Y408" s="1"/>
      <c r="Z408" s="1"/>
      <c r="AA408" s="1"/>
    </row>
    <row r="409">
      <c r="A409" s="1"/>
      <c r="B409" s="14">
        <f t="shared" si="10"/>
        <v>66</v>
      </c>
      <c r="C409" s="22" t="str">
        <f t="shared" si="1"/>
        <v>diciembre</v>
      </c>
      <c r="D409" s="22">
        <f t="shared" si="2"/>
        <v>52</v>
      </c>
      <c r="E409" s="23" t="str">
        <f t="shared" si="3"/>
        <v>sábado</v>
      </c>
      <c r="F409" s="22">
        <f t="shared" si="4"/>
        <v>30</v>
      </c>
      <c r="G409" s="22" t="s">
        <v>23</v>
      </c>
      <c r="H409" s="3" t="str">
        <f>'AFI-F6'!$G$3</f>
        <v>CYC </v>
      </c>
      <c r="I409" s="24" t="str">
        <f>'AFI-F6'!B70</f>
        <v/>
      </c>
      <c r="J409" s="2" t="str">
        <f>'AFI-F6'!C70</f>
        <v/>
      </c>
      <c r="K409" s="2" t="str">
        <f>'AFI-F6'!D70</f>
        <v/>
      </c>
      <c r="L409" s="2" t="str">
        <f>'AFI-F6'!E70</f>
        <v/>
      </c>
      <c r="M409" s="2" t="str">
        <f>'AFI-F6'!F70</f>
        <v/>
      </c>
      <c r="N409" s="2" t="str">
        <f>'AFI-F6'!G70</f>
        <v/>
      </c>
      <c r="O409" s="2" t="str">
        <f>'AFI-F6'!H70</f>
        <v/>
      </c>
      <c r="P409" s="2" t="str">
        <f>'AFI-F6'!I70</f>
        <v/>
      </c>
      <c r="Q409" s="2" t="str">
        <f>'AFI-F6'!J70</f>
        <v/>
      </c>
      <c r="R409" s="2" t="str">
        <f>'AFI-F6'!K70</f>
        <v/>
      </c>
      <c r="S409" s="2" t="str">
        <f>'AFI-F6'!L70</f>
        <v/>
      </c>
      <c r="T409" s="2" t="str">
        <f>'AFI-F6'!M70</f>
        <v/>
      </c>
      <c r="U409" s="2" t="str">
        <f>'AFI-F6'!N70</f>
        <v/>
      </c>
      <c r="V409" s="2" t="str">
        <f>'AFI-F6'!O70</f>
        <v/>
      </c>
      <c r="W409" s="2" t="str">
        <f>'AFI-F6'!P70</f>
        <v/>
      </c>
      <c r="X409" s="5">
        <f>'AFI-F6'!Q70</f>
        <v>0</v>
      </c>
      <c r="Y409" s="1"/>
      <c r="Z409" s="1"/>
      <c r="AA409" s="1"/>
    </row>
    <row r="410">
      <c r="A410" s="1"/>
      <c r="B410" s="14">
        <f t="shared" si="10"/>
        <v>67</v>
      </c>
      <c r="C410" s="22" t="str">
        <f t="shared" si="1"/>
        <v>diciembre</v>
      </c>
      <c r="D410" s="22">
        <f t="shared" si="2"/>
        <v>52</v>
      </c>
      <c r="E410" s="23" t="str">
        <f t="shared" si="3"/>
        <v>sábado</v>
      </c>
      <c r="F410" s="22">
        <f t="shared" si="4"/>
        <v>30</v>
      </c>
      <c r="G410" s="22" t="s">
        <v>23</v>
      </c>
      <c r="H410" s="3" t="str">
        <f>'AFI-F6'!$G$3</f>
        <v>CYC </v>
      </c>
      <c r="I410" s="24" t="str">
        <f>'AFI-F6'!B71</f>
        <v/>
      </c>
      <c r="J410" s="2" t="str">
        <f>'AFI-F6'!C71</f>
        <v/>
      </c>
      <c r="K410" s="2" t="str">
        <f>'AFI-F6'!D71</f>
        <v/>
      </c>
      <c r="L410" s="2" t="str">
        <f>'AFI-F6'!E71</f>
        <v/>
      </c>
      <c r="M410" s="2" t="str">
        <f>'AFI-F6'!F71</f>
        <v/>
      </c>
      <c r="N410" s="2" t="str">
        <f>'AFI-F6'!G71</f>
        <v/>
      </c>
      <c r="O410" s="2" t="str">
        <f>'AFI-F6'!H71</f>
        <v/>
      </c>
      <c r="P410" s="2" t="str">
        <f>'AFI-F6'!I71</f>
        <v/>
      </c>
      <c r="Q410" s="2" t="str">
        <f>'AFI-F6'!J71</f>
        <v/>
      </c>
      <c r="R410" s="2" t="str">
        <f>'AFI-F6'!K71</f>
        <v/>
      </c>
      <c r="S410" s="2" t="str">
        <f>'AFI-F6'!L71</f>
        <v/>
      </c>
      <c r="T410" s="2" t="str">
        <f>'AFI-F6'!M71</f>
        <v/>
      </c>
      <c r="U410" s="2" t="str">
        <f>'AFI-F6'!N71</f>
        <v/>
      </c>
      <c r="V410" s="2" t="str">
        <f>'AFI-F6'!O71</f>
        <v/>
      </c>
      <c r="W410" s="2" t="str">
        <f>'AFI-F6'!P71</f>
        <v/>
      </c>
      <c r="X410" s="5">
        <f>'AFI-F6'!Q71</f>
        <v>0</v>
      </c>
      <c r="Y410" s="1"/>
      <c r="Z410" s="1"/>
      <c r="AA410" s="1"/>
    </row>
    <row r="411">
      <c r="A411" s="1"/>
      <c r="B411" s="14">
        <f t="shared" si="10"/>
        <v>68</v>
      </c>
      <c r="C411" s="22" t="str">
        <f t="shared" si="1"/>
        <v>diciembre</v>
      </c>
      <c r="D411" s="22">
        <f t="shared" si="2"/>
        <v>52</v>
      </c>
      <c r="E411" s="23" t="str">
        <f t="shared" si="3"/>
        <v>sábado</v>
      </c>
      <c r="F411" s="22">
        <f t="shared" si="4"/>
        <v>30</v>
      </c>
      <c r="G411" s="22" t="s">
        <v>23</v>
      </c>
      <c r="H411" s="3" t="str">
        <f>'AFI-F6'!$G$3</f>
        <v>CYC </v>
      </c>
      <c r="I411" s="24" t="str">
        <f>'AFI-F6'!B72</f>
        <v/>
      </c>
      <c r="J411" s="2" t="str">
        <f>'AFI-F6'!C72</f>
        <v/>
      </c>
      <c r="K411" s="2" t="str">
        <f>'AFI-F6'!D72</f>
        <v/>
      </c>
      <c r="L411" s="2" t="str">
        <f>'AFI-F6'!E72</f>
        <v/>
      </c>
      <c r="M411" s="2" t="str">
        <f>'AFI-F6'!F72</f>
        <v/>
      </c>
      <c r="N411" s="2" t="str">
        <f>'AFI-F6'!G72</f>
        <v/>
      </c>
      <c r="O411" s="2" t="str">
        <f>'AFI-F6'!H72</f>
        <v/>
      </c>
      <c r="P411" s="2" t="str">
        <f>'AFI-F6'!I72</f>
        <v/>
      </c>
      <c r="Q411" s="2" t="str">
        <f>'AFI-F6'!J72</f>
        <v/>
      </c>
      <c r="R411" s="2" t="str">
        <f>'AFI-F6'!K72</f>
        <v/>
      </c>
      <c r="S411" s="2" t="str">
        <f>'AFI-F6'!L72</f>
        <v/>
      </c>
      <c r="T411" s="2" t="str">
        <f>'AFI-F6'!M72</f>
        <v/>
      </c>
      <c r="U411" s="2" t="str">
        <f>'AFI-F6'!N72</f>
        <v/>
      </c>
      <c r="V411" s="2" t="str">
        <f>'AFI-F6'!O72</f>
        <v/>
      </c>
      <c r="W411" s="2" t="str">
        <f>'AFI-F6'!P72</f>
        <v/>
      </c>
      <c r="X411" s="5">
        <f>'AFI-F6'!Q72</f>
        <v>0</v>
      </c>
      <c r="Y411" s="1"/>
      <c r="Z411" s="1"/>
      <c r="AA411" s="1"/>
    </row>
    <row r="412">
      <c r="A412" s="1"/>
      <c r="B412" s="14">
        <v>1.0</v>
      </c>
      <c r="C412" s="15" t="str">
        <f t="shared" si="1"/>
        <v>enero</v>
      </c>
      <c r="D412" s="15">
        <f t="shared" si="2"/>
        <v>2</v>
      </c>
      <c r="E412" s="16" t="str">
        <f t="shared" si="3"/>
        <v>jueves</v>
      </c>
      <c r="F412" s="15">
        <f t="shared" si="4"/>
        <v>8</v>
      </c>
      <c r="G412" s="15" t="s">
        <v>24</v>
      </c>
      <c r="H412" s="3" t="str">
        <f>ONLINE!$G$3</f>
        <v>online</v>
      </c>
      <c r="I412" s="24">
        <f>ONLINE!B5</f>
        <v>46030</v>
      </c>
      <c r="J412" s="2">
        <f>ONLINE!C5</f>
        <v>72323085</v>
      </c>
      <c r="K412" s="2" t="str">
        <f>ONLINE!D5</f>
        <v>Miguel Angel Minaya Gonzalez</v>
      </c>
      <c r="L412" s="2" t="str">
        <f>ONLINE!E5</f>
        <v>mi.minaya.go@hotmail.com</v>
      </c>
      <c r="M412" s="2" t="str">
        <f>ONLINE!F5</f>
        <v/>
      </c>
      <c r="N412" s="2" t="str">
        <f>ONLINE!G5</f>
        <v/>
      </c>
      <c r="O412" s="2" t="str">
        <f>ONLINE!H5</f>
        <v>x</v>
      </c>
      <c r="P412" s="2" t="str">
        <f>ONLINE!I5</f>
        <v/>
      </c>
      <c r="Q412" s="2">
        <f>ONLINE!J5</f>
        <v>150</v>
      </c>
      <c r="R412" s="2" t="str">
        <f>ONLINE!K5</f>
        <v/>
      </c>
      <c r="S412" s="2" t="str">
        <f>ONLINE!L5</f>
        <v>PAGO</v>
      </c>
      <c r="T412" s="2" t="str">
        <f>ONLINE!M5</f>
        <v>YAPE JL</v>
      </c>
      <c r="U412" s="2">
        <f>ONLINE!N5</f>
        <v>150</v>
      </c>
      <c r="V412" s="2" t="str">
        <f>ONLINE!O5</f>
        <v/>
      </c>
      <c r="W412" s="2" t="str">
        <f>ONLINE!P5</f>
        <v>Katherine</v>
      </c>
      <c r="X412" s="34">
        <f>ONLINE!Q5</f>
        <v>150</v>
      </c>
      <c r="Y412" s="1"/>
      <c r="Z412" s="1"/>
      <c r="AA412" s="1"/>
    </row>
    <row r="413">
      <c r="A413" s="1"/>
      <c r="B413" s="14">
        <f t="shared" ref="B413:B611" si="11">B412+1</f>
        <v>2</v>
      </c>
      <c r="C413" s="15" t="str">
        <f t="shared" si="1"/>
        <v>enero</v>
      </c>
      <c r="D413" s="15">
        <f t="shared" si="2"/>
        <v>3</v>
      </c>
      <c r="E413" s="16" t="str">
        <f t="shared" si="3"/>
        <v>miércoles</v>
      </c>
      <c r="F413" s="15">
        <f t="shared" si="4"/>
        <v>14</v>
      </c>
      <c r="G413" s="15" t="s">
        <v>24</v>
      </c>
      <c r="H413" s="3" t="str">
        <f>ONLINE!$G$3</f>
        <v>online</v>
      </c>
      <c r="I413" s="24">
        <f>ONLINE!B6</f>
        <v>46036</v>
      </c>
      <c r="J413" s="2">
        <f>ONLINE!C6</f>
        <v>71825325</v>
      </c>
      <c r="K413" s="2" t="str">
        <f>ONLINE!D6</f>
        <v>Edinson grower lostaunau padilla</v>
      </c>
      <c r="L413" s="2" t="str">
        <f>ONLINE!E6</f>
        <v>Mikelacayetana23@gmail.com</v>
      </c>
      <c r="M413" s="2" t="str">
        <f>ONLINE!F6</f>
        <v>LIMA</v>
      </c>
      <c r="N413" s="2" t="str">
        <f>ONLINE!G6</f>
        <v>983 486 695</v>
      </c>
      <c r="O413" s="5" t="str">
        <f>ONLINE!H6</f>
        <v>X</v>
      </c>
      <c r="P413" s="5" t="str">
        <f>ONLINE!I6</f>
        <v/>
      </c>
      <c r="Q413" s="5">
        <f>ONLINE!J6</f>
        <v>150</v>
      </c>
      <c r="R413" s="2" t="str">
        <f>ONLINE!K6</f>
        <v/>
      </c>
      <c r="S413" s="2" t="str">
        <f>ONLINE!L6</f>
        <v>PAGO</v>
      </c>
      <c r="T413" s="2" t="str">
        <f>ONLINE!M6</f>
        <v>YAPE JL</v>
      </c>
      <c r="U413" s="34">
        <f>ONLINE!N6</f>
        <v>150</v>
      </c>
      <c r="V413" s="34" t="str">
        <f>ONLINE!O6</f>
        <v/>
      </c>
      <c r="W413" s="2" t="str">
        <f>ONLINE!P6</f>
        <v>Greici</v>
      </c>
      <c r="X413" s="34">
        <f>ONLINE!Q6</f>
        <v>150</v>
      </c>
      <c r="Y413" s="1"/>
      <c r="Z413" s="1"/>
      <c r="AA413" s="1"/>
    </row>
    <row r="414">
      <c r="A414" s="1"/>
      <c r="B414" s="14">
        <f t="shared" si="11"/>
        <v>3</v>
      </c>
      <c r="C414" s="15" t="str">
        <f t="shared" si="1"/>
        <v>enero</v>
      </c>
      <c r="D414" s="15">
        <f t="shared" si="2"/>
        <v>3</v>
      </c>
      <c r="E414" s="16" t="str">
        <f t="shared" si="3"/>
        <v>viernes</v>
      </c>
      <c r="F414" s="15">
        <f t="shared" si="4"/>
        <v>16</v>
      </c>
      <c r="G414" s="15" t="s">
        <v>24</v>
      </c>
      <c r="H414" s="3" t="str">
        <f>ONLINE!$G$3</f>
        <v>online</v>
      </c>
      <c r="I414" s="24">
        <f>ONLINE!B7</f>
        <v>46038</v>
      </c>
      <c r="J414" s="2">
        <f>ONLINE!C7</f>
        <v>47901451</v>
      </c>
      <c r="K414" s="2" t="str">
        <f>ONLINE!D7</f>
        <v>Mauro ore</v>
      </c>
      <c r="L414" s="2" t="str">
        <f>ONLINE!E7</f>
        <v>Fernando_ore92@hotmail.com</v>
      </c>
      <c r="M414" s="2" t="str">
        <f>ONLINE!F7</f>
        <v>SJL</v>
      </c>
      <c r="N414" s="2" t="str">
        <f>ONLINE!G7</f>
        <v/>
      </c>
      <c r="O414" s="5" t="str">
        <f>ONLINE!H7</f>
        <v>x</v>
      </c>
      <c r="P414" s="5" t="str">
        <f>ONLINE!I7</f>
        <v/>
      </c>
      <c r="Q414" s="5">
        <f>ONLINE!J7</f>
        <v>150</v>
      </c>
      <c r="R414" s="2" t="str">
        <f>ONLINE!K7</f>
        <v/>
      </c>
      <c r="S414" s="2" t="str">
        <f>ONLINE!L7</f>
        <v>PAGO</v>
      </c>
      <c r="T414" s="2" t="str">
        <f>ONLINE!M7</f>
        <v>BCP JL</v>
      </c>
      <c r="U414" s="34">
        <f>ONLINE!N7</f>
        <v>150</v>
      </c>
      <c r="V414" s="34" t="str">
        <f>ONLINE!O7</f>
        <v/>
      </c>
      <c r="W414" s="2" t="str">
        <f>ONLINE!P7</f>
        <v>Gabriela</v>
      </c>
      <c r="X414" s="34">
        <f>ONLINE!Q7</f>
        <v>150</v>
      </c>
      <c r="Y414" s="1"/>
      <c r="Z414" s="1"/>
      <c r="AA414" s="1"/>
    </row>
    <row r="415">
      <c r="A415" s="1"/>
      <c r="B415" s="14">
        <f t="shared" si="11"/>
        <v>4</v>
      </c>
      <c r="C415" s="15" t="str">
        <f t="shared" si="1"/>
        <v>enero</v>
      </c>
      <c r="D415" s="15">
        <f t="shared" si="2"/>
        <v>3</v>
      </c>
      <c r="E415" s="16" t="str">
        <f t="shared" si="3"/>
        <v>viernes</v>
      </c>
      <c r="F415" s="15">
        <f t="shared" si="4"/>
        <v>16</v>
      </c>
      <c r="G415" s="15" t="s">
        <v>24</v>
      </c>
      <c r="H415" s="3" t="str">
        <f>ONLINE!$G$3</f>
        <v>online</v>
      </c>
      <c r="I415" s="24">
        <f>ONLINE!B8</f>
        <v>46038</v>
      </c>
      <c r="J415" s="2">
        <f>ONLINE!C8</f>
        <v>42371088</v>
      </c>
      <c r="K415" s="2" t="str">
        <f>ONLINE!D8</f>
        <v>Jherardina Ore Rengifo</v>
      </c>
      <c r="L415" s="2" t="str">
        <f>ONLINE!E8</f>
        <v>jhera84.jor@gmail.com</v>
      </c>
      <c r="M415" s="2" t="str">
        <f>ONLINE!F8</f>
        <v/>
      </c>
      <c r="N415" s="2" t="str">
        <f>ONLINE!G8</f>
        <v/>
      </c>
      <c r="O415" s="5" t="str">
        <f>ONLINE!H8</f>
        <v>x</v>
      </c>
      <c r="P415" s="5" t="str">
        <f>ONLINE!I8</f>
        <v/>
      </c>
      <c r="Q415" s="5">
        <f>ONLINE!J8</f>
        <v>50</v>
      </c>
      <c r="R415" s="2" t="str">
        <f>ONLINE!K8</f>
        <v/>
      </c>
      <c r="S415" s="2" t="str">
        <f>ONLINE!L8</f>
        <v>PAGO</v>
      </c>
      <c r="T415" s="2" t="str">
        <f>ONLINE!M8</f>
        <v>YAPE JL</v>
      </c>
      <c r="U415" s="34">
        <f>ONLINE!N8</f>
        <v>50</v>
      </c>
      <c r="V415" s="34" t="str">
        <f>ONLINE!O8</f>
        <v/>
      </c>
      <c r="W415" s="2" t="str">
        <f>ONLINE!P8</f>
        <v>Katherine</v>
      </c>
      <c r="X415" s="34">
        <f>ONLINE!Q8</f>
        <v>50</v>
      </c>
      <c r="Y415" s="1"/>
      <c r="Z415" s="1"/>
      <c r="AA415" s="1"/>
    </row>
    <row r="416">
      <c r="A416" s="1"/>
      <c r="B416" s="14">
        <f t="shared" si="11"/>
        <v>5</v>
      </c>
      <c r="C416" s="15" t="str">
        <f t="shared" si="1"/>
        <v>enero</v>
      </c>
      <c r="D416" s="15">
        <f t="shared" si="2"/>
        <v>3</v>
      </c>
      <c r="E416" s="16" t="str">
        <f t="shared" si="3"/>
        <v>viernes</v>
      </c>
      <c r="F416" s="15">
        <f t="shared" si="4"/>
        <v>16</v>
      </c>
      <c r="G416" s="15" t="s">
        <v>24</v>
      </c>
      <c r="H416" s="3" t="str">
        <f>ONLINE!$G$3</f>
        <v>online</v>
      </c>
      <c r="I416" s="24">
        <f>ONLINE!B9</f>
        <v>46038</v>
      </c>
      <c r="J416" s="2">
        <f>ONLINE!C9</f>
        <v>42567710</v>
      </c>
      <c r="K416" s="2" t="str">
        <f>ONLINE!D9</f>
        <v>Juvenal Zamalloa Aguirre</v>
      </c>
      <c r="L416" s="2" t="str">
        <f>ONLINE!E9</f>
        <v>juvicha.z@gmail.com</v>
      </c>
      <c r="M416" s="2" t="str">
        <f>ONLINE!F9</f>
        <v/>
      </c>
      <c r="N416" s="2" t="str">
        <f>ONLINE!G9</f>
        <v/>
      </c>
      <c r="O416" s="5" t="str">
        <f>ONLINE!H9</f>
        <v>x</v>
      </c>
      <c r="P416" s="5" t="str">
        <f>ONLINE!I9</f>
        <v/>
      </c>
      <c r="Q416" s="5">
        <f>ONLINE!J9</f>
        <v>150</v>
      </c>
      <c r="R416" s="2" t="str">
        <f>ONLINE!K9</f>
        <v/>
      </c>
      <c r="S416" s="2" t="str">
        <f>ONLINE!L9</f>
        <v>PAGO</v>
      </c>
      <c r="T416" s="2" t="str">
        <f>ONLINE!M9</f>
        <v>YAPE JL</v>
      </c>
      <c r="U416" s="34">
        <f>ONLINE!N9</f>
        <v>150</v>
      </c>
      <c r="V416" s="34" t="str">
        <f>ONLINE!O9</f>
        <v/>
      </c>
      <c r="W416" s="2" t="str">
        <f>ONLINE!P9</f>
        <v>Katherine</v>
      </c>
      <c r="X416" s="34">
        <f>ONLINE!Q9</f>
        <v>150</v>
      </c>
      <c r="Y416" s="1"/>
      <c r="Z416" s="1"/>
      <c r="AA416" s="1"/>
    </row>
    <row r="417">
      <c r="A417" s="1"/>
      <c r="B417" s="14">
        <f t="shared" si="11"/>
        <v>6</v>
      </c>
      <c r="C417" s="15" t="str">
        <f t="shared" si="1"/>
        <v>enero</v>
      </c>
      <c r="D417" s="15">
        <f t="shared" si="2"/>
        <v>4</v>
      </c>
      <c r="E417" s="16" t="str">
        <f t="shared" si="3"/>
        <v>miércoles</v>
      </c>
      <c r="F417" s="15">
        <f t="shared" si="4"/>
        <v>21</v>
      </c>
      <c r="G417" s="15" t="s">
        <v>24</v>
      </c>
      <c r="H417" s="3" t="str">
        <f>ONLINE!$G$3</f>
        <v>online</v>
      </c>
      <c r="I417" s="24">
        <f>ONLINE!B10</f>
        <v>46043</v>
      </c>
      <c r="J417" s="2">
        <f>ONLINE!C10</f>
        <v>44931185</v>
      </c>
      <c r="K417" s="2" t="str">
        <f>ONLINE!D10</f>
        <v>Joel flores jacinto</v>
      </c>
      <c r="L417" s="2" t="str">
        <f>ONLINE!E10</f>
        <v>Joe1430156@gmail.com</v>
      </c>
      <c r="M417" s="2" t="str">
        <f>ONLINE!F10</f>
        <v>Huanuco </v>
      </c>
      <c r="N417" s="2" t="str">
        <f>ONLINE!G10</f>
        <v/>
      </c>
      <c r="O417" s="5" t="str">
        <f>ONLINE!H10</f>
        <v>x</v>
      </c>
      <c r="P417" s="5" t="str">
        <f>ONLINE!I10</f>
        <v/>
      </c>
      <c r="Q417" s="5">
        <f>ONLINE!J10</f>
        <v>150</v>
      </c>
      <c r="R417" s="2" t="str">
        <f>ONLINE!K10</f>
        <v/>
      </c>
      <c r="S417" s="2" t="str">
        <f>ONLINE!L10</f>
        <v>PAGO</v>
      </c>
      <c r="T417" s="2" t="str">
        <f>ONLINE!M10</f>
        <v>BCP JL</v>
      </c>
      <c r="U417" s="34">
        <f>ONLINE!N10</f>
        <v>150</v>
      </c>
      <c r="V417" s="34" t="str">
        <f>ONLINE!O10</f>
        <v/>
      </c>
      <c r="W417" s="2" t="str">
        <f>ONLINE!P10</f>
        <v>Gabriela</v>
      </c>
      <c r="X417" s="34">
        <f>ONLINE!Q10</f>
        <v>150</v>
      </c>
      <c r="Y417" s="1"/>
      <c r="Z417" s="1"/>
      <c r="AA417" s="1"/>
    </row>
    <row r="418">
      <c r="A418" s="1"/>
      <c r="B418" s="14">
        <f t="shared" si="11"/>
        <v>7</v>
      </c>
      <c r="C418" s="15" t="str">
        <f t="shared" si="1"/>
        <v>enero</v>
      </c>
      <c r="D418" s="15">
        <f t="shared" si="2"/>
        <v>5</v>
      </c>
      <c r="E418" s="16" t="str">
        <f t="shared" si="3"/>
        <v>miércoles</v>
      </c>
      <c r="F418" s="15">
        <f t="shared" si="4"/>
        <v>28</v>
      </c>
      <c r="G418" s="15" t="s">
        <v>24</v>
      </c>
      <c r="H418" s="3" t="str">
        <f>ONLINE!$G$3</f>
        <v>online</v>
      </c>
      <c r="I418" s="24">
        <f>ONLINE!B11</f>
        <v>46050</v>
      </c>
      <c r="J418" s="2">
        <f>ONLINE!C11</f>
        <v>70678890</v>
      </c>
      <c r="K418" s="2" t="str">
        <f>ONLINE!D11</f>
        <v>Ricardo franco davila nuñez</v>
      </c>
      <c r="L418" s="2" t="str">
        <f>ONLINE!E11</f>
        <v>ricardodavilanu07@gmail.com</v>
      </c>
      <c r="M418" s="2" t="str">
        <f>ONLINE!F11</f>
        <v>CAMANÁ</v>
      </c>
      <c r="N418" s="2" t="str">
        <f>ONLINE!G11</f>
        <v>966 463 572</v>
      </c>
      <c r="O418" s="5" t="str">
        <f>ONLINE!H11</f>
        <v>X</v>
      </c>
      <c r="P418" s="5" t="str">
        <f>ONLINE!I11</f>
        <v/>
      </c>
      <c r="Q418" s="5">
        <f>ONLINE!J11</f>
        <v>70</v>
      </c>
      <c r="R418" s="2" t="str">
        <f>ONLINE!K11</f>
        <v/>
      </c>
      <c r="S418" s="2" t="str">
        <f>ONLINE!L11</f>
        <v>PAGO</v>
      </c>
      <c r="T418" s="2" t="str">
        <f>ONLINE!M11</f>
        <v>PLIN JL</v>
      </c>
      <c r="U418" s="34">
        <f>ONLINE!N11</f>
        <v>70</v>
      </c>
      <c r="V418" s="34" t="str">
        <f>ONLINE!O11</f>
        <v/>
      </c>
      <c r="W418" s="2" t="str">
        <f>ONLINE!P11</f>
        <v>Tania</v>
      </c>
      <c r="X418" s="34">
        <f>ONLINE!Q11</f>
        <v>70</v>
      </c>
      <c r="Y418" s="1"/>
      <c r="Z418" s="1"/>
      <c r="AA418" s="1"/>
    </row>
    <row r="419">
      <c r="A419" s="1"/>
      <c r="B419" s="14">
        <f t="shared" si="11"/>
        <v>8</v>
      </c>
      <c r="C419" s="15" t="str">
        <f t="shared" si="1"/>
        <v>enero</v>
      </c>
      <c r="D419" s="15">
        <f t="shared" si="2"/>
        <v>5</v>
      </c>
      <c r="E419" s="16" t="str">
        <f t="shared" si="3"/>
        <v>jueves</v>
      </c>
      <c r="F419" s="15">
        <f t="shared" si="4"/>
        <v>30</v>
      </c>
      <c r="G419" s="15" t="s">
        <v>24</v>
      </c>
      <c r="H419" s="3" t="str">
        <f>ONLINE!$G$3</f>
        <v>online</v>
      </c>
      <c r="I419" s="24">
        <f>ONLINE!B12</f>
        <v>45687</v>
      </c>
      <c r="J419" s="2">
        <f>ONLINE!C12</f>
        <v>20725023</v>
      </c>
      <c r="K419" s="2" t="str">
        <f>ONLINE!D12</f>
        <v>César Juan Cortijo Villalobos </v>
      </c>
      <c r="L419" s="2" t="str">
        <f>ONLINE!E12</f>
        <v/>
      </c>
      <c r="M419" s="2" t="str">
        <f>ONLINE!F12</f>
        <v>Junin </v>
      </c>
      <c r="N419" s="2" t="str">
        <f>ONLINE!G12</f>
        <v/>
      </c>
      <c r="O419" s="5" t="str">
        <f>ONLINE!H12</f>
        <v>x</v>
      </c>
      <c r="P419" s="5" t="str">
        <f>ONLINE!I12</f>
        <v/>
      </c>
      <c r="Q419" s="5">
        <f>ONLINE!J12</f>
        <v>150</v>
      </c>
      <c r="R419" s="2" t="str">
        <f>ONLINE!K12</f>
        <v/>
      </c>
      <c r="S419" s="2" t="str">
        <f>ONLINE!L12</f>
        <v>PAGO</v>
      </c>
      <c r="T419" s="2" t="str">
        <f>ONLINE!M12</f>
        <v>PLIN JL</v>
      </c>
      <c r="U419" s="34">
        <f>ONLINE!N12</f>
        <v>150</v>
      </c>
      <c r="V419" s="34" t="str">
        <f>ONLINE!O12</f>
        <v/>
      </c>
      <c r="W419" s="2" t="str">
        <f>ONLINE!P12</f>
        <v>Gabriela</v>
      </c>
      <c r="X419" s="34">
        <f>ONLINE!Q12</f>
        <v>150</v>
      </c>
      <c r="Y419" s="1"/>
      <c r="Z419" s="1"/>
      <c r="AA419" s="1"/>
    </row>
    <row r="420">
      <c r="A420" s="1"/>
      <c r="B420" s="14">
        <f t="shared" si="11"/>
        <v>9</v>
      </c>
      <c r="C420" s="15" t="str">
        <f t="shared" si="1"/>
        <v>enero</v>
      </c>
      <c r="D420" s="15">
        <f t="shared" si="2"/>
        <v>5</v>
      </c>
      <c r="E420" s="16" t="str">
        <f t="shared" si="3"/>
        <v>jueves</v>
      </c>
      <c r="F420" s="15">
        <f t="shared" si="4"/>
        <v>29</v>
      </c>
      <c r="G420" s="15" t="s">
        <v>24</v>
      </c>
      <c r="H420" s="3" t="str">
        <f>ONLINE!$G$3</f>
        <v>online</v>
      </c>
      <c r="I420" s="24">
        <f>ONLINE!B13</f>
        <v>46051</v>
      </c>
      <c r="J420" s="2">
        <f>ONLINE!C13</f>
        <v>9377789</v>
      </c>
      <c r="K420" s="2" t="str">
        <f>ONLINE!D13</f>
        <v>Benjamin Lau Chiong</v>
      </c>
      <c r="L420" s="2" t="str">
        <f>ONLINE!E13</f>
        <v>benjalau@yahoo.com</v>
      </c>
      <c r="M420" s="2" t="str">
        <f>ONLINE!F13</f>
        <v/>
      </c>
      <c r="N420" s="2" t="str">
        <f>ONLINE!G13</f>
        <v/>
      </c>
      <c r="O420" s="5" t="str">
        <f>ONLINE!H13</f>
        <v>X</v>
      </c>
      <c r="P420" s="5" t="str">
        <f>ONLINE!I13</f>
        <v/>
      </c>
      <c r="Q420" s="5">
        <f>ONLINE!J13</f>
        <v>150</v>
      </c>
      <c r="R420" s="2" t="str">
        <f>ONLINE!K13</f>
        <v/>
      </c>
      <c r="S420" s="2" t="str">
        <f>ONLINE!L13</f>
        <v>PAGO</v>
      </c>
      <c r="T420" s="2" t="str">
        <f>ONLINE!M13</f>
        <v/>
      </c>
      <c r="U420" s="34">
        <f>ONLINE!N13</f>
        <v>150</v>
      </c>
      <c r="V420" s="34" t="str">
        <f>ONLINE!O13</f>
        <v/>
      </c>
      <c r="W420" s="2" t="str">
        <f>ONLINE!P13</f>
        <v>Katherine</v>
      </c>
      <c r="X420" s="34">
        <f>ONLINE!Q13</f>
        <v>150</v>
      </c>
      <c r="Y420" s="1"/>
      <c r="Z420" s="1"/>
      <c r="AA420" s="1"/>
    </row>
    <row r="421">
      <c r="A421" s="1"/>
      <c r="B421" s="14">
        <f t="shared" si="11"/>
        <v>10</v>
      </c>
      <c r="C421" s="15" t="str">
        <f t="shared" si="1"/>
        <v>enero</v>
      </c>
      <c r="D421" s="15">
        <f t="shared" si="2"/>
        <v>5</v>
      </c>
      <c r="E421" s="16" t="str">
        <f t="shared" si="3"/>
        <v>sábado</v>
      </c>
      <c r="F421" s="15">
        <f t="shared" si="4"/>
        <v>31</v>
      </c>
      <c r="G421" s="15" t="s">
        <v>24</v>
      </c>
      <c r="H421" s="3" t="str">
        <f>ONLINE!$G$3</f>
        <v>online</v>
      </c>
      <c r="I421" s="31">
        <f>ONLINE!B14</f>
        <v>46053</v>
      </c>
      <c r="J421" s="2">
        <f>ONLINE!C14</f>
        <v>45287120</v>
      </c>
      <c r="K421" s="2" t="str">
        <f>ONLINE!D14</f>
        <v>Fredy Condori Hancco</v>
      </c>
      <c r="L421" s="2" t="str">
        <f>ONLINE!E14</f>
        <v>Fredycondorihancco62@gmail.com</v>
      </c>
      <c r="M421" s="2" t="str">
        <f>ONLINE!F14</f>
        <v/>
      </c>
      <c r="N421" s="2" t="str">
        <f>ONLINE!G14</f>
        <v/>
      </c>
      <c r="O421" s="5" t="str">
        <f>ONLINE!H14</f>
        <v>x</v>
      </c>
      <c r="P421" s="5" t="str">
        <f>ONLINE!I14</f>
        <v/>
      </c>
      <c r="Q421" s="5">
        <f>ONLINE!J14</f>
        <v>150</v>
      </c>
      <c r="R421" s="2" t="str">
        <f>ONLINE!K14</f>
        <v/>
      </c>
      <c r="S421" s="2" t="str">
        <f>ONLINE!L14</f>
        <v>PAGO</v>
      </c>
      <c r="T421" s="2" t="str">
        <f>ONLINE!M14</f>
        <v>PLIN JL</v>
      </c>
      <c r="U421" s="34">
        <f>ONLINE!N14</f>
        <v>150</v>
      </c>
      <c r="V421" s="34" t="str">
        <f>ONLINE!O14</f>
        <v/>
      </c>
      <c r="W421" s="2" t="str">
        <f>ONLINE!P14</f>
        <v>Gabriela</v>
      </c>
      <c r="X421" s="34">
        <f>ONLINE!Q14</f>
        <v>150</v>
      </c>
      <c r="Y421" s="1"/>
      <c r="Z421" s="1"/>
      <c r="AA421" s="1"/>
    </row>
    <row r="422">
      <c r="A422" s="1"/>
      <c r="B422" s="14">
        <f t="shared" si="11"/>
        <v>11</v>
      </c>
      <c r="C422" s="15" t="str">
        <f t="shared" si="1"/>
        <v>diciembre</v>
      </c>
      <c r="D422" s="15">
        <f t="shared" si="2"/>
        <v>52</v>
      </c>
      <c r="E422" s="16" t="str">
        <f t="shared" si="3"/>
        <v>sábado</v>
      </c>
      <c r="F422" s="15">
        <f t="shared" si="4"/>
        <v>30</v>
      </c>
      <c r="G422" s="15" t="s">
        <v>24</v>
      </c>
      <c r="H422" s="3" t="str">
        <f>ONLINE!$G$3</f>
        <v>online</v>
      </c>
      <c r="I422" s="24" t="str">
        <f>ONLINE!B15</f>
        <v/>
      </c>
      <c r="J422" s="2" t="str">
        <f>ONLINE!C15</f>
        <v/>
      </c>
      <c r="K422" s="2" t="str">
        <f>ONLINE!D15</f>
        <v/>
      </c>
      <c r="L422" s="2" t="str">
        <f>ONLINE!E15</f>
        <v/>
      </c>
      <c r="M422" s="2" t="str">
        <f>ONLINE!F15</f>
        <v/>
      </c>
      <c r="N422" s="2" t="str">
        <f>ONLINE!G15</f>
        <v/>
      </c>
      <c r="O422" s="5" t="str">
        <f>ONLINE!H15</f>
        <v/>
      </c>
      <c r="P422" s="5" t="str">
        <f>ONLINE!I15</f>
        <v/>
      </c>
      <c r="Q422" s="5" t="str">
        <f>ONLINE!J15</f>
        <v/>
      </c>
      <c r="R422" s="2" t="str">
        <f>ONLINE!K15</f>
        <v/>
      </c>
      <c r="S422" s="2" t="str">
        <f>ONLINE!L15</f>
        <v/>
      </c>
      <c r="T422" s="2" t="str">
        <f>ONLINE!M15</f>
        <v/>
      </c>
      <c r="U422" s="34" t="str">
        <f>ONLINE!N15</f>
        <v/>
      </c>
      <c r="V422" s="34" t="str">
        <f>ONLINE!O15</f>
        <v/>
      </c>
      <c r="W422" s="2" t="str">
        <f>ONLINE!P15</f>
        <v/>
      </c>
      <c r="X422" s="34">
        <f>ONLINE!Q15</f>
        <v>0</v>
      </c>
      <c r="Y422" s="1"/>
      <c r="Z422" s="1"/>
      <c r="AA422" s="1"/>
    </row>
    <row r="423">
      <c r="A423" s="1"/>
      <c r="B423" s="14">
        <f t="shared" si="11"/>
        <v>12</v>
      </c>
      <c r="C423" s="15" t="str">
        <f t="shared" si="1"/>
        <v>diciembre</v>
      </c>
      <c r="D423" s="15">
        <f t="shared" si="2"/>
        <v>52</v>
      </c>
      <c r="E423" s="16" t="str">
        <f t="shared" si="3"/>
        <v>sábado</v>
      </c>
      <c r="F423" s="15">
        <f t="shared" si="4"/>
        <v>30</v>
      </c>
      <c r="G423" s="15" t="s">
        <v>24</v>
      </c>
      <c r="H423" s="3" t="str">
        <f>ONLINE!$G$3</f>
        <v>online</v>
      </c>
      <c r="I423" s="24" t="str">
        <f>ONLINE!B16</f>
        <v/>
      </c>
      <c r="J423" s="2" t="str">
        <f>ONLINE!C16</f>
        <v/>
      </c>
      <c r="K423" s="2" t="str">
        <f>ONLINE!D16</f>
        <v/>
      </c>
      <c r="L423" s="2" t="str">
        <f>ONLINE!E16</f>
        <v/>
      </c>
      <c r="M423" s="2" t="str">
        <f>ONLINE!F16</f>
        <v/>
      </c>
      <c r="N423" s="2" t="str">
        <f>ONLINE!G16</f>
        <v/>
      </c>
      <c r="O423" s="5" t="str">
        <f>ONLINE!H16</f>
        <v/>
      </c>
      <c r="P423" s="5" t="str">
        <f>ONLINE!I16</f>
        <v/>
      </c>
      <c r="Q423" s="5" t="str">
        <f>ONLINE!J16</f>
        <v/>
      </c>
      <c r="R423" s="2" t="str">
        <f>ONLINE!K16</f>
        <v/>
      </c>
      <c r="S423" s="2" t="str">
        <f>ONLINE!L16</f>
        <v/>
      </c>
      <c r="T423" s="2" t="str">
        <f>ONLINE!M16</f>
        <v/>
      </c>
      <c r="U423" s="34" t="str">
        <f>ONLINE!N16</f>
        <v/>
      </c>
      <c r="V423" s="34" t="str">
        <f>ONLINE!O16</f>
        <v/>
      </c>
      <c r="W423" s="2" t="str">
        <f>ONLINE!P16</f>
        <v/>
      </c>
      <c r="X423" s="34">
        <f>ONLINE!Q16</f>
        <v>0</v>
      </c>
      <c r="Y423" s="1"/>
      <c r="Z423" s="1"/>
      <c r="AA423" s="1"/>
    </row>
    <row r="424">
      <c r="A424" s="1"/>
      <c r="B424" s="14">
        <f t="shared" si="11"/>
        <v>13</v>
      </c>
      <c r="C424" s="15" t="str">
        <f t="shared" si="1"/>
        <v>diciembre</v>
      </c>
      <c r="D424" s="15">
        <f t="shared" si="2"/>
        <v>52</v>
      </c>
      <c r="E424" s="16" t="str">
        <f t="shared" si="3"/>
        <v>sábado</v>
      </c>
      <c r="F424" s="15">
        <f t="shared" si="4"/>
        <v>30</v>
      </c>
      <c r="G424" s="15" t="s">
        <v>24</v>
      </c>
      <c r="H424" s="3" t="str">
        <f>ONLINE!$G$3</f>
        <v>online</v>
      </c>
      <c r="I424" s="24" t="str">
        <f>ONLINE!B17</f>
        <v/>
      </c>
      <c r="J424" s="2" t="str">
        <f>ONLINE!C17</f>
        <v/>
      </c>
      <c r="K424" s="2" t="str">
        <f>ONLINE!D17</f>
        <v/>
      </c>
      <c r="L424" s="2" t="str">
        <f>ONLINE!E17</f>
        <v/>
      </c>
      <c r="M424" s="2" t="str">
        <f>ONLINE!F17</f>
        <v/>
      </c>
      <c r="N424" s="2" t="str">
        <f>ONLINE!G17</f>
        <v/>
      </c>
      <c r="O424" s="5" t="str">
        <f>ONLINE!H17</f>
        <v/>
      </c>
      <c r="P424" s="5" t="str">
        <f>ONLINE!I17</f>
        <v/>
      </c>
      <c r="Q424" s="5" t="str">
        <f>ONLINE!J17</f>
        <v/>
      </c>
      <c r="R424" s="2" t="str">
        <f>ONLINE!K17</f>
        <v/>
      </c>
      <c r="S424" s="2" t="str">
        <f>ONLINE!L17</f>
        <v/>
      </c>
      <c r="T424" s="2" t="str">
        <f>ONLINE!M17</f>
        <v/>
      </c>
      <c r="U424" s="34" t="str">
        <f>ONLINE!N17</f>
        <v/>
      </c>
      <c r="V424" s="34" t="str">
        <f>ONLINE!O17</f>
        <v/>
      </c>
      <c r="W424" s="2" t="str">
        <f>ONLINE!P17</f>
        <v/>
      </c>
      <c r="X424" s="34">
        <f>ONLINE!Q17</f>
        <v>0</v>
      </c>
      <c r="Y424" s="1"/>
      <c r="Z424" s="1"/>
      <c r="AA424" s="1"/>
    </row>
    <row r="425">
      <c r="A425" s="1"/>
      <c r="B425" s="14">
        <f t="shared" si="11"/>
        <v>14</v>
      </c>
      <c r="C425" s="15" t="str">
        <f t="shared" si="1"/>
        <v>diciembre</v>
      </c>
      <c r="D425" s="15">
        <f t="shared" si="2"/>
        <v>52</v>
      </c>
      <c r="E425" s="16" t="str">
        <f t="shared" si="3"/>
        <v>sábado</v>
      </c>
      <c r="F425" s="15">
        <f t="shared" si="4"/>
        <v>30</v>
      </c>
      <c r="G425" s="15" t="s">
        <v>24</v>
      </c>
      <c r="H425" s="3" t="str">
        <f>ONLINE!$G$3</f>
        <v>online</v>
      </c>
      <c r="I425" s="24" t="str">
        <f>ONLINE!B18</f>
        <v/>
      </c>
      <c r="J425" s="2" t="str">
        <f>ONLINE!C18</f>
        <v/>
      </c>
      <c r="K425" s="2" t="str">
        <f>ONLINE!D18</f>
        <v/>
      </c>
      <c r="L425" s="2" t="str">
        <f>ONLINE!E18</f>
        <v/>
      </c>
      <c r="M425" s="2" t="str">
        <f>ONLINE!F18</f>
        <v/>
      </c>
      <c r="N425" s="2" t="str">
        <f>ONLINE!G18</f>
        <v/>
      </c>
      <c r="O425" s="5" t="str">
        <f>ONLINE!H18</f>
        <v/>
      </c>
      <c r="P425" s="5" t="str">
        <f>ONLINE!I18</f>
        <v/>
      </c>
      <c r="Q425" s="5" t="str">
        <f>ONLINE!J18</f>
        <v/>
      </c>
      <c r="R425" s="2" t="str">
        <f>ONLINE!K18</f>
        <v/>
      </c>
      <c r="S425" s="2" t="str">
        <f>ONLINE!L18</f>
        <v/>
      </c>
      <c r="T425" s="2" t="str">
        <f>ONLINE!M18</f>
        <v/>
      </c>
      <c r="U425" s="34" t="str">
        <f>ONLINE!N18</f>
        <v/>
      </c>
      <c r="V425" s="34" t="str">
        <f>ONLINE!O18</f>
        <v/>
      </c>
      <c r="W425" s="2" t="str">
        <f>ONLINE!P18</f>
        <v/>
      </c>
      <c r="X425" s="34">
        <f>ONLINE!Q18</f>
        <v>0</v>
      </c>
      <c r="Y425" s="1"/>
      <c r="Z425" s="1"/>
      <c r="AA425" s="1"/>
    </row>
    <row r="426">
      <c r="A426" s="1"/>
      <c r="B426" s="14">
        <f t="shared" si="11"/>
        <v>15</v>
      </c>
      <c r="C426" s="15" t="str">
        <f t="shared" si="1"/>
        <v>diciembre</v>
      </c>
      <c r="D426" s="15">
        <f t="shared" si="2"/>
        <v>52</v>
      </c>
      <c r="E426" s="16" t="str">
        <f t="shared" si="3"/>
        <v>sábado</v>
      </c>
      <c r="F426" s="15">
        <f t="shared" si="4"/>
        <v>30</v>
      </c>
      <c r="G426" s="15" t="s">
        <v>24</v>
      </c>
      <c r="H426" s="3" t="str">
        <f>ONLINE!$G$3</f>
        <v>online</v>
      </c>
      <c r="I426" s="24" t="str">
        <f>ONLINE!B19</f>
        <v/>
      </c>
      <c r="J426" s="2" t="str">
        <f>ONLINE!C19</f>
        <v/>
      </c>
      <c r="K426" s="2" t="str">
        <f>ONLINE!D19</f>
        <v/>
      </c>
      <c r="L426" s="2" t="str">
        <f>ONLINE!E19</f>
        <v/>
      </c>
      <c r="M426" s="2" t="str">
        <f>ONLINE!F19</f>
        <v/>
      </c>
      <c r="N426" s="2" t="str">
        <f>ONLINE!G19</f>
        <v/>
      </c>
      <c r="O426" s="5" t="str">
        <f>ONLINE!H19</f>
        <v/>
      </c>
      <c r="P426" s="5" t="str">
        <f>ONLINE!I19</f>
        <v/>
      </c>
      <c r="Q426" s="5" t="str">
        <f>ONLINE!J19</f>
        <v/>
      </c>
      <c r="R426" s="2" t="str">
        <f>ONLINE!K19</f>
        <v/>
      </c>
      <c r="S426" s="2" t="str">
        <f>ONLINE!L19</f>
        <v/>
      </c>
      <c r="T426" s="2" t="str">
        <f>ONLINE!M19</f>
        <v/>
      </c>
      <c r="U426" s="34" t="str">
        <f>ONLINE!N19</f>
        <v/>
      </c>
      <c r="V426" s="34" t="str">
        <f>ONLINE!O19</f>
        <v/>
      </c>
      <c r="W426" s="2" t="str">
        <f>ONLINE!P19</f>
        <v/>
      </c>
      <c r="X426" s="34">
        <f>ONLINE!Q19</f>
        <v>0</v>
      </c>
      <c r="Y426" s="1"/>
      <c r="Z426" s="1"/>
      <c r="AA426" s="1"/>
    </row>
    <row r="427">
      <c r="A427" s="1"/>
      <c r="B427" s="14">
        <f t="shared" si="11"/>
        <v>16</v>
      </c>
      <c r="C427" s="15" t="str">
        <f t="shared" si="1"/>
        <v>diciembre</v>
      </c>
      <c r="D427" s="15">
        <f t="shared" si="2"/>
        <v>52</v>
      </c>
      <c r="E427" s="16" t="str">
        <f t="shared" si="3"/>
        <v>sábado</v>
      </c>
      <c r="F427" s="15">
        <f t="shared" si="4"/>
        <v>30</v>
      </c>
      <c r="G427" s="15" t="s">
        <v>24</v>
      </c>
      <c r="H427" s="3" t="str">
        <f>ONLINE!$G$3</f>
        <v>online</v>
      </c>
      <c r="I427" s="24" t="str">
        <f>ONLINE!B20</f>
        <v/>
      </c>
      <c r="J427" s="2" t="str">
        <f>ONLINE!C20</f>
        <v/>
      </c>
      <c r="K427" s="2" t="str">
        <f>ONLINE!D20</f>
        <v/>
      </c>
      <c r="L427" s="2" t="str">
        <f>ONLINE!E20</f>
        <v/>
      </c>
      <c r="M427" s="2" t="str">
        <f>ONLINE!F20</f>
        <v/>
      </c>
      <c r="N427" s="2" t="str">
        <f>ONLINE!G20</f>
        <v/>
      </c>
      <c r="O427" s="5" t="str">
        <f>ONLINE!H20</f>
        <v/>
      </c>
      <c r="P427" s="5" t="str">
        <f>ONLINE!I20</f>
        <v/>
      </c>
      <c r="Q427" s="5" t="str">
        <f>ONLINE!J20</f>
        <v/>
      </c>
      <c r="R427" s="2" t="str">
        <f>ONLINE!K20</f>
        <v/>
      </c>
      <c r="S427" s="2" t="str">
        <f>ONLINE!L20</f>
        <v/>
      </c>
      <c r="T427" s="2" t="str">
        <f>ONLINE!M20</f>
        <v/>
      </c>
      <c r="U427" s="34" t="str">
        <f>ONLINE!N20</f>
        <v/>
      </c>
      <c r="V427" s="34" t="str">
        <f>ONLINE!O20</f>
        <v/>
      </c>
      <c r="W427" s="2" t="str">
        <f>ONLINE!P20</f>
        <v/>
      </c>
      <c r="X427" s="34">
        <f>ONLINE!Q20</f>
        <v>0</v>
      </c>
      <c r="Y427" s="1"/>
      <c r="Z427" s="1"/>
      <c r="AA427" s="1"/>
    </row>
    <row r="428">
      <c r="A428" s="1"/>
      <c r="B428" s="14">
        <f t="shared" si="11"/>
        <v>17</v>
      </c>
      <c r="C428" s="15" t="str">
        <f t="shared" si="1"/>
        <v>diciembre</v>
      </c>
      <c r="D428" s="15">
        <f t="shared" si="2"/>
        <v>52</v>
      </c>
      <c r="E428" s="16" t="str">
        <f t="shared" si="3"/>
        <v>sábado</v>
      </c>
      <c r="F428" s="15">
        <f t="shared" si="4"/>
        <v>30</v>
      </c>
      <c r="G428" s="15" t="s">
        <v>24</v>
      </c>
      <c r="H428" s="3" t="str">
        <f>ONLINE!$G$3</f>
        <v>online</v>
      </c>
      <c r="I428" s="24" t="str">
        <f>ONLINE!B21</f>
        <v/>
      </c>
      <c r="J428" s="2" t="str">
        <f>ONLINE!C21</f>
        <v/>
      </c>
      <c r="K428" s="2" t="str">
        <f>ONLINE!D21</f>
        <v/>
      </c>
      <c r="L428" s="2" t="str">
        <f>ONLINE!E21</f>
        <v/>
      </c>
      <c r="M428" s="2" t="str">
        <f>ONLINE!F21</f>
        <v/>
      </c>
      <c r="N428" s="2" t="str">
        <f>ONLINE!G21</f>
        <v/>
      </c>
      <c r="O428" s="5" t="str">
        <f>ONLINE!H21</f>
        <v/>
      </c>
      <c r="P428" s="5" t="str">
        <f>ONLINE!I21</f>
        <v/>
      </c>
      <c r="Q428" s="5" t="str">
        <f>ONLINE!J21</f>
        <v/>
      </c>
      <c r="R428" s="2" t="str">
        <f>ONLINE!K21</f>
        <v/>
      </c>
      <c r="S428" s="2" t="str">
        <f>ONLINE!L21</f>
        <v/>
      </c>
      <c r="T428" s="2" t="str">
        <f>ONLINE!M21</f>
        <v/>
      </c>
      <c r="U428" s="34" t="str">
        <f>ONLINE!N21</f>
        <v/>
      </c>
      <c r="V428" s="34" t="str">
        <f>ONLINE!O21</f>
        <v/>
      </c>
      <c r="W428" s="2" t="str">
        <f>ONLINE!P21</f>
        <v/>
      </c>
      <c r="X428" s="34">
        <f>ONLINE!Q21</f>
        <v>0</v>
      </c>
      <c r="Y428" s="1"/>
      <c r="Z428" s="1"/>
      <c r="AA428" s="1"/>
    </row>
    <row r="429">
      <c r="A429" s="1"/>
      <c r="B429" s="14">
        <f t="shared" si="11"/>
        <v>18</v>
      </c>
      <c r="C429" s="15" t="str">
        <f t="shared" si="1"/>
        <v>diciembre</v>
      </c>
      <c r="D429" s="15">
        <f t="shared" si="2"/>
        <v>52</v>
      </c>
      <c r="E429" s="16" t="str">
        <f t="shared" si="3"/>
        <v>sábado</v>
      </c>
      <c r="F429" s="15">
        <f t="shared" si="4"/>
        <v>30</v>
      </c>
      <c r="G429" s="15" t="s">
        <v>24</v>
      </c>
      <c r="H429" s="3" t="str">
        <f>ONLINE!$G$3</f>
        <v>online</v>
      </c>
      <c r="I429" s="24" t="str">
        <f>ONLINE!B22</f>
        <v/>
      </c>
      <c r="J429" s="2" t="str">
        <f>ONLINE!C22</f>
        <v/>
      </c>
      <c r="K429" s="2" t="str">
        <f>ONLINE!D22</f>
        <v/>
      </c>
      <c r="L429" s="2" t="str">
        <f>ONLINE!E22</f>
        <v/>
      </c>
      <c r="M429" s="2" t="str">
        <f>ONLINE!F22</f>
        <v/>
      </c>
      <c r="N429" s="2" t="str">
        <f>ONLINE!G22</f>
        <v/>
      </c>
      <c r="O429" s="5" t="str">
        <f>ONLINE!H22</f>
        <v/>
      </c>
      <c r="P429" s="5" t="str">
        <f>ONLINE!I22</f>
        <v/>
      </c>
      <c r="Q429" s="5" t="str">
        <f>ONLINE!J22</f>
        <v/>
      </c>
      <c r="R429" s="2" t="str">
        <f>ONLINE!K22</f>
        <v/>
      </c>
      <c r="S429" s="2" t="str">
        <f>ONLINE!L22</f>
        <v/>
      </c>
      <c r="T429" s="2" t="str">
        <f>ONLINE!M22</f>
        <v/>
      </c>
      <c r="U429" s="34" t="str">
        <f>ONLINE!N22</f>
        <v/>
      </c>
      <c r="V429" s="34" t="str">
        <f>ONLINE!O22</f>
        <v/>
      </c>
      <c r="W429" s="2" t="str">
        <f>ONLINE!P22</f>
        <v/>
      </c>
      <c r="X429" s="34">
        <f>ONLINE!Q22</f>
        <v>0</v>
      </c>
      <c r="Y429" s="1"/>
      <c r="Z429" s="1"/>
      <c r="AA429" s="1"/>
    </row>
    <row r="430">
      <c r="A430" s="1"/>
      <c r="B430" s="14">
        <f t="shared" si="11"/>
        <v>19</v>
      </c>
      <c r="C430" s="15" t="str">
        <f t="shared" si="1"/>
        <v>diciembre</v>
      </c>
      <c r="D430" s="15">
        <f t="shared" si="2"/>
        <v>52</v>
      </c>
      <c r="E430" s="16" t="str">
        <f t="shared" si="3"/>
        <v>sábado</v>
      </c>
      <c r="F430" s="15">
        <f t="shared" si="4"/>
        <v>30</v>
      </c>
      <c r="G430" s="15" t="s">
        <v>24</v>
      </c>
      <c r="H430" s="3" t="str">
        <f>ONLINE!$G$3</f>
        <v>online</v>
      </c>
      <c r="I430" s="24" t="str">
        <f>ONLINE!B23</f>
        <v/>
      </c>
      <c r="J430" s="2" t="str">
        <f>ONLINE!C23</f>
        <v/>
      </c>
      <c r="K430" s="2" t="str">
        <f>ONLINE!D23</f>
        <v/>
      </c>
      <c r="L430" s="2" t="str">
        <f>ONLINE!E23</f>
        <v/>
      </c>
      <c r="M430" s="2" t="str">
        <f>ONLINE!F23</f>
        <v/>
      </c>
      <c r="N430" s="2" t="str">
        <f>ONLINE!G23</f>
        <v/>
      </c>
      <c r="O430" s="5" t="str">
        <f>ONLINE!H23</f>
        <v/>
      </c>
      <c r="P430" s="5" t="str">
        <f>ONLINE!I23</f>
        <v/>
      </c>
      <c r="Q430" s="5" t="str">
        <f>ONLINE!J23</f>
        <v/>
      </c>
      <c r="R430" s="2" t="str">
        <f>ONLINE!K23</f>
        <v/>
      </c>
      <c r="S430" s="2" t="str">
        <f>ONLINE!L23</f>
        <v/>
      </c>
      <c r="T430" s="2" t="str">
        <f>ONLINE!M23</f>
        <v/>
      </c>
      <c r="U430" s="34" t="str">
        <f>ONLINE!N23</f>
        <v/>
      </c>
      <c r="V430" s="34" t="str">
        <f>ONLINE!O23</f>
        <v/>
      </c>
      <c r="W430" s="2" t="str">
        <f>ONLINE!P23</f>
        <v/>
      </c>
      <c r="X430" s="34">
        <f>ONLINE!Q23</f>
        <v>0</v>
      </c>
      <c r="Y430" s="1"/>
      <c r="Z430" s="1"/>
      <c r="AA430" s="1"/>
    </row>
    <row r="431">
      <c r="A431" s="1"/>
      <c r="B431" s="14">
        <f t="shared" si="11"/>
        <v>20</v>
      </c>
      <c r="C431" s="15" t="str">
        <f t="shared" si="1"/>
        <v>diciembre</v>
      </c>
      <c r="D431" s="15">
        <f t="shared" si="2"/>
        <v>52</v>
      </c>
      <c r="E431" s="16" t="str">
        <f t="shared" si="3"/>
        <v>sábado</v>
      </c>
      <c r="F431" s="15">
        <f t="shared" si="4"/>
        <v>30</v>
      </c>
      <c r="G431" s="15" t="s">
        <v>24</v>
      </c>
      <c r="H431" s="3" t="str">
        <f>ONLINE!$G$3</f>
        <v>online</v>
      </c>
      <c r="I431" s="24" t="str">
        <f>ONLINE!B24</f>
        <v/>
      </c>
      <c r="J431" s="2" t="str">
        <f>ONLINE!C24</f>
        <v/>
      </c>
      <c r="K431" s="2" t="str">
        <f>ONLINE!D24</f>
        <v/>
      </c>
      <c r="L431" s="2" t="str">
        <f>ONLINE!E24</f>
        <v/>
      </c>
      <c r="M431" s="2" t="str">
        <f>ONLINE!F24</f>
        <v/>
      </c>
      <c r="N431" s="2" t="str">
        <f>ONLINE!G24</f>
        <v/>
      </c>
      <c r="O431" s="5" t="str">
        <f>ONLINE!H24</f>
        <v/>
      </c>
      <c r="P431" s="5" t="str">
        <f>ONLINE!I24</f>
        <v/>
      </c>
      <c r="Q431" s="5" t="str">
        <f>ONLINE!J24</f>
        <v/>
      </c>
      <c r="R431" s="2" t="str">
        <f>ONLINE!K24</f>
        <v/>
      </c>
      <c r="S431" s="2" t="str">
        <f>ONLINE!L24</f>
        <v/>
      </c>
      <c r="T431" s="2" t="str">
        <f>ONLINE!M24</f>
        <v/>
      </c>
      <c r="U431" s="34" t="str">
        <f>ONLINE!N24</f>
        <v/>
      </c>
      <c r="V431" s="34" t="str">
        <f>ONLINE!O24</f>
        <v/>
      </c>
      <c r="W431" s="2" t="str">
        <f>ONLINE!P24</f>
        <v/>
      </c>
      <c r="X431" s="34">
        <f>ONLINE!Q24</f>
        <v>0</v>
      </c>
      <c r="Y431" s="1"/>
      <c r="Z431" s="1"/>
      <c r="AA431" s="1"/>
    </row>
    <row r="432">
      <c r="A432" s="1"/>
      <c r="B432" s="14">
        <f t="shared" si="11"/>
        <v>21</v>
      </c>
      <c r="C432" s="15" t="str">
        <f t="shared" si="1"/>
        <v>diciembre</v>
      </c>
      <c r="D432" s="15">
        <f t="shared" si="2"/>
        <v>52</v>
      </c>
      <c r="E432" s="16" t="str">
        <f t="shared" si="3"/>
        <v>sábado</v>
      </c>
      <c r="F432" s="15">
        <f t="shared" si="4"/>
        <v>30</v>
      </c>
      <c r="G432" s="15" t="s">
        <v>24</v>
      </c>
      <c r="H432" s="3" t="str">
        <f>ONLINE!$G$3</f>
        <v>online</v>
      </c>
      <c r="I432" s="24" t="str">
        <f>ONLINE!B25</f>
        <v/>
      </c>
      <c r="J432" s="2" t="str">
        <f>ONLINE!C25</f>
        <v/>
      </c>
      <c r="K432" s="2" t="str">
        <f>ONLINE!D25</f>
        <v/>
      </c>
      <c r="L432" s="2" t="str">
        <f>ONLINE!E25</f>
        <v/>
      </c>
      <c r="M432" s="2" t="str">
        <f>ONLINE!F25</f>
        <v/>
      </c>
      <c r="N432" s="2" t="str">
        <f>ONLINE!G25</f>
        <v/>
      </c>
      <c r="O432" s="5" t="str">
        <f>ONLINE!H25</f>
        <v/>
      </c>
      <c r="P432" s="5" t="str">
        <f>ONLINE!I25</f>
        <v/>
      </c>
      <c r="Q432" s="5" t="str">
        <f>ONLINE!J25</f>
        <v/>
      </c>
      <c r="R432" s="2" t="str">
        <f>ONLINE!K25</f>
        <v/>
      </c>
      <c r="S432" s="2" t="str">
        <f>ONLINE!L25</f>
        <v/>
      </c>
      <c r="T432" s="2" t="str">
        <f>ONLINE!M25</f>
        <v/>
      </c>
      <c r="U432" s="34" t="str">
        <f>ONLINE!N25</f>
        <v/>
      </c>
      <c r="V432" s="34" t="str">
        <f>ONLINE!O25</f>
        <v/>
      </c>
      <c r="W432" s="2" t="str">
        <f>ONLINE!P25</f>
        <v/>
      </c>
      <c r="X432" s="34">
        <f>ONLINE!Q25</f>
        <v>0</v>
      </c>
      <c r="Y432" s="1"/>
      <c r="Z432" s="1"/>
      <c r="AA432" s="1"/>
    </row>
    <row r="433">
      <c r="A433" s="1"/>
      <c r="B433" s="14">
        <f t="shared" si="11"/>
        <v>22</v>
      </c>
      <c r="C433" s="15" t="str">
        <f t="shared" si="1"/>
        <v>diciembre</v>
      </c>
      <c r="D433" s="15">
        <f t="shared" si="2"/>
        <v>52</v>
      </c>
      <c r="E433" s="16" t="str">
        <f t="shared" si="3"/>
        <v>sábado</v>
      </c>
      <c r="F433" s="15">
        <f t="shared" si="4"/>
        <v>30</v>
      </c>
      <c r="G433" s="15" t="s">
        <v>24</v>
      </c>
      <c r="H433" s="3" t="str">
        <f>ONLINE!$G$3</f>
        <v>online</v>
      </c>
      <c r="I433" s="24" t="str">
        <f>ONLINE!B26</f>
        <v/>
      </c>
      <c r="J433" s="2" t="str">
        <f>ONLINE!C26</f>
        <v/>
      </c>
      <c r="K433" s="2" t="str">
        <f>ONLINE!D26</f>
        <v/>
      </c>
      <c r="L433" s="2" t="str">
        <f>ONLINE!E26</f>
        <v/>
      </c>
      <c r="M433" s="2" t="str">
        <f>ONLINE!F26</f>
        <v/>
      </c>
      <c r="N433" s="2" t="str">
        <f>ONLINE!G26</f>
        <v/>
      </c>
      <c r="O433" s="5" t="str">
        <f>ONLINE!H26</f>
        <v/>
      </c>
      <c r="P433" s="5" t="str">
        <f>ONLINE!I26</f>
        <v/>
      </c>
      <c r="Q433" s="5" t="str">
        <f>ONLINE!J26</f>
        <v/>
      </c>
      <c r="R433" s="2" t="str">
        <f>ONLINE!K26</f>
        <v/>
      </c>
      <c r="S433" s="2" t="str">
        <f>ONLINE!L26</f>
        <v/>
      </c>
      <c r="T433" s="2" t="str">
        <f>ONLINE!M26</f>
        <v/>
      </c>
      <c r="U433" s="34" t="str">
        <f>ONLINE!N26</f>
        <v/>
      </c>
      <c r="V433" s="34" t="str">
        <f>ONLINE!O26</f>
        <v/>
      </c>
      <c r="W433" s="2" t="str">
        <f>ONLINE!P26</f>
        <v/>
      </c>
      <c r="X433" s="34">
        <f>ONLINE!Q26</f>
        <v>0</v>
      </c>
      <c r="Y433" s="1"/>
      <c r="Z433" s="1"/>
      <c r="AA433" s="1"/>
    </row>
    <row r="434">
      <c r="A434" s="1"/>
      <c r="B434" s="14">
        <f t="shared" si="11"/>
        <v>23</v>
      </c>
      <c r="C434" s="15" t="str">
        <f t="shared" si="1"/>
        <v>diciembre</v>
      </c>
      <c r="D434" s="15">
        <f t="shared" si="2"/>
        <v>52</v>
      </c>
      <c r="E434" s="16" t="str">
        <f t="shared" si="3"/>
        <v>sábado</v>
      </c>
      <c r="F434" s="15">
        <f t="shared" si="4"/>
        <v>30</v>
      </c>
      <c r="G434" s="15" t="s">
        <v>24</v>
      </c>
      <c r="H434" s="3" t="str">
        <f>ONLINE!$G$3</f>
        <v>online</v>
      </c>
      <c r="I434" s="24" t="str">
        <f>ONLINE!B27</f>
        <v/>
      </c>
      <c r="J434" s="2" t="str">
        <f>ONLINE!C27</f>
        <v/>
      </c>
      <c r="K434" s="2" t="str">
        <f>ONLINE!D27</f>
        <v/>
      </c>
      <c r="L434" s="2" t="str">
        <f>ONLINE!E27</f>
        <v/>
      </c>
      <c r="M434" s="2" t="str">
        <f>ONLINE!F27</f>
        <v/>
      </c>
      <c r="N434" s="2" t="str">
        <f>ONLINE!G27</f>
        <v/>
      </c>
      <c r="O434" s="5" t="str">
        <f>ONLINE!H27</f>
        <v/>
      </c>
      <c r="P434" s="5" t="str">
        <f>ONLINE!I27</f>
        <v/>
      </c>
      <c r="Q434" s="5" t="str">
        <f>ONLINE!J27</f>
        <v/>
      </c>
      <c r="R434" s="2" t="str">
        <f>ONLINE!K27</f>
        <v/>
      </c>
      <c r="S434" s="2" t="str">
        <f>ONLINE!L27</f>
        <v/>
      </c>
      <c r="T434" s="2" t="str">
        <f>ONLINE!M27</f>
        <v/>
      </c>
      <c r="U434" s="34" t="str">
        <f>ONLINE!N27</f>
        <v/>
      </c>
      <c r="V434" s="34" t="str">
        <f>ONLINE!O27</f>
        <v/>
      </c>
      <c r="W434" s="2" t="str">
        <f>ONLINE!P27</f>
        <v/>
      </c>
      <c r="X434" s="34">
        <f>ONLINE!Q27</f>
        <v>0</v>
      </c>
      <c r="Y434" s="1"/>
      <c r="Z434" s="1"/>
      <c r="AA434" s="1"/>
    </row>
    <row r="435">
      <c r="A435" s="1"/>
      <c r="B435" s="14">
        <f t="shared" si="11"/>
        <v>24</v>
      </c>
      <c r="C435" s="15" t="str">
        <f t="shared" si="1"/>
        <v>diciembre</v>
      </c>
      <c r="D435" s="15">
        <f t="shared" si="2"/>
        <v>52</v>
      </c>
      <c r="E435" s="16" t="str">
        <f t="shared" si="3"/>
        <v>sábado</v>
      </c>
      <c r="F435" s="15">
        <f t="shared" si="4"/>
        <v>30</v>
      </c>
      <c r="G435" s="15" t="s">
        <v>24</v>
      </c>
      <c r="H435" s="3" t="str">
        <f>ONLINE!$G$3</f>
        <v>online</v>
      </c>
      <c r="I435" s="24" t="str">
        <f>ONLINE!B28</f>
        <v/>
      </c>
      <c r="J435" s="2" t="str">
        <f>ONLINE!C28</f>
        <v/>
      </c>
      <c r="K435" s="2" t="str">
        <f>ONLINE!D28</f>
        <v/>
      </c>
      <c r="L435" s="2" t="str">
        <f>ONLINE!E28</f>
        <v/>
      </c>
      <c r="M435" s="2" t="str">
        <f>ONLINE!F28</f>
        <v/>
      </c>
      <c r="N435" s="2" t="str">
        <f>ONLINE!G28</f>
        <v/>
      </c>
      <c r="O435" s="5" t="str">
        <f>ONLINE!H28</f>
        <v/>
      </c>
      <c r="P435" s="5" t="str">
        <f>ONLINE!I28</f>
        <v/>
      </c>
      <c r="Q435" s="5" t="str">
        <f>ONLINE!J28</f>
        <v/>
      </c>
      <c r="R435" s="2" t="str">
        <f>ONLINE!K28</f>
        <v/>
      </c>
      <c r="S435" s="2" t="str">
        <f>ONLINE!L28</f>
        <v/>
      </c>
      <c r="T435" s="2" t="str">
        <f>ONLINE!M28</f>
        <v/>
      </c>
      <c r="U435" s="34" t="str">
        <f>ONLINE!N28</f>
        <v/>
      </c>
      <c r="V435" s="34" t="str">
        <f>ONLINE!O28</f>
        <v/>
      </c>
      <c r="W435" s="2" t="str">
        <f>ONLINE!P28</f>
        <v/>
      </c>
      <c r="X435" s="34">
        <f>ONLINE!Q28</f>
        <v>0</v>
      </c>
      <c r="Y435" s="1"/>
      <c r="Z435" s="1"/>
      <c r="AA435" s="1"/>
    </row>
    <row r="436">
      <c r="A436" s="1"/>
      <c r="B436" s="14">
        <f t="shared" si="11"/>
        <v>25</v>
      </c>
      <c r="C436" s="15" t="str">
        <f t="shared" si="1"/>
        <v>diciembre</v>
      </c>
      <c r="D436" s="15">
        <f t="shared" si="2"/>
        <v>52</v>
      </c>
      <c r="E436" s="16" t="str">
        <f t="shared" si="3"/>
        <v>sábado</v>
      </c>
      <c r="F436" s="15">
        <f t="shared" si="4"/>
        <v>30</v>
      </c>
      <c r="G436" s="15" t="s">
        <v>24</v>
      </c>
      <c r="H436" s="3" t="str">
        <f>ONLINE!$G$3</f>
        <v>online</v>
      </c>
      <c r="I436" s="24" t="str">
        <f>ONLINE!B29</f>
        <v/>
      </c>
      <c r="J436" s="2" t="str">
        <f>ONLINE!C29</f>
        <v/>
      </c>
      <c r="K436" s="2" t="str">
        <f>ONLINE!D29</f>
        <v/>
      </c>
      <c r="L436" s="2" t="str">
        <f>ONLINE!E29</f>
        <v/>
      </c>
      <c r="M436" s="2" t="str">
        <f>ONLINE!F29</f>
        <v/>
      </c>
      <c r="N436" s="2" t="str">
        <f>ONLINE!G29</f>
        <v/>
      </c>
      <c r="O436" s="5" t="str">
        <f>ONLINE!H29</f>
        <v/>
      </c>
      <c r="P436" s="5" t="str">
        <f>ONLINE!I29</f>
        <v/>
      </c>
      <c r="Q436" s="5" t="str">
        <f>ONLINE!J29</f>
        <v/>
      </c>
      <c r="R436" s="2" t="str">
        <f>ONLINE!K29</f>
        <v/>
      </c>
      <c r="S436" s="2" t="str">
        <f>ONLINE!L29</f>
        <v/>
      </c>
      <c r="T436" s="2" t="str">
        <f>ONLINE!M29</f>
        <v/>
      </c>
      <c r="U436" s="34" t="str">
        <f>ONLINE!N29</f>
        <v/>
      </c>
      <c r="V436" s="34" t="str">
        <f>ONLINE!O29</f>
        <v/>
      </c>
      <c r="W436" s="2" t="str">
        <f>ONLINE!P29</f>
        <v/>
      </c>
      <c r="X436" s="34">
        <f>ONLINE!Q29</f>
        <v>0</v>
      </c>
      <c r="Y436" s="1"/>
      <c r="Z436" s="1"/>
      <c r="AA436" s="1"/>
    </row>
    <row r="437">
      <c r="A437" s="1"/>
      <c r="B437" s="14">
        <f t="shared" si="11"/>
        <v>26</v>
      </c>
      <c r="C437" s="15" t="str">
        <f t="shared" si="1"/>
        <v>diciembre</v>
      </c>
      <c r="D437" s="15">
        <f t="shared" si="2"/>
        <v>52</v>
      </c>
      <c r="E437" s="16" t="str">
        <f t="shared" si="3"/>
        <v>sábado</v>
      </c>
      <c r="F437" s="15">
        <f t="shared" si="4"/>
        <v>30</v>
      </c>
      <c r="G437" s="15" t="s">
        <v>24</v>
      </c>
      <c r="H437" s="3" t="str">
        <f>ONLINE!$G$3</f>
        <v>online</v>
      </c>
      <c r="I437" s="24" t="str">
        <f>ONLINE!B30</f>
        <v/>
      </c>
      <c r="J437" s="2" t="str">
        <f>ONLINE!C30</f>
        <v/>
      </c>
      <c r="K437" s="2" t="str">
        <f>ONLINE!D30</f>
        <v/>
      </c>
      <c r="L437" s="2" t="str">
        <f>ONLINE!E30</f>
        <v/>
      </c>
      <c r="M437" s="2" t="str">
        <f>ONLINE!F30</f>
        <v/>
      </c>
      <c r="N437" s="2" t="str">
        <f>ONLINE!G30</f>
        <v/>
      </c>
      <c r="O437" s="5" t="str">
        <f>ONLINE!H30</f>
        <v/>
      </c>
      <c r="P437" s="5" t="str">
        <f>ONLINE!I30</f>
        <v/>
      </c>
      <c r="Q437" s="5" t="str">
        <f>ONLINE!J30</f>
        <v/>
      </c>
      <c r="R437" s="2" t="str">
        <f>ONLINE!K30</f>
        <v/>
      </c>
      <c r="S437" s="2" t="str">
        <f>ONLINE!L30</f>
        <v/>
      </c>
      <c r="T437" s="2" t="str">
        <f>ONLINE!M30</f>
        <v/>
      </c>
      <c r="U437" s="34" t="str">
        <f>ONLINE!N30</f>
        <v/>
      </c>
      <c r="V437" s="34" t="str">
        <f>ONLINE!O30</f>
        <v/>
      </c>
      <c r="W437" s="2" t="str">
        <f>ONLINE!P30</f>
        <v/>
      </c>
      <c r="X437" s="34">
        <f>ONLINE!Q30</f>
        <v>0</v>
      </c>
      <c r="Y437" s="1"/>
      <c r="Z437" s="1"/>
      <c r="AA437" s="1"/>
    </row>
    <row r="438">
      <c r="A438" s="1"/>
      <c r="B438" s="14">
        <f t="shared" si="11"/>
        <v>27</v>
      </c>
      <c r="C438" s="15" t="str">
        <f t="shared" si="1"/>
        <v>diciembre</v>
      </c>
      <c r="D438" s="15">
        <f t="shared" si="2"/>
        <v>52</v>
      </c>
      <c r="E438" s="16" t="str">
        <f t="shared" si="3"/>
        <v>sábado</v>
      </c>
      <c r="F438" s="15">
        <f t="shared" si="4"/>
        <v>30</v>
      </c>
      <c r="G438" s="15" t="s">
        <v>24</v>
      </c>
      <c r="H438" s="3" t="str">
        <f>ONLINE!$G$3</f>
        <v>online</v>
      </c>
      <c r="I438" s="24" t="str">
        <f>ONLINE!B31</f>
        <v/>
      </c>
      <c r="J438" s="2" t="str">
        <f>ONLINE!C31</f>
        <v/>
      </c>
      <c r="K438" s="2" t="str">
        <f>ONLINE!D31</f>
        <v/>
      </c>
      <c r="L438" s="2" t="str">
        <f>ONLINE!E31</f>
        <v/>
      </c>
      <c r="M438" s="2" t="str">
        <f>ONLINE!F31</f>
        <v/>
      </c>
      <c r="N438" s="2" t="str">
        <f>ONLINE!G31</f>
        <v/>
      </c>
      <c r="O438" s="5" t="str">
        <f>ONLINE!H31</f>
        <v/>
      </c>
      <c r="P438" s="5" t="str">
        <f>ONLINE!I31</f>
        <v/>
      </c>
      <c r="Q438" s="5" t="str">
        <f>ONLINE!J31</f>
        <v/>
      </c>
      <c r="R438" s="2" t="str">
        <f>ONLINE!K31</f>
        <v/>
      </c>
      <c r="S438" s="2" t="str">
        <f>ONLINE!L31</f>
        <v/>
      </c>
      <c r="T438" s="2" t="str">
        <f>ONLINE!M31</f>
        <v/>
      </c>
      <c r="U438" s="34" t="str">
        <f>ONLINE!N31</f>
        <v/>
      </c>
      <c r="V438" s="34" t="str">
        <f>ONLINE!O31</f>
        <v/>
      </c>
      <c r="W438" s="2" t="str">
        <f>ONLINE!P31</f>
        <v/>
      </c>
      <c r="X438" s="34">
        <f>ONLINE!Q31</f>
        <v>0</v>
      </c>
      <c r="Y438" s="1"/>
      <c r="Z438" s="1"/>
      <c r="AA438" s="1"/>
    </row>
    <row r="439">
      <c r="A439" s="1"/>
      <c r="B439" s="14">
        <f t="shared" si="11"/>
        <v>28</v>
      </c>
      <c r="C439" s="15" t="str">
        <f t="shared" si="1"/>
        <v>diciembre</v>
      </c>
      <c r="D439" s="15">
        <f t="shared" si="2"/>
        <v>52</v>
      </c>
      <c r="E439" s="16" t="str">
        <f t="shared" si="3"/>
        <v>sábado</v>
      </c>
      <c r="F439" s="15">
        <f t="shared" si="4"/>
        <v>30</v>
      </c>
      <c r="G439" s="15" t="s">
        <v>24</v>
      </c>
      <c r="H439" s="3" t="str">
        <f>ONLINE!$G$3</f>
        <v>online</v>
      </c>
      <c r="I439" s="24" t="str">
        <f>ONLINE!B32</f>
        <v/>
      </c>
      <c r="J439" s="2" t="str">
        <f>ONLINE!C32</f>
        <v/>
      </c>
      <c r="K439" s="2" t="str">
        <f>ONLINE!D32</f>
        <v/>
      </c>
      <c r="L439" s="2" t="str">
        <f>ONLINE!E32</f>
        <v/>
      </c>
      <c r="M439" s="2" t="str">
        <f>ONLINE!F32</f>
        <v/>
      </c>
      <c r="N439" s="2" t="str">
        <f>ONLINE!G32</f>
        <v/>
      </c>
      <c r="O439" s="5" t="str">
        <f>ONLINE!H32</f>
        <v/>
      </c>
      <c r="P439" s="5" t="str">
        <f>ONLINE!I32</f>
        <v/>
      </c>
      <c r="Q439" s="5" t="str">
        <f>ONLINE!J32</f>
        <v/>
      </c>
      <c r="R439" s="2" t="str">
        <f>ONLINE!K32</f>
        <v/>
      </c>
      <c r="S439" s="2" t="str">
        <f>ONLINE!L32</f>
        <v/>
      </c>
      <c r="T439" s="2" t="str">
        <f>ONLINE!M32</f>
        <v/>
      </c>
      <c r="U439" s="34" t="str">
        <f>ONLINE!N32</f>
        <v/>
      </c>
      <c r="V439" s="34" t="str">
        <f>ONLINE!O32</f>
        <v/>
      </c>
      <c r="W439" s="2" t="str">
        <f>ONLINE!P32</f>
        <v/>
      </c>
      <c r="X439" s="34">
        <f>ONLINE!Q32</f>
        <v>0</v>
      </c>
      <c r="Y439" s="1"/>
      <c r="Z439" s="1"/>
      <c r="AA439" s="1"/>
    </row>
    <row r="440">
      <c r="A440" s="1"/>
      <c r="B440" s="14">
        <f t="shared" si="11"/>
        <v>29</v>
      </c>
      <c r="C440" s="15" t="str">
        <f t="shared" si="1"/>
        <v>diciembre</v>
      </c>
      <c r="D440" s="15">
        <f t="shared" si="2"/>
        <v>52</v>
      </c>
      <c r="E440" s="16" t="str">
        <f t="shared" si="3"/>
        <v>sábado</v>
      </c>
      <c r="F440" s="15">
        <f t="shared" si="4"/>
        <v>30</v>
      </c>
      <c r="G440" s="15" t="s">
        <v>24</v>
      </c>
      <c r="H440" s="3" t="str">
        <f>ONLINE!$G$3</f>
        <v>online</v>
      </c>
      <c r="I440" s="24" t="str">
        <f>ONLINE!B33</f>
        <v/>
      </c>
      <c r="J440" s="2" t="str">
        <f>ONLINE!C33</f>
        <v/>
      </c>
      <c r="K440" s="2" t="str">
        <f>ONLINE!D33</f>
        <v/>
      </c>
      <c r="L440" s="2" t="str">
        <f>ONLINE!E33</f>
        <v/>
      </c>
      <c r="M440" s="2" t="str">
        <f>ONLINE!F33</f>
        <v/>
      </c>
      <c r="N440" s="2" t="str">
        <f>ONLINE!G33</f>
        <v/>
      </c>
      <c r="O440" s="5" t="str">
        <f>ONLINE!H33</f>
        <v/>
      </c>
      <c r="P440" s="5" t="str">
        <f>ONLINE!I33</f>
        <v/>
      </c>
      <c r="Q440" s="5" t="str">
        <f>ONLINE!J33</f>
        <v/>
      </c>
      <c r="R440" s="2" t="str">
        <f>ONLINE!K33</f>
        <v/>
      </c>
      <c r="S440" s="2" t="str">
        <f>ONLINE!L33</f>
        <v/>
      </c>
      <c r="T440" s="2" t="str">
        <f>ONLINE!M33</f>
        <v/>
      </c>
      <c r="U440" s="34" t="str">
        <f>ONLINE!N33</f>
        <v/>
      </c>
      <c r="V440" s="34" t="str">
        <f>ONLINE!O33</f>
        <v/>
      </c>
      <c r="W440" s="2" t="str">
        <f>ONLINE!P33</f>
        <v/>
      </c>
      <c r="X440" s="34">
        <f>ONLINE!Q33</f>
        <v>0</v>
      </c>
      <c r="Y440" s="1"/>
      <c r="Z440" s="1"/>
      <c r="AA440" s="1"/>
    </row>
    <row r="441">
      <c r="A441" s="1"/>
      <c r="B441" s="14">
        <f t="shared" si="11"/>
        <v>30</v>
      </c>
      <c r="C441" s="15" t="str">
        <f t="shared" si="1"/>
        <v>diciembre</v>
      </c>
      <c r="D441" s="15">
        <f t="shared" si="2"/>
        <v>52</v>
      </c>
      <c r="E441" s="16" t="str">
        <f t="shared" si="3"/>
        <v>sábado</v>
      </c>
      <c r="F441" s="15">
        <f t="shared" si="4"/>
        <v>30</v>
      </c>
      <c r="G441" s="15" t="s">
        <v>24</v>
      </c>
      <c r="H441" s="3" t="str">
        <f>ONLINE!$G$3</f>
        <v>online</v>
      </c>
      <c r="I441" s="24" t="str">
        <f>ONLINE!B34</f>
        <v/>
      </c>
      <c r="J441" s="2" t="str">
        <f>ONLINE!C34</f>
        <v/>
      </c>
      <c r="K441" s="2" t="str">
        <f>ONLINE!D34</f>
        <v/>
      </c>
      <c r="L441" s="2" t="str">
        <f>ONLINE!E34</f>
        <v/>
      </c>
      <c r="M441" s="2" t="str">
        <f>ONLINE!F34</f>
        <v/>
      </c>
      <c r="N441" s="2" t="str">
        <f>ONLINE!G34</f>
        <v/>
      </c>
      <c r="O441" s="5" t="str">
        <f>ONLINE!H34</f>
        <v/>
      </c>
      <c r="P441" s="5" t="str">
        <f>ONLINE!I34</f>
        <v/>
      </c>
      <c r="Q441" s="5" t="str">
        <f>ONLINE!J34</f>
        <v/>
      </c>
      <c r="R441" s="2" t="str">
        <f>ONLINE!K34</f>
        <v/>
      </c>
      <c r="S441" s="2" t="str">
        <f>ONLINE!L34</f>
        <v/>
      </c>
      <c r="T441" s="2" t="str">
        <f>ONLINE!M34</f>
        <v/>
      </c>
      <c r="U441" s="34" t="str">
        <f>ONLINE!N34</f>
        <v/>
      </c>
      <c r="V441" s="34" t="str">
        <f>ONLINE!O34</f>
        <v/>
      </c>
      <c r="W441" s="2" t="str">
        <f>ONLINE!P34</f>
        <v/>
      </c>
      <c r="X441" s="34">
        <f>ONLINE!Q34</f>
        <v>0</v>
      </c>
      <c r="Y441" s="1"/>
      <c r="Z441" s="1"/>
      <c r="AA441" s="1"/>
    </row>
    <row r="442">
      <c r="A442" s="1"/>
      <c r="B442" s="14">
        <f t="shared" si="11"/>
        <v>31</v>
      </c>
      <c r="C442" s="15" t="str">
        <f t="shared" si="1"/>
        <v>diciembre</v>
      </c>
      <c r="D442" s="15">
        <f t="shared" si="2"/>
        <v>52</v>
      </c>
      <c r="E442" s="16" t="str">
        <f t="shared" si="3"/>
        <v>sábado</v>
      </c>
      <c r="F442" s="15">
        <f t="shared" si="4"/>
        <v>30</v>
      </c>
      <c r="G442" s="15" t="s">
        <v>24</v>
      </c>
      <c r="H442" s="3" t="str">
        <f>ONLINE!$G$3</f>
        <v>online</v>
      </c>
      <c r="I442" s="24" t="str">
        <f>ONLINE!B35</f>
        <v/>
      </c>
      <c r="J442" s="2" t="str">
        <f>ONLINE!C35</f>
        <v/>
      </c>
      <c r="K442" s="2" t="str">
        <f>ONLINE!D35</f>
        <v/>
      </c>
      <c r="L442" s="2" t="str">
        <f>ONLINE!E35</f>
        <v/>
      </c>
      <c r="M442" s="2" t="str">
        <f>ONLINE!F35</f>
        <v/>
      </c>
      <c r="N442" s="2" t="str">
        <f>ONLINE!G35</f>
        <v/>
      </c>
      <c r="O442" s="5" t="str">
        <f>ONLINE!H35</f>
        <v/>
      </c>
      <c r="P442" s="5" t="str">
        <f>ONLINE!I35</f>
        <v/>
      </c>
      <c r="Q442" s="5" t="str">
        <f>ONLINE!J35</f>
        <v/>
      </c>
      <c r="R442" s="2" t="str">
        <f>ONLINE!K35</f>
        <v/>
      </c>
      <c r="S442" s="2" t="str">
        <f>ONLINE!L35</f>
        <v/>
      </c>
      <c r="T442" s="2" t="str">
        <f>ONLINE!M35</f>
        <v/>
      </c>
      <c r="U442" s="34" t="str">
        <f>ONLINE!N35</f>
        <v/>
      </c>
      <c r="V442" s="34" t="str">
        <f>ONLINE!O35</f>
        <v/>
      </c>
      <c r="W442" s="2" t="str">
        <f>ONLINE!P35</f>
        <v/>
      </c>
      <c r="X442" s="34">
        <f>ONLINE!Q35</f>
        <v>0</v>
      </c>
      <c r="Y442" s="1"/>
      <c r="Z442" s="1"/>
      <c r="AA442" s="1"/>
    </row>
    <row r="443">
      <c r="A443" s="1"/>
      <c r="B443" s="14">
        <f t="shared" si="11"/>
        <v>32</v>
      </c>
      <c r="C443" s="15" t="str">
        <f t="shared" si="1"/>
        <v>diciembre</v>
      </c>
      <c r="D443" s="15">
        <f t="shared" si="2"/>
        <v>52</v>
      </c>
      <c r="E443" s="16" t="str">
        <f t="shared" si="3"/>
        <v>sábado</v>
      </c>
      <c r="F443" s="15">
        <f t="shared" si="4"/>
        <v>30</v>
      </c>
      <c r="G443" s="15" t="s">
        <v>24</v>
      </c>
      <c r="H443" s="3" t="str">
        <f>ONLINE!$G$3</f>
        <v>online</v>
      </c>
      <c r="I443" s="24" t="str">
        <f>ONLINE!B36</f>
        <v/>
      </c>
      <c r="J443" s="2" t="str">
        <f>ONLINE!C36</f>
        <v/>
      </c>
      <c r="K443" s="2" t="str">
        <f>ONLINE!D36</f>
        <v/>
      </c>
      <c r="L443" s="2" t="str">
        <f>ONLINE!E36</f>
        <v/>
      </c>
      <c r="M443" s="2" t="str">
        <f>ONLINE!F36</f>
        <v/>
      </c>
      <c r="N443" s="2" t="str">
        <f>ONLINE!G36</f>
        <v/>
      </c>
      <c r="O443" s="5" t="str">
        <f>ONLINE!H36</f>
        <v/>
      </c>
      <c r="P443" s="5" t="str">
        <f>ONLINE!I36</f>
        <v/>
      </c>
      <c r="Q443" s="5" t="str">
        <f>ONLINE!J36</f>
        <v/>
      </c>
      <c r="R443" s="2" t="str">
        <f>ONLINE!K36</f>
        <v/>
      </c>
      <c r="S443" s="2" t="str">
        <f>ONLINE!L36</f>
        <v/>
      </c>
      <c r="T443" s="2" t="str">
        <f>ONLINE!M36</f>
        <v/>
      </c>
      <c r="U443" s="34" t="str">
        <f>ONLINE!N36</f>
        <v/>
      </c>
      <c r="V443" s="34" t="str">
        <f>ONLINE!O36</f>
        <v/>
      </c>
      <c r="W443" s="2" t="str">
        <f>ONLINE!P36</f>
        <v/>
      </c>
      <c r="X443" s="34">
        <f>ONLINE!Q36</f>
        <v>0</v>
      </c>
      <c r="Y443" s="1"/>
      <c r="Z443" s="1"/>
      <c r="AA443" s="1"/>
    </row>
    <row r="444">
      <c r="A444" s="1"/>
      <c r="B444" s="14">
        <f t="shared" si="11"/>
        <v>33</v>
      </c>
      <c r="C444" s="15" t="str">
        <f t="shared" si="1"/>
        <v>diciembre</v>
      </c>
      <c r="D444" s="15">
        <f t="shared" si="2"/>
        <v>52</v>
      </c>
      <c r="E444" s="16" t="str">
        <f t="shared" si="3"/>
        <v>sábado</v>
      </c>
      <c r="F444" s="15">
        <f t="shared" si="4"/>
        <v>30</v>
      </c>
      <c r="G444" s="15" t="s">
        <v>24</v>
      </c>
      <c r="H444" s="3" t="str">
        <f>ONLINE!$G$3</f>
        <v>online</v>
      </c>
      <c r="I444" s="24" t="str">
        <f>ONLINE!B37</f>
        <v/>
      </c>
      <c r="J444" s="2" t="str">
        <f>ONLINE!C37</f>
        <v/>
      </c>
      <c r="K444" s="2" t="str">
        <f>ONLINE!D37</f>
        <v/>
      </c>
      <c r="L444" s="2" t="str">
        <f>ONLINE!E37</f>
        <v/>
      </c>
      <c r="M444" s="2" t="str">
        <f>ONLINE!F37</f>
        <v/>
      </c>
      <c r="N444" s="2" t="str">
        <f>ONLINE!G37</f>
        <v/>
      </c>
      <c r="O444" s="5" t="str">
        <f>ONLINE!H37</f>
        <v/>
      </c>
      <c r="P444" s="5" t="str">
        <f>ONLINE!I37</f>
        <v/>
      </c>
      <c r="Q444" s="5" t="str">
        <f>ONLINE!J37</f>
        <v/>
      </c>
      <c r="R444" s="2" t="str">
        <f>ONLINE!K37</f>
        <v/>
      </c>
      <c r="S444" s="2" t="str">
        <f>ONLINE!L37</f>
        <v/>
      </c>
      <c r="T444" s="2" t="str">
        <f>ONLINE!M37</f>
        <v/>
      </c>
      <c r="U444" s="34" t="str">
        <f>ONLINE!N37</f>
        <v/>
      </c>
      <c r="V444" s="34" t="str">
        <f>ONLINE!O37</f>
        <v/>
      </c>
      <c r="W444" s="2" t="str">
        <f>ONLINE!P37</f>
        <v/>
      </c>
      <c r="X444" s="34">
        <f>ONLINE!Q37</f>
        <v>0</v>
      </c>
      <c r="Y444" s="1"/>
      <c r="Z444" s="1"/>
      <c r="AA444" s="1"/>
    </row>
    <row r="445">
      <c r="A445" s="1"/>
      <c r="B445" s="14">
        <f t="shared" si="11"/>
        <v>34</v>
      </c>
      <c r="C445" s="15" t="str">
        <f t="shared" si="1"/>
        <v>diciembre</v>
      </c>
      <c r="D445" s="15">
        <f t="shared" si="2"/>
        <v>52</v>
      </c>
      <c r="E445" s="16" t="str">
        <f t="shared" si="3"/>
        <v>sábado</v>
      </c>
      <c r="F445" s="15">
        <f t="shared" si="4"/>
        <v>30</v>
      </c>
      <c r="G445" s="15" t="s">
        <v>24</v>
      </c>
      <c r="H445" s="3" t="str">
        <f>ONLINE!$G$3</f>
        <v>online</v>
      </c>
      <c r="I445" s="24" t="str">
        <f>ONLINE!B38</f>
        <v/>
      </c>
      <c r="J445" s="2" t="str">
        <f>ONLINE!C38</f>
        <v/>
      </c>
      <c r="K445" s="2" t="str">
        <f>ONLINE!D38</f>
        <v/>
      </c>
      <c r="L445" s="2" t="str">
        <f>ONLINE!E38</f>
        <v/>
      </c>
      <c r="M445" s="2" t="str">
        <f>ONLINE!F38</f>
        <v/>
      </c>
      <c r="N445" s="2" t="str">
        <f>ONLINE!G38</f>
        <v/>
      </c>
      <c r="O445" s="5" t="str">
        <f>ONLINE!H38</f>
        <v/>
      </c>
      <c r="P445" s="5" t="str">
        <f>ONLINE!I38</f>
        <v/>
      </c>
      <c r="Q445" s="5" t="str">
        <f>ONLINE!J38</f>
        <v/>
      </c>
      <c r="R445" s="2" t="str">
        <f>ONLINE!K38</f>
        <v/>
      </c>
      <c r="S445" s="2" t="str">
        <f>ONLINE!L38</f>
        <v/>
      </c>
      <c r="T445" s="2" t="str">
        <f>ONLINE!M38</f>
        <v/>
      </c>
      <c r="U445" s="34" t="str">
        <f>ONLINE!N38</f>
        <v/>
      </c>
      <c r="V445" s="34" t="str">
        <f>ONLINE!O38</f>
        <v/>
      </c>
      <c r="W445" s="2" t="str">
        <f>ONLINE!P38</f>
        <v/>
      </c>
      <c r="X445" s="34">
        <f>ONLINE!Q38</f>
        <v>0</v>
      </c>
      <c r="Y445" s="1"/>
      <c r="Z445" s="1"/>
      <c r="AA445" s="1"/>
    </row>
    <row r="446">
      <c r="A446" s="1"/>
      <c r="B446" s="14">
        <f t="shared" si="11"/>
        <v>35</v>
      </c>
      <c r="C446" s="15" t="str">
        <f t="shared" si="1"/>
        <v>diciembre</v>
      </c>
      <c r="D446" s="15">
        <f t="shared" si="2"/>
        <v>52</v>
      </c>
      <c r="E446" s="16" t="str">
        <f t="shared" si="3"/>
        <v>sábado</v>
      </c>
      <c r="F446" s="15">
        <f t="shared" si="4"/>
        <v>30</v>
      </c>
      <c r="G446" s="15" t="s">
        <v>24</v>
      </c>
      <c r="H446" s="3" t="str">
        <f>ONLINE!$G$3</f>
        <v>online</v>
      </c>
      <c r="I446" s="24" t="str">
        <f>ONLINE!B39</f>
        <v/>
      </c>
      <c r="J446" s="2" t="str">
        <f>ONLINE!C39</f>
        <v/>
      </c>
      <c r="K446" s="2" t="str">
        <f>ONLINE!D39</f>
        <v/>
      </c>
      <c r="L446" s="2" t="str">
        <f>ONLINE!E39</f>
        <v/>
      </c>
      <c r="M446" s="2" t="str">
        <f>ONLINE!F39</f>
        <v/>
      </c>
      <c r="N446" s="2" t="str">
        <f>ONLINE!G39</f>
        <v/>
      </c>
      <c r="O446" s="5" t="str">
        <f>ONLINE!H39</f>
        <v/>
      </c>
      <c r="P446" s="5" t="str">
        <f>ONLINE!I39</f>
        <v/>
      </c>
      <c r="Q446" s="5" t="str">
        <f>ONLINE!J39</f>
        <v/>
      </c>
      <c r="R446" s="2" t="str">
        <f>ONLINE!K39</f>
        <v/>
      </c>
      <c r="S446" s="2" t="str">
        <f>ONLINE!L39</f>
        <v/>
      </c>
      <c r="T446" s="2" t="str">
        <f>ONLINE!M39</f>
        <v/>
      </c>
      <c r="U446" s="34" t="str">
        <f>ONLINE!N39</f>
        <v/>
      </c>
      <c r="V446" s="34" t="str">
        <f>ONLINE!O39</f>
        <v/>
      </c>
      <c r="W446" s="2" t="str">
        <f>ONLINE!P39</f>
        <v/>
      </c>
      <c r="X446" s="34">
        <f>ONLINE!Q39</f>
        <v>0</v>
      </c>
      <c r="Y446" s="1"/>
      <c r="Z446" s="1"/>
      <c r="AA446" s="1"/>
    </row>
    <row r="447">
      <c r="A447" s="1"/>
      <c r="B447" s="14">
        <f t="shared" si="11"/>
        <v>36</v>
      </c>
      <c r="C447" s="15" t="str">
        <f t="shared" si="1"/>
        <v>diciembre</v>
      </c>
      <c r="D447" s="15">
        <f t="shared" si="2"/>
        <v>52</v>
      </c>
      <c r="E447" s="16" t="str">
        <f t="shared" si="3"/>
        <v>sábado</v>
      </c>
      <c r="F447" s="15">
        <f t="shared" si="4"/>
        <v>30</v>
      </c>
      <c r="G447" s="15" t="s">
        <v>24</v>
      </c>
      <c r="H447" s="3" t="str">
        <f>ONLINE!$G$3</f>
        <v>online</v>
      </c>
      <c r="I447" s="24" t="str">
        <f>ONLINE!B40</f>
        <v/>
      </c>
      <c r="J447" s="2" t="str">
        <f>ONLINE!C40</f>
        <v/>
      </c>
      <c r="K447" s="2" t="str">
        <f>ONLINE!D40</f>
        <v/>
      </c>
      <c r="L447" s="2" t="str">
        <f>ONLINE!E40</f>
        <v/>
      </c>
      <c r="M447" s="2" t="str">
        <f>ONLINE!F40</f>
        <v/>
      </c>
      <c r="N447" s="2" t="str">
        <f>ONLINE!G40</f>
        <v/>
      </c>
      <c r="O447" s="5" t="str">
        <f>ONLINE!H40</f>
        <v/>
      </c>
      <c r="P447" s="5" t="str">
        <f>ONLINE!I40</f>
        <v/>
      </c>
      <c r="Q447" s="5" t="str">
        <f>ONLINE!J40</f>
        <v/>
      </c>
      <c r="R447" s="2" t="str">
        <f>ONLINE!K40</f>
        <v/>
      </c>
      <c r="S447" s="2" t="str">
        <f>ONLINE!L40</f>
        <v/>
      </c>
      <c r="T447" s="2" t="str">
        <f>ONLINE!M40</f>
        <v/>
      </c>
      <c r="U447" s="34" t="str">
        <f>ONLINE!N40</f>
        <v/>
      </c>
      <c r="V447" s="34" t="str">
        <f>ONLINE!O40</f>
        <v/>
      </c>
      <c r="W447" s="2" t="str">
        <f>ONLINE!P40</f>
        <v/>
      </c>
      <c r="X447" s="34">
        <f>ONLINE!Q40</f>
        <v>0</v>
      </c>
      <c r="Y447" s="1"/>
      <c r="Z447" s="1"/>
      <c r="AA447" s="1"/>
    </row>
    <row r="448">
      <c r="A448" s="1"/>
      <c r="B448" s="14">
        <f t="shared" si="11"/>
        <v>37</v>
      </c>
      <c r="C448" s="15" t="str">
        <f t="shared" si="1"/>
        <v>diciembre</v>
      </c>
      <c r="D448" s="15">
        <f t="shared" si="2"/>
        <v>52</v>
      </c>
      <c r="E448" s="16" t="str">
        <f t="shared" si="3"/>
        <v>sábado</v>
      </c>
      <c r="F448" s="15">
        <f t="shared" si="4"/>
        <v>30</v>
      </c>
      <c r="G448" s="15" t="s">
        <v>24</v>
      </c>
      <c r="H448" s="3" t="str">
        <f>ONLINE!$G$3</f>
        <v>online</v>
      </c>
      <c r="I448" s="24" t="str">
        <f>ONLINE!B41</f>
        <v/>
      </c>
      <c r="J448" s="2" t="str">
        <f>ONLINE!C41</f>
        <v/>
      </c>
      <c r="K448" s="2" t="str">
        <f>ONLINE!D41</f>
        <v/>
      </c>
      <c r="L448" s="2" t="str">
        <f>ONLINE!E41</f>
        <v/>
      </c>
      <c r="M448" s="2" t="str">
        <f>ONLINE!F41</f>
        <v/>
      </c>
      <c r="N448" s="2" t="str">
        <f>ONLINE!G41</f>
        <v/>
      </c>
      <c r="O448" s="5" t="str">
        <f>ONLINE!H41</f>
        <v/>
      </c>
      <c r="P448" s="5" t="str">
        <f>ONLINE!I41</f>
        <v/>
      </c>
      <c r="Q448" s="5" t="str">
        <f>ONLINE!J41</f>
        <v/>
      </c>
      <c r="R448" s="2" t="str">
        <f>ONLINE!K41</f>
        <v/>
      </c>
      <c r="S448" s="2" t="str">
        <f>ONLINE!L41</f>
        <v/>
      </c>
      <c r="T448" s="2" t="str">
        <f>ONLINE!M41</f>
        <v/>
      </c>
      <c r="U448" s="34" t="str">
        <f>ONLINE!N41</f>
        <v/>
      </c>
      <c r="V448" s="34" t="str">
        <f>ONLINE!O41</f>
        <v/>
      </c>
      <c r="W448" s="2" t="str">
        <f>ONLINE!P41</f>
        <v/>
      </c>
      <c r="X448" s="34">
        <f>ONLINE!Q41</f>
        <v>0</v>
      </c>
      <c r="Y448" s="1"/>
      <c r="Z448" s="1"/>
      <c r="AA448" s="1"/>
    </row>
    <row r="449">
      <c r="A449" s="1"/>
      <c r="B449" s="14">
        <f t="shared" si="11"/>
        <v>38</v>
      </c>
      <c r="C449" s="15" t="str">
        <f t="shared" si="1"/>
        <v>diciembre</v>
      </c>
      <c r="D449" s="15">
        <f t="shared" si="2"/>
        <v>52</v>
      </c>
      <c r="E449" s="16" t="str">
        <f t="shared" si="3"/>
        <v>sábado</v>
      </c>
      <c r="F449" s="15">
        <f t="shared" si="4"/>
        <v>30</v>
      </c>
      <c r="G449" s="15" t="s">
        <v>24</v>
      </c>
      <c r="H449" s="3" t="str">
        <f>ONLINE!$G$3</f>
        <v>online</v>
      </c>
      <c r="I449" s="24" t="str">
        <f>ONLINE!B42</f>
        <v/>
      </c>
      <c r="J449" s="2" t="str">
        <f>ONLINE!C42</f>
        <v/>
      </c>
      <c r="K449" s="2" t="str">
        <f>ONLINE!D42</f>
        <v/>
      </c>
      <c r="L449" s="2" t="str">
        <f>ONLINE!E42</f>
        <v/>
      </c>
      <c r="M449" s="2" t="str">
        <f>ONLINE!F42</f>
        <v/>
      </c>
      <c r="N449" s="2" t="str">
        <f>ONLINE!G42</f>
        <v/>
      </c>
      <c r="O449" s="5" t="str">
        <f>ONLINE!H42</f>
        <v/>
      </c>
      <c r="P449" s="5" t="str">
        <f>ONLINE!I42</f>
        <v/>
      </c>
      <c r="Q449" s="5" t="str">
        <f>ONLINE!J42</f>
        <v/>
      </c>
      <c r="R449" s="2" t="str">
        <f>ONLINE!K42</f>
        <v/>
      </c>
      <c r="S449" s="2" t="str">
        <f>ONLINE!L42</f>
        <v/>
      </c>
      <c r="T449" s="2" t="str">
        <f>ONLINE!M42</f>
        <v/>
      </c>
      <c r="U449" s="34" t="str">
        <f>ONLINE!N42</f>
        <v/>
      </c>
      <c r="V449" s="34" t="str">
        <f>ONLINE!O42</f>
        <v/>
      </c>
      <c r="W449" s="2" t="str">
        <f>ONLINE!P42</f>
        <v/>
      </c>
      <c r="X449" s="34">
        <f>ONLINE!Q42</f>
        <v>0</v>
      </c>
      <c r="Y449" s="1"/>
      <c r="Z449" s="1"/>
      <c r="AA449" s="1"/>
    </row>
    <row r="450">
      <c r="A450" s="1"/>
      <c r="B450" s="14">
        <f t="shared" si="11"/>
        <v>39</v>
      </c>
      <c r="C450" s="15" t="str">
        <f t="shared" si="1"/>
        <v>diciembre</v>
      </c>
      <c r="D450" s="15">
        <f t="shared" si="2"/>
        <v>52</v>
      </c>
      <c r="E450" s="16" t="str">
        <f t="shared" si="3"/>
        <v>sábado</v>
      </c>
      <c r="F450" s="15">
        <f t="shared" si="4"/>
        <v>30</v>
      </c>
      <c r="G450" s="15" t="s">
        <v>24</v>
      </c>
      <c r="H450" s="3" t="str">
        <f>ONLINE!$G$3</f>
        <v>online</v>
      </c>
      <c r="I450" s="24" t="str">
        <f>ONLINE!B43</f>
        <v/>
      </c>
      <c r="J450" s="2" t="str">
        <f>ONLINE!C43</f>
        <v/>
      </c>
      <c r="K450" s="2" t="str">
        <f>ONLINE!D43</f>
        <v/>
      </c>
      <c r="L450" s="2" t="str">
        <f>ONLINE!E43</f>
        <v/>
      </c>
      <c r="M450" s="2" t="str">
        <f>ONLINE!F43</f>
        <v/>
      </c>
      <c r="N450" s="2" t="str">
        <f>ONLINE!G43</f>
        <v/>
      </c>
      <c r="O450" s="5" t="str">
        <f>ONLINE!H43</f>
        <v/>
      </c>
      <c r="P450" s="5" t="str">
        <f>ONLINE!I43</f>
        <v/>
      </c>
      <c r="Q450" s="5" t="str">
        <f>ONLINE!J43</f>
        <v/>
      </c>
      <c r="R450" s="2" t="str">
        <f>ONLINE!K43</f>
        <v/>
      </c>
      <c r="S450" s="2" t="str">
        <f>ONLINE!L43</f>
        <v/>
      </c>
      <c r="T450" s="2" t="str">
        <f>ONLINE!M43</f>
        <v/>
      </c>
      <c r="U450" s="34" t="str">
        <f>ONLINE!N43</f>
        <v/>
      </c>
      <c r="V450" s="34" t="str">
        <f>ONLINE!O43</f>
        <v/>
      </c>
      <c r="W450" s="2" t="str">
        <f>ONLINE!P43</f>
        <v/>
      </c>
      <c r="X450" s="34">
        <f>ONLINE!Q43</f>
        <v>0</v>
      </c>
      <c r="Y450" s="1"/>
      <c r="Z450" s="1"/>
      <c r="AA450" s="1"/>
    </row>
    <row r="451">
      <c r="A451" s="1"/>
      <c r="B451" s="14">
        <f t="shared" si="11"/>
        <v>40</v>
      </c>
      <c r="C451" s="15" t="str">
        <f t="shared" si="1"/>
        <v>diciembre</v>
      </c>
      <c r="D451" s="15">
        <f t="shared" si="2"/>
        <v>52</v>
      </c>
      <c r="E451" s="16" t="str">
        <f t="shared" si="3"/>
        <v>sábado</v>
      </c>
      <c r="F451" s="15">
        <f t="shared" si="4"/>
        <v>30</v>
      </c>
      <c r="G451" s="15" t="s">
        <v>24</v>
      </c>
      <c r="H451" s="3" t="str">
        <f>ONLINE!$G$3</f>
        <v>online</v>
      </c>
      <c r="I451" s="24" t="str">
        <f>ONLINE!B44</f>
        <v/>
      </c>
      <c r="J451" s="2" t="str">
        <f>ONLINE!C44</f>
        <v/>
      </c>
      <c r="K451" s="2" t="str">
        <f>ONLINE!D44</f>
        <v/>
      </c>
      <c r="L451" s="2" t="str">
        <f>ONLINE!E44</f>
        <v/>
      </c>
      <c r="M451" s="2" t="str">
        <f>ONLINE!F44</f>
        <v/>
      </c>
      <c r="N451" s="2" t="str">
        <f>ONLINE!G44</f>
        <v/>
      </c>
      <c r="O451" s="5" t="str">
        <f>ONLINE!H44</f>
        <v/>
      </c>
      <c r="P451" s="5" t="str">
        <f>ONLINE!I44</f>
        <v/>
      </c>
      <c r="Q451" s="5" t="str">
        <f>ONLINE!J44</f>
        <v/>
      </c>
      <c r="R451" s="2" t="str">
        <f>ONLINE!K44</f>
        <v/>
      </c>
      <c r="S451" s="2" t="str">
        <f>ONLINE!L44</f>
        <v/>
      </c>
      <c r="T451" s="2" t="str">
        <f>ONLINE!M44</f>
        <v/>
      </c>
      <c r="U451" s="34" t="str">
        <f>ONLINE!N44</f>
        <v/>
      </c>
      <c r="V451" s="34" t="str">
        <f>ONLINE!O44</f>
        <v/>
      </c>
      <c r="W451" s="2" t="str">
        <f>ONLINE!P44</f>
        <v/>
      </c>
      <c r="X451" s="34">
        <f>ONLINE!Q44</f>
        <v>0</v>
      </c>
      <c r="Y451" s="1"/>
      <c r="Z451" s="1"/>
      <c r="AA451" s="1"/>
    </row>
    <row r="452">
      <c r="A452" s="1"/>
      <c r="B452" s="14">
        <f t="shared" si="11"/>
        <v>41</v>
      </c>
      <c r="C452" s="15" t="str">
        <f t="shared" si="1"/>
        <v>diciembre</v>
      </c>
      <c r="D452" s="15">
        <f t="shared" si="2"/>
        <v>52</v>
      </c>
      <c r="E452" s="16" t="str">
        <f t="shared" si="3"/>
        <v>sábado</v>
      </c>
      <c r="F452" s="15">
        <f t="shared" si="4"/>
        <v>30</v>
      </c>
      <c r="G452" s="15" t="s">
        <v>24</v>
      </c>
      <c r="H452" s="3" t="str">
        <f>ONLINE!$G$3</f>
        <v>online</v>
      </c>
      <c r="I452" s="24" t="str">
        <f>ONLINE!B45</f>
        <v/>
      </c>
      <c r="J452" s="2" t="str">
        <f>ONLINE!C45</f>
        <v/>
      </c>
      <c r="K452" s="2" t="str">
        <f>ONLINE!D45</f>
        <v/>
      </c>
      <c r="L452" s="2" t="str">
        <f>ONLINE!E45</f>
        <v/>
      </c>
      <c r="M452" s="2" t="str">
        <f>ONLINE!F45</f>
        <v/>
      </c>
      <c r="N452" s="2" t="str">
        <f>ONLINE!G45</f>
        <v/>
      </c>
      <c r="O452" s="5" t="str">
        <f>ONLINE!H45</f>
        <v/>
      </c>
      <c r="P452" s="5" t="str">
        <f>ONLINE!I45</f>
        <v/>
      </c>
      <c r="Q452" s="5" t="str">
        <f>ONLINE!J45</f>
        <v/>
      </c>
      <c r="R452" s="2" t="str">
        <f>ONLINE!K45</f>
        <v/>
      </c>
      <c r="S452" s="2" t="str">
        <f>ONLINE!L45</f>
        <v/>
      </c>
      <c r="T452" s="2" t="str">
        <f>ONLINE!M45</f>
        <v/>
      </c>
      <c r="U452" s="34" t="str">
        <f>ONLINE!N45</f>
        <v/>
      </c>
      <c r="V452" s="34" t="str">
        <f>ONLINE!O45</f>
        <v/>
      </c>
      <c r="W452" s="2" t="str">
        <f>ONLINE!P45</f>
        <v/>
      </c>
      <c r="X452" s="34">
        <f>ONLINE!Q45</f>
        <v>0</v>
      </c>
      <c r="Y452" s="1"/>
      <c r="Z452" s="1"/>
      <c r="AA452" s="1"/>
    </row>
    <row r="453">
      <c r="A453" s="1"/>
      <c r="B453" s="14">
        <f t="shared" si="11"/>
        <v>42</v>
      </c>
      <c r="C453" s="15" t="str">
        <f t="shared" si="1"/>
        <v>diciembre</v>
      </c>
      <c r="D453" s="15">
        <f t="shared" si="2"/>
        <v>52</v>
      </c>
      <c r="E453" s="16" t="str">
        <f t="shared" si="3"/>
        <v>sábado</v>
      </c>
      <c r="F453" s="15">
        <f t="shared" si="4"/>
        <v>30</v>
      </c>
      <c r="G453" s="15" t="s">
        <v>24</v>
      </c>
      <c r="H453" s="3" t="str">
        <f>ONLINE!$G$3</f>
        <v>online</v>
      </c>
      <c r="I453" s="24" t="str">
        <f>ONLINE!B46</f>
        <v/>
      </c>
      <c r="J453" s="2" t="str">
        <f>ONLINE!C46</f>
        <v/>
      </c>
      <c r="K453" s="2" t="str">
        <f>ONLINE!D46</f>
        <v/>
      </c>
      <c r="L453" s="2" t="str">
        <f>ONLINE!E46</f>
        <v/>
      </c>
      <c r="M453" s="2" t="str">
        <f>ONLINE!F46</f>
        <v/>
      </c>
      <c r="N453" s="2" t="str">
        <f>ONLINE!G46</f>
        <v/>
      </c>
      <c r="O453" s="5" t="str">
        <f>ONLINE!H46</f>
        <v/>
      </c>
      <c r="P453" s="5" t="str">
        <f>ONLINE!I46</f>
        <v/>
      </c>
      <c r="Q453" s="5" t="str">
        <f>ONLINE!J46</f>
        <v/>
      </c>
      <c r="R453" s="2" t="str">
        <f>ONLINE!K46</f>
        <v/>
      </c>
      <c r="S453" s="2" t="str">
        <f>ONLINE!L46</f>
        <v/>
      </c>
      <c r="T453" s="2" t="str">
        <f>ONLINE!M46</f>
        <v/>
      </c>
      <c r="U453" s="34" t="str">
        <f>ONLINE!N46</f>
        <v/>
      </c>
      <c r="V453" s="34" t="str">
        <f>ONLINE!O46</f>
        <v/>
      </c>
      <c r="W453" s="2" t="str">
        <f>ONLINE!P46</f>
        <v/>
      </c>
      <c r="X453" s="34">
        <f>ONLINE!Q46</f>
        <v>0</v>
      </c>
      <c r="Y453" s="1"/>
      <c r="Z453" s="1"/>
      <c r="AA453" s="1"/>
    </row>
    <row r="454">
      <c r="A454" s="1"/>
      <c r="B454" s="14">
        <f t="shared" si="11"/>
        <v>43</v>
      </c>
      <c r="C454" s="15" t="str">
        <f t="shared" si="1"/>
        <v>diciembre</v>
      </c>
      <c r="D454" s="15">
        <f t="shared" si="2"/>
        <v>52</v>
      </c>
      <c r="E454" s="16" t="str">
        <f t="shared" si="3"/>
        <v>sábado</v>
      </c>
      <c r="F454" s="15">
        <f t="shared" si="4"/>
        <v>30</v>
      </c>
      <c r="G454" s="15" t="s">
        <v>24</v>
      </c>
      <c r="H454" s="3" t="str">
        <f>ONLINE!$G$3</f>
        <v>online</v>
      </c>
      <c r="I454" s="24" t="str">
        <f>ONLINE!B47</f>
        <v/>
      </c>
      <c r="J454" s="2" t="str">
        <f>ONLINE!C47</f>
        <v/>
      </c>
      <c r="K454" s="2" t="str">
        <f>ONLINE!D47</f>
        <v/>
      </c>
      <c r="L454" s="2" t="str">
        <f>ONLINE!E47</f>
        <v/>
      </c>
      <c r="M454" s="2" t="str">
        <f>ONLINE!F47</f>
        <v/>
      </c>
      <c r="N454" s="2" t="str">
        <f>ONLINE!G47</f>
        <v/>
      </c>
      <c r="O454" s="5" t="str">
        <f>ONLINE!H47</f>
        <v/>
      </c>
      <c r="P454" s="5" t="str">
        <f>ONLINE!I47</f>
        <v/>
      </c>
      <c r="Q454" s="5" t="str">
        <f>ONLINE!J47</f>
        <v/>
      </c>
      <c r="R454" s="2" t="str">
        <f>ONLINE!K47</f>
        <v/>
      </c>
      <c r="S454" s="2" t="str">
        <f>ONLINE!L47</f>
        <v/>
      </c>
      <c r="T454" s="2" t="str">
        <f>ONLINE!M47</f>
        <v/>
      </c>
      <c r="U454" s="34" t="str">
        <f>ONLINE!N47</f>
        <v/>
      </c>
      <c r="V454" s="34" t="str">
        <f>ONLINE!O47</f>
        <v/>
      </c>
      <c r="W454" s="2" t="str">
        <f>ONLINE!P47</f>
        <v/>
      </c>
      <c r="X454" s="34">
        <f>ONLINE!Q47</f>
        <v>0</v>
      </c>
      <c r="Y454" s="1"/>
      <c r="Z454" s="1"/>
      <c r="AA454" s="1"/>
    </row>
    <row r="455">
      <c r="A455" s="1"/>
      <c r="B455" s="14">
        <f t="shared" si="11"/>
        <v>44</v>
      </c>
      <c r="C455" s="15" t="str">
        <f t="shared" si="1"/>
        <v>diciembre</v>
      </c>
      <c r="D455" s="15">
        <f t="shared" si="2"/>
        <v>52</v>
      </c>
      <c r="E455" s="16" t="str">
        <f t="shared" si="3"/>
        <v>sábado</v>
      </c>
      <c r="F455" s="15">
        <f t="shared" si="4"/>
        <v>30</v>
      </c>
      <c r="G455" s="15" t="s">
        <v>24</v>
      </c>
      <c r="H455" s="3" t="str">
        <f>ONLINE!$G$3</f>
        <v>online</v>
      </c>
      <c r="I455" s="24" t="str">
        <f>ONLINE!B48</f>
        <v/>
      </c>
      <c r="J455" s="2" t="str">
        <f>ONLINE!C48</f>
        <v/>
      </c>
      <c r="K455" s="2" t="str">
        <f>ONLINE!D48</f>
        <v/>
      </c>
      <c r="L455" s="2" t="str">
        <f>ONLINE!E48</f>
        <v/>
      </c>
      <c r="M455" s="2" t="str">
        <f>ONLINE!F48</f>
        <v/>
      </c>
      <c r="N455" s="2" t="str">
        <f>ONLINE!G48</f>
        <v/>
      </c>
      <c r="O455" s="5" t="str">
        <f>ONLINE!H48</f>
        <v/>
      </c>
      <c r="P455" s="5" t="str">
        <f>ONLINE!I48</f>
        <v/>
      </c>
      <c r="Q455" s="5" t="str">
        <f>ONLINE!J48</f>
        <v/>
      </c>
      <c r="R455" s="2" t="str">
        <f>ONLINE!K48</f>
        <v/>
      </c>
      <c r="S455" s="2" t="str">
        <f>ONLINE!L48</f>
        <v/>
      </c>
      <c r="T455" s="2" t="str">
        <f>ONLINE!M48</f>
        <v/>
      </c>
      <c r="U455" s="34" t="str">
        <f>ONLINE!N48</f>
        <v/>
      </c>
      <c r="V455" s="34" t="str">
        <f>ONLINE!O48</f>
        <v/>
      </c>
      <c r="W455" s="2" t="str">
        <f>ONLINE!P48</f>
        <v/>
      </c>
      <c r="X455" s="34">
        <f>ONLINE!Q48</f>
        <v>0</v>
      </c>
      <c r="Y455" s="1"/>
      <c r="Z455" s="1"/>
      <c r="AA455" s="1"/>
    </row>
    <row r="456">
      <c r="A456" s="1"/>
      <c r="B456" s="14">
        <f t="shared" si="11"/>
        <v>45</v>
      </c>
      <c r="C456" s="15" t="str">
        <f t="shared" si="1"/>
        <v>diciembre</v>
      </c>
      <c r="D456" s="15">
        <f t="shared" si="2"/>
        <v>52</v>
      </c>
      <c r="E456" s="16" t="str">
        <f t="shared" si="3"/>
        <v>sábado</v>
      </c>
      <c r="F456" s="15">
        <f t="shared" si="4"/>
        <v>30</v>
      </c>
      <c r="G456" s="15" t="s">
        <v>24</v>
      </c>
      <c r="H456" s="3" t="str">
        <f>ONLINE!$G$3</f>
        <v>online</v>
      </c>
      <c r="I456" s="24" t="str">
        <f>ONLINE!B49</f>
        <v/>
      </c>
      <c r="J456" s="2" t="str">
        <f>ONLINE!C49</f>
        <v/>
      </c>
      <c r="K456" s="2" t="str">
        <f>ONLINE!D49</f>
        <v/>
      </c>
      <c r="L456" s="2" t="str">
        <f>ONLINE!E49</f>
        <v/>
      </c>
      <c r="M456" s="2" t="str">
        <f>ONLINE!F49</f>
        <v/>
      </c>
      <c r="N456" s="2" t="str">
        <f>ONLINE!G49</f>
        <v/>
      </c>
      <c r="O456" s="5" t="str">
        <f>ONLINE!H49</f>
        <v/>
      </c>
      <c r="P456" s="5" t="str">
        <f>ONLINE!I49</f>
        <v/>
      </c>
      <c r="Q456" s="5" t="str">
        <f>ONLINE!J49</f>
        <v/>
      </c>
      <c r="R456" s="2" t="str">
        <f>ONLINE!K49</f>
        <v/>
      </c>
      <c r="S456" s="2" t="str">
        <f>ONLINE!L49</f>
        <v/>
      </c>
      <c r="T456" s="2" t="str">
        <f>ONLINE!M49</f>
        <v/>
      </c>
      <c r="U456" s="34" t="str">
        <f>ONLINE!N49</f>
        <v/>
      </c>
      <c r="V456" s="34" t="str">
        <f>ONLINE!O49</f>
        <v/>
      </c>
      <c r="W456" s="2" t="str">
        <f>ONLINE!P49</f>
        <v/>
      </c>
      <c r="X456" s="34">
        <f>ONLINE!Q49</f>
        <v>0</v>
      </c>
      <c r="Y456" s="1"/>
      <c r="Z456" s="1"/>
      <c r="AA456" s="1"/>
    </row>
    <row r="457">
      <c r="A457" s="1"/>
      <c r="B457" s="14">
        <f t="shared" si="11"/>
        <v>46</v>
      </c>
      <c r="C457" s="15" t="str">
        <f t="shared" si="1"/>
        <v>diciembre</v>
      </c>
      <c r="D457" s="15">
        <f t="shared" si="2"/>
        <v>52</v>
      </c>
      <c r="E457" s="16" t="str">
        <f t="shared" si="3"/>
        <v>sábado</v>
      </c>
      <c r="F457" s="15">
        <f t="shared" si="4"/>
        <v>30</v>
      </c>
      <c r="G457" s="15" t="s">
        <v>24</v>
      </c>
      <c r="H457" s="3" t="str">
        <f>ONLINE!$G$3</f>
        <v>online</v>
      </c>
      <c r="I457" s="24" t="str">
        <f>ONLINE!B50</f>
        <v/>
      </c>
      <c r="J457" s="2" t="str">
        <f>ONLINE!C50</f>
        <v/>
      </c>
      <c r="K457" s="2" t="str">
        <f>ONLINE!D50</f>
        <v/>
      </c>
      <c r="L457" s="2" t="str">
        <f>ONLINE!E50</f>
        <v/>
      </c>
      <c r="M457" s="2" t="str">
        <f>ONLINE!F50</f>
        <v/>
      </c>
      <c r="N457" s="2" t="str">
        <f>ONLINE!G50</f>
        <v/>
      </c>
      <c r="O457" s="5" t="str">
        <f>ONLINE!H50</f>
        <v/>
      </c>
      <c r="P457" s="5" t="str">
        <f>ONLINE!I50</f>
        <v/>
      </c>
      <c r="Q457" s="5" t="str">
        <f>ONLINE!J50</f>
        <v/>
      </c>
      <c r="R457" s="2" t="str">
        <f>ONLINE!K50</f>
        <v/>
      </c>
      <c r="S457" s="2" t="str">
        <f>ONLINE!L50</f>
        <v/>
      </c>
      <c r="T457" s="2" t="str">
        <f>ONLINE!M50</f>
        <v/>
      </c>
      <c r="U457" s="34" t="str">
        <f>ONLINE!N50</f>
        <v/>
      </c>
      <c r="V457" s="34" t="str">
        <f>ONLINE!O50</f>
        <v/>
      </c>
      <c r="W457" s="2" t="str">
        <f>ONLINE!P50</f>
        <v/>
      </c>
      <c r="X457" s="34">
        <f>ONLINE!Q50</f>
        <v>0</v>
      </c>
      <c r="Y457" s="1"/>
      <c r="Z457" s="1"/>
      <c r="AA457" s="1"/>
    </row>
    <row r="458">
      <c r="A458" s="1"/>
      <c r="B458" s="14">
        <f t="shared" si="11"/>
        <v>47</v>
      </c>
      <c r="C458" s="15" t="str">
        <f t="shared" si="1"/>
        <v>diciembre</v>
      </c>
      <c r="D458" s="15">
        <f t="shared" si="2"/>
        <v>52</v>
      </c>
      <c r="E458" s="16" t="str">
        <f t="shared" si="3"/>
        <v>sábado</v>
      </c>
      <c r="F458" s="15">
        <f t="shared" si="4"/>
        <v>30</v>
      </c>
      <c r="G458" s="15" t="s">
        <v>24</v>
      </c>
      <c r="H458" s="3" t="str">
        <f>ONLINE!$G$3</f>
        <v>online</v>
      </c>
      <c r="I458" s="24" t="str">
        <f>ONLINE!B51</f>
        <v/>
      </c>
      <c r="J458" s="2" t="str">
        <f>ONLINE!C51</f>
        <v/>
      </c>
      <c r="K458" s="2" t="str">
        <f>ONLINE!D51</f>
        <v/>
      </c>
      <c r="L458" s="2" t="str">
        <f>ONLINE!E51</f>
        <v/>
      </c>
      <c r="M458" s="2" t="str">
        <f>ONLINE!F51</f>
        <v/>
      </c>
      <c r="N458" s="2" t="str">
        <f>ONLINE!G51</f>
        <v/>
      </c>
      <c r="O458" s="5" t="str">
        <f>ONLINE!H51</f>
        <v/>
      </c>
      <c r="P458" s="5" t="str">
        <f>ONLINE!I51</f>
        <v/>
      </c>
      <c r="Q458" s="5" t="str">
        <f>ONLINE!J51</f>
        <v/>
      </c>
      <c r="R458" s="2" t="str">
        <f>ONLINE!K51</f>
        <v/>
      </c>
      <c r="S458" s="2" t="str">
        <f>ONLINE!L51</f>
        <v/>
      </c>
      <c r="T458" s="2" t="str">
        <f>ONLINE!M51</f>
        <v/>
      </c>
      <c r="U458" s="34" t="str">
        <f>ONLINE!N51</f>
        <v/>
      </c>
      <c r="V458" s="34" t="str">
        <f>ONLINE!O51</f>
        <v/>
      </c>
      <c r="W458" s="2" t="str">
        <f>ONLINE!P51</f>
        <v/>
      </c>
      <c r="X458" s="34">
        <f>ONLINE!Q51</f>
        <v>0</v>
      </c>
      <c r="Y458" s="1"/>
      <c r="Z458" s="1"/>
      <c r="AA458" s="1"/>
    </row>
    <row r="459">
      <c r="A459" s="1"/>
      <c r="B459" s="14">
        <f t="shared" si="11"/>
        <v>48</v>
      </c>
      <c r="C459" s="15" t="str">
        <f t="shared" si="1"/>
        <v>diciembre</v>
      </c>
      <c r="D459" s="15">
        <f t="shared" si="2"/>
        <v>52</v>
      </c>
      <c r="E459" s="16" t="str">
        <f t="shared" si="3"/>
        <v>sábado</v>
      </c>
      <c r="F459" s="15">
        <f t="shared" si="4"/>
        <v>30</v>
      </c>
      <c r="G459" s="15" t="s">
        <v>24</v>
      </c>
      <c r="H459" s="3" t="str">
        <f>ONLINE!$G$3</f>
        <v>online</v>
      </c>
      <c r="I459" s="24" t="str">
        <f>ONLINE!B52</f>
        <v/>
      </c>
      <c r="J459" s="2" t="str">
        <f>ONLINE!C52</f>
        <v/>
      </c>
      <c r="K459" s="2" t="str">
        <f>ONLINE!D52</f>
        <v/>
      </c>
      <c r="L459" s="2" t="str">
        <f>ONLINE!E52</f>
        <v/>
      </c>
      <c r="M459" s="2" t="str">
        <f>ONLINE!F52</f>
        <v/>
      </c>
      <c r="N459" s="2" t="str">
        <f>ONLINE!G52</f>
        <v/>
      </c>
      <c r="O459" s="5" t="str">
        <f>ONLINE!H52</f>
        <v/>
      </c>
      <c r="P459" s="5" t="str">
        <f>ONLINE!I52</f>
        <v/>
      </c>
      <c r="Q459" s="5" t="str">
        <f>ONLINE!J52</f>
        <v/>
      </c>
      <c r="R459" s="2" t="str">
        <f>ONLINE!K52</f>
        <v/>
      </c>
      <c r="S459" s="2" t="str">
        <f>ONLINE!L52</f>
        <v/>
      </c>
      <c r="T459" s="2" t="str">
        <f>ONLINE!M52</f>
        <v/>
      </c>
      <c r="U459" s="34" t="str">
        <f>ONLINE!N52</f>
        <v/>
      </c>
      <c r="V459" s="34" t="str">
        <f>ONLINE!O52</f>
        <v/>
      </c>
      <c r="W459" s="2" t="str">
        <f>ONLINE!P52</f>
        <v/>
      </c>
      <c r="X459" s="34">
        <f>ONLINE!Q52</f>
        <v>0</v>
      </c>
      <c r="Y459" s="1"/>
      <c r="Z459" s="1"/>
      <c r="AA459" s="1"/>
    </row>
    <row r="460">
      <c r="A460" s="1"/>
      <c r="B460" s="14">
        <f t="shared" si="11"/>
        <v>49</v>
      </c>
      <c r="C460" s="15" t="str">
        <f t="shared" si="1"/>
        <v>diciembre</v>
      </c>
      <c r="D460" s="15">
        <f t="shared" si="2"/>
        <v>52</v>
      </c>
      <c r="E460" s="16" t="str">
        <f t="shared" si="3"/>
        <v>sábado</v>
      </c>
      <c r="F460" s="15">
        <f t="shared" si="4"/>
        <v>30</v>
      </c>
      <c r="G460" s="15" t="s">
        <v>24</v>
      </c>
      <c r="H460" s="3" t="str">
        <f>ONLINE!$G$3</f>
        <v>online</v>
      </c>
      <c r="I460" s="24" t="str">
        <f>ONLINE!B53</f>
        <v/>
      </c>
      <c r="J460" s="2" t="str">
        <f>ONLINE!C53</f>
        <v/>
      </c>
      <c r="K460" s="2" t="str">
        <f>ONLINE!D53</f>
        <v/>
      </c>
      <c r="L460" s="2" t="str">
        <f>ONLINE!E53</f>
        <v/>
      </c>
      <c r="M460" s="2" t="str">
        <f>ONLINE!F53</f>
        <v/>
      </c>
      <c r="N460" s="2" t="str">
        <f>ONLINE!G53</f>
        <v/>
      </c>
      <c r="O460" s="5" t="str">
        <f>ONLINE!H53</f>
        <v/>
      </c>
      <c r="P460" s="5" t="str">
        <f>ONLINE!I53</f>
        <v/>
      </c>
      <c r="Q460" s="5" t="str">
        <f>ONLINE!J53</f>
        <v/>
      </c>
      <c r="R460" s="2" t="str">
        <f>ONLINE!K53</f>
        <v/>
      </c>
      <c r="S460" s="2" t="str">
        <f>ONLINE!L53</f>
        <v/>
      </c>
      <c r="T460" s="2" t="str">
        <f>ONLINE!M53</f>
        <v/>
      </c>
      <c r="U460" s="34" t="str">
        <f>ONLINE!N53</f>
        <v/>
      </c>
      <c r="V460" s="34" t="str">
        <f>ONLINE!O53</f>
        <v/>
      </c>
      <c r="W460" s="2" t="str">
        <f>ONLINE!P53</f>
        <v/>
      </c>
      <c r="X460" s="34">
        <f>ONLINE!Q53</f>
        <v>0</v>
      </c>
      <c r="Y460" s="1"/>
      <c r="Z460" s="1"/>
      <c r="AA460" s="1"/>
    </row>
    <row r="461">
      <c r="A461" s="1"/>
      <c r="B461" s="14">
        <f t="shared" si="11"/>
        <v>50</v>
      </c>
      <c r="C461" s="15" t="str">
        <f t="shared" si="1"/>
        <v>diciembre</v>
      </c>
      <c r="D461" s="15">
        <f t="shared" si="2"/>
        <v>52</v>
      </c>
      <c r="E461" s="16" t="str">
        <f t="shared" si="3"/>
        <v>sábado</v>
      </c>
      <c r="F461" s="15">
        <f t="shared" si="4"/>
        <v>30</v>
      </c>
      <c r="G461" s="15" t="s">
        <v>24</v>
      </c>
      <c r="H461" s="3" t="str">
        <f>ONLINE!$G$3</f>
        <v>online</v>
      </c>
      <c r="I461" s="24" t="str">
        <f>ONLINE!B54</f>
        <v/>
      </c>
      <c r="J461" s="2" t="str">
        <f>ONLINE!C54</f>
        <v/>
      </c>
      <c r="K461" s="2" t="str">
        <f>ONLINE!D54</f>
        <v/>
      </c>
      <c r="L461" s="2" t="str">
        <f>ONLINE!E54</f>
        <v/>
      </c>
      <c r="M461" s="2" t="str">
        <f>ONLINE!F54</f>
        <v/>
      </c>
      <c r="N461" s="2" t="str">
        <f>ONLINE!G54</f>
        <v/>
      </c>
      <c r="O461" s="5" t="str">
        <f>ONLINE!H54</f>
        <v/>
      </c>
      <c r="P461" s="5" t="str">
        <f>ONLINE!I54</f>
        <v/>
      </c>
      <c r="Q461" s="5" t="str">
        <f>ONLINE!J54</f>
        <v/>
      </c>
      <c r="R461" s="2" t="str">
        <f>ONLINE!K54</f>
        <v/>
      </c>
      <c r="S461" s="2" t="str">
        <f>ONLINE!L54</f>
        <v/>
      </c>
      <c r="T461" s="2" t="str">
        <f>ONLINE!M54</f>
        <v/>
      </c>
      <c r="U461" s="34" t="str">
        <f>ONLINE!N54</f>
        <v/>
      </c>
      <c r="V461" s="34" t="str">
        <f>ONLINE!O54</f>
        <v/>
      </c>
      <c r="W461" s="2" t="str">
        <f>ONLINE!P54</f>
        <v/>
      </c>
      <c r="X461" s="34">
        <f>ONLINE!Q54</f>
        <v>0</v>
      </c>
      <c r="Y461" s="1"/>
      <c r="Z461" s="1"/>
      <c r="AA461" s="1"/>
    </row>
    <row r="462">
      <c r="A462" s="1"/>
      <c r="B462" s="14">
        <f t="shared" si="11"/>
        <v>51</v>
      </c>
      <c r="C462" s="15" t="str">
        <f t="shared" si="1"/>
        <v>diciembre</v>
      </c>
      <c r="D462" s="15">
        <f t="shared" si="2"/>
        <v>52</v>
      </c>
      <c r="E462" s="16" t="str">
        <f t="shared" si="3"/>
        <v>sábado</v>
      </c>
      <c r="F462" s="15">
        <f t="shared" si="4"/>
        <v>30</v>
      </c>
      <c r="G462" s="15" t="s">
        <v>24</v>
      </c>
      <c r="H462" s="3" t="str">
        <f>ONLINE!$G$3</f>
        <v>online</v>
      </c>
      <c r="I462" s="24" t="str">
        <f>ONLINE!B55</f>
        <v/>
      </c>
      <c r="J462" s="2" t="str">
        <f>ONLINE!C55</f>
        <v/>
      </c>
      <c r="K462" s="2" t="str">
        <f>ONLINE!D55</f>
        <v/>
      </c>
      <c r="L462" s="2" t="str">
        <f>ONLINE!E55</f>
        <v/>
      </c>
      <c r="M462" s="2" t="str">
        <f>ONLINE!F55</f>
        <v/>
      </c>
      <c r="N462" s="2" t="str">
        <f>ONLINE!G55</f>
        <v/>
      </c>
      <c r="O462" s="5" t="str">
        <f>ONLINE!H55</f>
        <v/>
      </c>
      <c r="P462" s="5" t="str">
        <f>ONLINE!I55</f>
        <v/>
      </c>
      <c r="Q462" s="5" t="str">
        <f>ONLINE!J55</f>
        <v/>
      </c>
      <c r="R462" s="2" t="str">
        <f>ONLINE!K55</f>
        <v/>
      </c>
      <c r="S462" s="2" t="str">
        <f>ONLINE!L55</f>
        <v/>
      </c>
      <c r="T462" s="2" t="str">
        <f>ONLINE!M55</f>
        <v/>
      </c>
      <c r="U462" s="34" t="str">
        <f>ONLINE!N55</f>
        <v/>
      </c>
      <c r="V462" s="34" t="str">
        <f>ONLINE!O55</f>
        <v/>
      </c>
      <c r="W462" s="2" t="str">
        <f>ONLINE!P55</f>
        <v/>
      </c>
      <c r="X462" s="34">
        <f>ONLINE!Q55</f>
        <v>0</v>
      </c>
      <c r="Y462" s="1"/>
      <c r="Z462" s="1"/>
      <c r="AA462" s="1"/>
    </row>
    <row r="463">
      <c r="A463" s="1"/>
      <c r="B463" s="14">
        <f t="shared" si="11"/>
        <v>52</v>
      </c>
      <c r="C463" s="15" t="str">
        <f t="shared" si="1"/>
        <v>diciembre</v>
      </c>
      <c r="D463" s="15">
        <f t="shared" si="2"/>
        <v>52</v>
      </c>
      <c r="E463" s="16" t="str">
        <f t="shared" si="3"/>
        <v>sábado</v>
      </c>
      <c r="F463" s="15">
        <f t="shared" si="4"/>
        <v>30</v>
      </c>
      <c r="G463" s="15" t="s">
        <v>24</v>
      </c>
      <c r="H463" s="3" t="str">
        <f>ONLINE!$G$3</f>
        <v>online</v>
      </c>
      <c r="I463" s="24" t="str">
        <f>ONLINE!B56</f>
        <v/>
      </c>
      <c r="J463" s="2" t="str">
        <f>ONLINE!C56</f>
        <v/>
      </c>
      <c r="K463" s="2" t="str">
        <f>ONLINE!D56</f>
        <v/>
      </c>
      <c r="L463" s="2" t="str">
        <f>ONLINE!E56</f>
        <v/>
      </c>
      <c r="M463" s="2" t="str">
        <f>ONLINE!F56</f>
        <v/>
      </c>
      <c r="N463" s="2" t="str">
        <f>ONLINE!G56</f>
        <v/>
      </c>
      <c r="O463" s="5" t="str">
        <f>ONLINE!H56</f>
        <v/>
      </c>
      <c r="P463" s="5" t="str">
        <f>ONLINE!I56</f>
        <v/>
      </c>
      <c r="Q463" s="5" t="str">
        <f>ONLINE!J56</f>
        <v/>
      </c>
      <c r="R463" s="2" t="str">
        <f>ONLINE!K56</f>
        <v/>
      </c>
      <c r="S463" s="2" t="str">
        <f>ONLINE!L56</f>
        <v/>
      </c>
      <c r="T463" s="2" t="str">
        <f>ONLINE!M56</f>
        <v/>
      </c>
      <c r="U463" s="34" t="str">
        <f>ONLINE!N56</f>
        <v/>
      </c>
      <c r="V463" s="34" t="str">
        <f>ONLINE!O56</f>
        <v/>
      </c>
      <c r="W463" s="2" t="str">
        <f>ONLINE!P56</f>
        <v/>
      </c>
      <c r="X463" s="34">
        <f>ONLINE!Q56</f>
        <v>0</v>
      </c>
      <c r="Y463" s="1"/>
      <c r="Z463" s="1"/>
      <c r="AA463" s="1"/>
    </row>
    <row r="464">
      <c r="A464" s="1"/>
      <c r="B464" s="14">
        <f t="shared" si="11"/>
        <v>53</v>
      </c>
      <c r="C464" s="15" t="str">
        <f t="shared" si="1"/>
        <v>diciembre</v>
      </c>
      <c r="D464" s="15">
        <f t="shared" si="2"/>
        <v>52</v>
      </c>
      <c r="E464" s="16" t="str">
        <f t="shared" si="3"/>
        <v>sábado</v>
      </c>
      <c r="F464" s="15">
        <f t="shared" si="4"/>
        <v>30</v>
      </c>
      <c r="G464" s="15" t="s">
        <v>24</v>
      </c>
      <c r="H464" s="3" t="str">
        <f>ONLINE!$G$3</f>
        <v>online</v>
      </c>
      <c r="I464" s="24" t="str">
        <f>ONLINE!B57</f>
        <v/>
      </c>
      <c r="J464" s="2" t="str">
        <f>ONLINE!C57</f>
        <v/>
      </c>
      <c r="K464" s="2" t="str">
        <f>ONLINE!D57</f>
        <v/>
      </c>
      <c r="L464" s="2" t="str">
        <f>ONLINE!E57</f>
        <v/>
      </c>
      <c r="M464" s="2" t="str">
        <f>ONLINE!F57</f>
        <v/>
      </c>
      <c r="N464" s="2" t="str">
        <f>ONLINE!G57</f>
        <v/>
      </c>
      <c r="O464" s="5" t="str">
        <f>ONLINE!H57</f>
        <v/>
      </c>
      <c r="P464" s="5" t="str">
        <f>ONLINE!I57</f>
        <v/>
      </c>
      <c r="Q464" s="5" t="str">
        <f>ONLINE!J57</f>
        <v/>
      </c>
      <c r="R464" s="2" t="str">
        <f>ONLINE!K57</f>
        <v/>
      </c>
      <c r="S464" s="2" t="str">
        <f>ONLINE!L57</f>
        <v/>
      </c>
      <c r="T464" s="2" t="str">
        <f>ONLINE!M57</f>
        <v/>
      </c>
      <c r="U464" s="34" t="str">
        <f>ONLINE!N57</f>
        <v/>
      </c>
      <c r="V464" s="34" t="str">
        <f>ONLINE!O57</f>
        <v/>
      </c>
      <c r="W464" s="2" t="str">
        <f>ONLINE!P57</f>
        <v/>
      </c>
      <c r="X464" s="34">
        <f>ONLINE!Q57</f>
        <v>0</v>
      </c>
      <c r="Y464" s="1"/>
      <c r="Z464" s="1"/>
      <c r="AA464" s="1"/>
    </row>
    <row r="465">
      <c r="A465" s="1"/>
      <c r="B465" s="14">
        <f t="shared" si="11"/>
        <v>54</v>
      </c>
      <c r="C465" s="15" t="str">
        <f t="shared" si="1"/>
        <v>diciembre</v>
      </c>
      <c r="D465" s="15">
        <f t="shared" si="2"/>
        <v>52</v>
      </c>
      <c r="E465" s="16" t="str">
        <f t="shared" si="3"/>
        <v>sábado</v>
      </c>
      <c r="F465" s="15">
        <f t="shared" si="4"/>
        <v>30</v>
      </c>
      <c r="G465" s="15" t="s">
        <v>24</v>
      </c>
      <c r="H465" s="3" t="str">
        <f>ONLINE!$G$3</f>
        <v>online</v>
      </c>
      <c r="I465" s="24" t="str">
        <f>ONLINE!B58</f>
        <v/>
      </c>
      <c r="J465" s="2" t="str">
        <f>ONLINE!C58</f>
        <v/>
      </c>
      <c r="K465" s="2" t="str">
        <f>ONLINE!D58</f>
        <v/>
      </c>
      <c r="L465" s="2" t="str">
        <f>ONLINE!E58</f>
        <v/>
      </c>
      <c r="M465" s="2" t="str">
        <f>ONLINE!F58</f>
        <v/>
      </c>
      <c r="N465" s="2" t="str">
        <f>ONLINE!G58</f>
        <v/>
      </c>
      <c r="O465" s="5" t="str">
        <f>ONLINE!H58</f>
        <v/>
      </c>
      <c r="P465" s="5" t="str">
        <f>ONLINE!I58</f>
        <v/>
      </c>
      <c r="Q465" s="5" t="str">
        <f>ONLINE!J58</f>
        <v/>
      </c>
      <c r="R465" s="2" t="str">
        <f>ONLINE!K58</f>
        <v/>
      </c>
      <c r="S465" s="2" t="str">
        <f>ONLINE!L58</f>
        <v/>
      </c>
      <c r="T465" s="2" t="str">
        <f>ONLINE!M58</f>
        <v/>
      </c>
      <c r="U465" s="34" t="str">
        <f>ONLINE!N58</f>
        <v/>
      </c>
      <c r="V465" s="34" t="str">
        <f>ONLINE!O58</f>
        <v/>
      </c>
      <c r="W465" s="2" t="str">
        <f>ONLINE!P58</f>
        <v/>
      </c>
      <c r="X465" s="34">
        <f>ONLINE!Q58</f>
        <v>0</v>
      </c>
      <c r="Y465" s="1"/>
      <c r="Z465" s="1"/>
      <c r="AA465" s="1"/>
    </row>
    <row r="466">
      <c r="A466" s="1"/>
      <c r="B466" s="14">
        <f t="shared" si="11"/>
        <v>55</v>
      </c>
      <c r="C466" s="15" t="str">
        <f t="shared" si="1"/>
        <v>diciembre</v>
      </c>
      <c r="D466" s="15">
        <f t="shared" si="2"/>
        <v>52</v>
      </c>
      <c r="E466" s="16" t="str">
        <f t="shared" si="3"/>
        <v>sábado</v>
      </c>
      <c r="F466" s="15">
        <f t="shared" si="4"/>
        <v>30</v>
      </c>
      <c r="G466" s="15" t="s">
        <v>24</v>
      </c>
      <c r="H466" s="3" t="str">
        <f>ONLINE!$G$3</f>
        <v>online</v>
      </c>
      <c r="I466" s="24" t="str">
        <f>ONLINE!B59</f>
        <v/>
      </c>
      <c r="J466" s="2" t="str">
        <f>ONLINE!C59</f>
        <v/>
      </c>
      <c r="K466" s="2" t="str">
        <f>ONLINE!D59</f>
        <v/>
      </c>
      <c r="L466" s="2" t="str">
        <f>ONLINE!E59</f>
        <v/>
      </c>
      <c r="M466" s="2" t="str">
        <f>ONLINE!F59</f>
        <v/>
      </c>
      <c r="N466" s="2" t="str">
        <f>ONLINE!G59</f>
        <v/>
      </c>
      <c r="O466" s="5" t="str">
        <f>ONLINE!H59</f>
        <v/>
      </c>
      <c r="P466" s="5" t="str">
        <f>ONLINE!I59</f>
        <v/>
      </c>
      <c r="Q466" s="5" t="str">
        <f>ONLINE!J59</f>
        <v/>
      </c>
      <c r="R466" s="2" t="str">
        <f>ONLINE!K59</f>
        <v/>
      </c>
      <c r="S466" s="2" t="str">
        <f>ONLINE!L59</f>
        <v/>
      </c>
      <c r="T466" s="2" t="str">
        <f>ONLINE!M59</f>
        <v/>
      </c>
      <c r="U466" s="34" t="str">
        <f>ONLINE!N59</f>
        <v/>
      </c>
      <c r="V466" s="34" t="str">
        <f>ONLINE!O59</f>
        <v/>
      </c>
      <c r="W466" s="2" t="str">
        <f>ONLINE!P59</f>
        <v/>
      </c>
      <c r="X466" s="34">
        <f>ONLINE!Q59</f>
        <v>0</v>
      </c>
      <c r="Y466" s="1"/>
      <c r="Z466" s="1"/>
      <c r="AA466" s="1"/>
    </row>
    <row r="467">
      <c r="A467" s="1"/>
      <c r="B467" s="14">
        <f t="shared" si="11"/>
        <v>56</v>
      </c>
      <c r="C467" s="15" t="str">
        <f t="shared" si="1"/>
        <v>diciembre</v>
      </c>
      <c r="D467" s="15">
        <f t="shared" si="2"/>
        <v>52</v>
      </c>
      <c r="E467" s="16" t="str">
        <f t="shared" si="3"/>
        <v>sábado</v>
      </c>
      <c r="F467" s="15">
        <f t="shared" si="4"/>
        <v>30</v>
      </c>
      <c r="G467" s="15" t="s">
        <v>24</v>
      </c>
      <c r="H467" s="3" t="str">
        <f>ONLINE!$G$3</f>
        <v>online</v>
      </c>
      <c r="I467" s="24" t="str">
        <f>ONLINE!B60</f>
        <v/>
      </c>
      <c r="J467" s="2" t="str">
        <f>ONLINE!C60</f>
        <v/>
      </c>
      <c r="K467" s="2" t="str">
        <f>ONLINE!D60</f>
        <v/>
      </c>
      <c r="L467" s="2" t="str">
        <f>ONLINE!E60</f>
        <v/>
      </c>
      <c r="M467" s="2" t="str">
        <f>ONLINE!F60</f>
        <v/>
      </c>
      <c r="N467" s="2" t="str">
        <f>ONLINE!G60</f>
        <v/>
      </c>
      <c r="O467" s="5" t="str">
        <f>ONLINE!H60</f>
        <v/>
      </c>
      <c r="P467" s="5" t="str">
        <f>ONLINE!I60</f>
        <v/>
      </c>
      <c r="Q467" s="5" t="str">
        <f>ONLINE!J60</f>
        <v/>
      </c>
      <c r="R467" s="2" t="str">
        <f>ONLINE!K60</f>
        <v/>
      </c>
      <c r="S467" s="2" t="str">
        <f>ONLINE!L60</f>
        <v/>
      </c>
      <c r="T467" s="2" t="str">
        <f>ONLINE!M60</f>
        <v/>
      </c>
      <c r="U467" s="34" t="str">
        <f>ONLINE!N60</f>
        <v/>
      </c>
      <c r="V467" s="34" t="str">
        <f>ONLINE!O60</f>
        <v/>
      </c>
      <c r="W467" s="2" t="str">
        <f>ONLINE!P60</f>
        <v/>
      </c>
      <c r="X467" s="34">
        <f>ONLINE!Q60</f>
        <v>0</v>
      </c>
      <c r="Y467" s="1"/>
      <c r="Z467" s="1"/>
      <c r="AA467" s="1"/>
    </row>
    <row r="468">
      <c r="A468" s="1"/>
      <c r="B468" s="14">
        <f t="shared" si="11"/>
        <v>57</v>
      </c>
      <c r="C468" s="15" t="str">
        <f t="shared" si="1"/>
        <v>diciembre</v>
      </c>
      <c r="D468" s="15">
        <f t="shared" si="2"/>
        <v>52</v>
      </c>
      <c r="E468" s="16" t="str">
        <f t="shared" si="3"/>
        <v>sábado</v>
      </c>
      <c r="F468" s="15">
        <f t="shared" si="4"/>
        <v>30</v>
      </c>
      <c r="G468" s="15" t="s">
        <v>24</v>
      </c>
      <c r="H468" s="3" t="str">
        <f>ONLINE!$G$3</f>
        <v>online</v>
      </c>
      <c r="I468" s="24" t="str">
        <f>ONLINE!B61</f>
        <v/>
      </c>
      <c r="J468" s="2" t="str">
        <f>ONLINE!C61</f>
        <v/>
      </c>
      <c r="K468" s="2" t="str">
        <f>ONLINE!D61</f>
        <v/>
      </c>
      <c r="L468" s="2" t="str">
        <f>ONLINE!E61</f>
        <v/>
      </c>
      <c r="M468" s="2" t="str">
        <f>ONLINE!F61</f>
        <v/>
      </c>
      <c r="N468" s="2" t="str">
        <f>ONLINE!G61</f>
        <v/>
      </c>
      <c r="O468" s="5" t="str">
        <f>ONLINE!H61</f>
        <v/>
      </c>
      <c r="P468" s="5" t="str">
        <f>ONLINE!I61</f>
        <v/>
      </c>
      <c r="Q468" s="5" t="str">
        <f>ONLINE!J61</f>
        <v/>
      </c>
      <c r="R468" s="2" t="str">
        <f>ONLINE!K61</f>
        <v/>
      </c>
      <c r="S468" s="2" t="str">
        <f>ONLINE!L61</f>
        <v/>
      </c>
      <c r="T468" s="2" t="str">
        <f>ONLINE!M61</f>
        <v/>
      </c>
      <c r="U468" s="34" t="str">
        <f>ONLINE!N61</f>
        <v/>
      </c>
      <c r="V468" s="34" t="str">
        <f>ONLINE!O61</f>
        <v/>
      </c>
      <c r="W468" s="2" t="str">
        <f>ONLINE!P61</f>
        <v/>
      </c>
      <c r="X468" s="34">
        <f>ONLINE!Q61</f>
        <v>0</v>
      </c>
      <c r="Y468" s="1"/>
      <c r="Z468" s="1"/>
      <c r="AA468" s="1"/>
    </row>
    <row r="469">
      <c r="A469" s="1"/>
      <c r="B469" s="14">
        <f t="shared" si="11"/>
        <v>58</v>
      </c>
      <c r="C469" s="15" t="str">
        <f t="shared" si="1"/>
        <v>diciembre</v>
      </c>
      <c r="D469" s="15">
        <f t="shared" si="2"/>
        <v>52</v>
      </c>
      <c r="E469" s="16" t="str">
        <f t="shared" si="3"/>
        <v>sábado</v>
      </c>
      <c r="F469" s="15">
        <f t="shared" si="4"/>
        <v>30</v>
      </c>
      <c r="G469" s="15" t="s">
        <v>24</v>
      </c>
      <c r="H469" s="3" t="str">
        <f>ONLINE!$G$3</f>
        <v>online</v>
      </c>
      <c r="I469" s="24" t="str">
        <f>ONLINE!B62</f>
        <v/>
      </c>
      <c r="J469" s="2" t="str">
        <f>ONLINE!C62</f>
        <v/>
      </c>
      <c r="K469" s="2" t="str">
        <f>ONLINE!D62</f>
        <v/>
      </c>
      <c r="L469" s="2" t="str">
        <f>ONLINE!E62</f>
        <v/>
      </c>
      <c r="M469" s="2" t="str">
        <f>ONLINE!F62</f>
        <v/>
      </c>
      <c r="N469" s="2" t="str">
        <f>ONLINE!G62</f>
        <v/>
      </c>
      <c r="O469" s="5" t="str">
        <f>ONLINE!H62</f>
        <v/>
      </c>
      <c r="P469" s="5" t="str">
        <f>ONLINE!I62</f>
        <v/>
      </c>
      <c r="Q469" s="5" t="str">
        <f>ONLINE!J62</f>
        <v/>
      </c>
      <c r="R469" s="2" t="str">
        <f>ONLINE!K62</f>
        <v/>
      </c>
      <c r="S469" s="2" t="str">
        <f>ONLINE!L62</f>
        <v/>
      </c>
      <c r="T469" s="2" t="str">
        <f>ONLINE!M62</f>
        <v/>
      </c>
      <c r="U469" s="34" t="str">
        <f>ONLINE!N62</f>
        <v/>
      </c>
      <c r="V469" s="34" t="str">
        <f>ONLINE!O62</f>
        <v/>
      </c>
      <c r="W469" s="2" t="str">
        <f>ONLINE!P62</f>
        <v/>
      </c>
      <c r="X469" s="34">
        <f>ONLINE!Q62</f>
        <v>0</v>
      </c>
      <c r="Y469" s="1"/>
      <c r="Z469" s="1"/>
      <c r="AA469" s="1"/>
    </row>
    <row r="470">
      <c r="A470" s="1"/>
      <c r="B470" s="14">
        <f t="shared" si="11"/>
        <v>59</v>
      </c>
      <c r="C470" s="15" t="str">
        <f t="shared" si="1"/>
        <v>diciembre</v>
      </c>
      <c r="D470" s="15">
        <f t="shared" si="2"/>
        <v>52</v>
      </c>
      <c r="E470" s="16" t="str">
        <f t="shared" si="3"/>
        <v>sábado</v>
      </c>
      <c r="F470" s="15">
        <f t="shared" si="4"/>
        <v>30</v>
      </c>
      <c r="G470" s="15" t="s">
        <v>24</v>
      </c>
      <c r="H470" s="3" t="str">
        <f>ONLINE!$G$3</f>
        <v>online</v>
      </c>
      <c r="I470" s="24" t="str">
        <f>ONLINE!B63</f>
        <v/>
      </c>
      <c r="J470" s="2" t="str">
        <f>ONLINE!C63</f>
        <v/>
      </c>
      <c r="K470" s="2" t="str">
        <f>ONLINE!D63</f>
        <v/>
      </c>
      <c r="L470" s="2" t="str">
        <f>ONLINE!E63</f>
        <v/>
      </c>
      <c r="M470" s="2" t="str">
        <f>ONLINE!F63</f>
        <v/>
      </c>
      <c r="N470" s="2" t="str">
        <f>ONLINE!G63</f>
        <v/>
      </c>
      <c r="O470" s="5" t="str">
        <f>ONLINE!H63</f>
        <v/>
      </c>
      <c r="P470" s="5" t="str">
        <f>ONLINE!I63</f>
        <v/>
      </c>
      <c r="Q470" s="5" t="str">
        <f>ONLINE!J63</f>
        <v/>
      </c>
      <c r="R470" s="2" t="str">
        <f>ONLINE!K63</f>
        <v/>
      </c>
      <c r="S470" s="2" t="str">
        <f>ONLINE!L63</f>
        <v/>
      </c>
      <c r="T470" s="2" t="str">
        <f>ONLINE!M63</f>
        <v/>
      </c>
      <c r="U470" s="34" t="str">
        <f>ONLINE!N63</f>
        <v/>
      </c>
      <c r="V470" s="34" t="str">
        <f>ONLINE!O63</f>
        <v/>
      </c>
      <c r="W470" s="2" t="str">
        <f>ONLINE!P63</f>
        <v/>
      </c>
      <c r="X470" s="34">
        <f>ONLINE!Q63</f>
        <v>0</v>
      </c>
      <c r="Y470" s="1"/>
      <c r="Z470" s="1"/>
      <c r="AA470" s="1"/>
    </row>
    <row r="471">
      <c r="A471" s="1"/>
      <c r="B471" s="14">
        <f t="shared" si="11"/>
        <v>60</v>
      </c>
      <c r="C471" s="15" t="str">
        <f t="shared" si="1"/>
        <v>diciembre</v>
      </c>
      <c r="D471" s="15">
        <f t="shared" si="2"/>
        <v>52</v>
      </c>
      <c r="E471" s="16" t="str">
        <f t="shared" si="3"/>
        <v>sábado</v>
      </c>
      <c r="F471" s="15">
        <f t="shared" si="4"/>
        <v>30</v>
      </c>
      <c r="G471" s="15" t="s">
        <v>24</v>
      </c>
      <c r="H471" s="3" t="str">
        <f>ONLINE!$G$3</f>
        <v>online</v>
      </c>
      <c r="I471" s="24" t="str">
        <f>ONLINE!B64</f>
        <v/>
      </c>
      <c r="J471" s="2" t="str">
        <f>ONLINE!C64</f>
        <v/>
      </c>
      <c r="K471" s="2" t="str">
        <f>ONLINE!D64</f>
        <v/>
      </c>
      <c r="L471" s="2" t="str">
        <f>ONLINE!E64</f>
        <v/>
      </c>
      <c r="M471" s="2" t="str">
        <f>ONLINE!F64</f>
        <v/>
      </c>
      <c r="N471" s="2" t="str">
        <f>ONLINE!G64</f>
        <v/>
      </c>
      <c r="O471" s="5" t="str">
        <f>ONLINE!H64</f>
        <v/>
      </c>
      <c r="P471" s="5" t="str">
        <f>ONLINE!I64</f>
        <v/>
      </c>
      <c r="Q471" s="5" t="str">
        <f>ONLINE!J64</f>
        <v/>
      </c>
      <c r="R471" s="2" t="str">
        <f>ONLINE!K64</f>
        <v/>
      </c>
      <c r="S471" s="2" t="str">
        <f>ONLINE!L64</f>
        <v/>
      </c>
      <c r="T471" s="2" t="str">
        <f>ONLINE!M64</f>
        <v/>
      </c>
      <c r="U471" s="34" t="str">
        <f>ONLINE!N64</f>
        <v/>
      </c>
      <c r="V471" s="34" t="str">
        <f>ONLINE!O64</f>
        <v/>
      </c>
      <c r="W471" s="2" t="str">
        <f>ONLINE!P64</f>
        <v/>
      </c>
      <c r="X471" s="34">
        <f>ONLINE!Q64</f>
        <v>0</v>
      </c>
      <c r="Y471" s="1"/>
      <c r="Z471" s="1"/>
      <c r="AA471" s="1"/>
    </row>
    <row r="472">
      <c r="A472" s="1"/>
      <c r="B472" s="14">
        <f t="shared" si="11"/>
        <v>61</v>
      </c>
      <c r="C472" s="15" t="str">
        <f t="shared" si="1"/>
        <v>diciembre</v>
      </c>
      <c r="D472" s="15">
        <f t="shared" si="2"/>
        <v>52</v>
      </c>
      <c r="E472" s="16" t="str">
        <f t="shared" si="3"/>
        <v>sábado</v>
      </c>
      <c r="F472" s="15">
        <f t="shared" si="4"/>
        <v>30</v>
      </c>
      <c r="G472" s="15" t="s">
        <v>24</v>
      </c>
      <c r="H472" s="3" t="str">
        <f>ONLINE!$G$3</f>
        <v>online</v>
      </c>
      <c r="I472" s="24" t="str">
        <f>ONLINE!B65</f>
        <v/>
      </c>
      <c r="J472" s="2" t="str">
        <f>ONLINE!C65</f>
        <v/>
      </c>
      <c r="K472" s="2" t="str">
        <f>ONLINE!D65</f>
        <v/>
      </c>
      <c r="L472" s="2" t="str">
        <f>ONLINE!E65</f>
        <v/>
      </c>
      <c r="M472" s="2" t="str">
        <f>ONLINE!F65</f>
        <v/>
      </c>
      <c r="N472" s="2" t="str">
        <f>ONLINE!G65</f>
        <v/>
      </c>
      <c r="O472" s="5" t="str">
        <f>ONLINE!H65</f>
        <v/>
      </c>
      <c r="P472" s="5" t="str">
        <f>ONLINE!I65</f>
        <v/>
      </c>
      <c r="Q472" s="5" t="str">
        <f>ONLINE!J65</f>
        <v/>
      </c>
      <c r="R472" s="2" t="str">
        <f>ONLINE!K65</f>
        <v/>
      </c>
      <c r="S472" s="2" t="str">
        <f>ONLINE!L65</f>
        <v/>
      </c>
      <c r="T472" s="2" t="str">
        <f>ONLINE!M65</f>
        <v/>
      </c>
      <c r="U472" s="34" t="str">
        <f>ONLINE!N65</f>
        <v/>
      </c>
      <c r="V472" s="34" t="str">
        <f>ONLINE!O65</f>
        <v/>
      </c>
      <c r="W472" s="2" t="str">
        <f>ONLINE!P65</f>
        <v/>
      </c>
      <c r="X472" s="34">
        <f>ONLINE!Q65</f>
        <v>0</v>
      </c>
      <c r="Y472" s="1"/>
      <c r="Z472" s="1"/>
      <c r="AA472" s="1"/>
    </row>
    <row r="473">
      <c r="A473" s="1"/>
      <c r="B473" s="14">
        <f t="shared" si="11"/>
        <v>62</v>
      </c>
      <c r="C473" s="15" t="str">
        <f t="shared" si="1"/>
        <v>diciembre</v>
      </c>
      <c r="D473" s="15">
        <f t="shared" si="2"/>
        <v>52</v>
      </c>
      <c r="E473" s="16" t="str">
        <f t="shared" si="3"/>
        <v>sábado</v>
      </c>
      <c r="F473" s="15">
        <f t="shared" si="4"/>
        <v>30</v>
      </c>
      <c r="G473" s="15" t="s">
        <v>24</v>
      </c>
      <c r="H473" s="3" t="str">
        <f>ONLINE!$G$3</f>
        <v>online</v>
      </c>
      <c r="I473" s="24" t="str">
        <f>ONLINE!B66</f>
        <v/>
      </c>
      <c r="J473" s="2" t="str">
        <f>ONLINE!C66</f>
        <v/>
      </c>
      <c r="K473" s="2" t="str">
        <f>ONLINE!D66</f>
        <v/>
      </c>
      <c r="L473" s="2" t="str">
        <f>ONLINE!E66</f>
        <v/>
      </c>
      <c r="M473" s="2" t="str">
        <f>ONLINE!F66</f>
        <v/>
      </c>
      <c r="N473" s="2" t="str">
        <f>ONLINE!G66</f>
        <v/>
      </c>
      <c r="O473" s="5" t="str">
        <f>ONLINE!H66</f>
        <v/>
      </c>
      <c r="P473" s="5" t="str">
        <f>ONLINE!I66</f>
        <v/>
      </c>
      <c r="Q473" s="5" t="str">
        <f>ONLINE!J66</f>
        <v/>
      </c>
      <c r="R473" s="2" t="str">
        <f>ONLINE!K66</f>
        <v/>
      </c>
      <c r="S473" s="2" t="str">
        <f>ONLINE!L66</f>
        <v/>
      </c>
      <c r="T473" s="2" t="str">
        <f>ONLINE!M66</f>
        <v/>
      </c>
      <c r="U473" s="34" t="str">
        <f>ONLINE!N66</f>
        <v/>
      </c>
      <c r="V473" s="34" t="str">
        <f>ONLINE!O66</f>
        <v/>
      </c>
      <c r="W473" s="2" t="str">
        <f>ONLINE!P66</f>
        <v/>
      </c>
      <c r="X473" s="34">
        <f>ONLINE!Q66</f>
        <v>0</v>
      </c>
      <c r="Y473" s="1"/>
      <c r="Z473" s="1"/>
      <c r="AA473" s="1"/>
    </row>
    <row r="474">
      <c r="A474" s="1"/>
      <c r="B474" s="14">
        <f t="shared" si="11"/>
        <v>63</v>
      </c>
      <c r="C474" s="15" t="str">
        <f t="shared" si="1"/>
        <v>diciembre</v>
      </c>
      <c r="D474" s="15">
        <f t="shared" si="2"/>
        <v>52</v>
      </c>
      <c r="E474" s="16" t="str">
        <f t="shared" si="3"/>
        <v>sábado</v>
      </c>
      <c r="F474" s="15">
        <f t="shared" si="4"/>
        <v>30</v>
      </c>
      <c r="G474" s="15" t="s">
        <v>24</v>
      </c>
      <c r="H474" s="3" t="str">
        <f>ONLINE!$G$3</f>
        <v>online</v>
      </c>
      <c r="I474" s="24" t="str">
        <f>ONLINE!B67</f>
        <v/>
      </c>
      <c r="J474" s="2" t="str">
        <f>ONLINE!C67</f>
        <v/>
      </c>
      <c r="K474" s="2" t="str">
        <f>ONLINE!D67</f>
        <v/>
      </c>
      <c r="L474" s="2" t="str">
        <f>ONLINE!E67</f>
        <v/>
      </c>
      <c r="M474" s="2" t="str">
        <f>ONLINE!F67</f>
        <v/>
      </c>
      <c r="N474" s="2" t="str">
        <f>ONLINE!G67</f>
        <v/>
      </c>
      <c r="O474" s="5" t="str">
        <f>ONLINE!H67</f>
        <v/>
      </c>
      <c r="P474" s="5" t="str">
        <f>ONLINE!I67</f>
        <v/>
      </c>
      <c r="Q474" s="5" t="str">
        <f>ONLINE!J67</f>
        <v/>
      </c>
      <c r="R474" s="2" t="str">
        <f>ONLINE!K67</f>
        <v/>
      </c>
      <c r="S474" s="2" t="str">
        <f>ONLINE!L67</f>
        <v/>
      </c>
      <c r="T474" s="2" t="str">
        <f>ONLINE!M67</f>
        <v/>
      </c>
      <c r="U474" s="34" t="str">
        <f>ONLINE!N67</f>
        <v/>
      </c>
      <c r="V474" s="34" t="str">
        <f>ONLINE!O67</f>
        <v/>
      </c>
      <c r="W474" s="2" t="str">
        <f>ONLINE!P67</f>
        <v/>
      </c>
      <c r="X474" s="34">
        <f>ONLINE!Q67</f>
        <v>0</v>
      </c>
      <c r="Y474" s="1"/>
      <c r="Z474" s="1"/>
      <c r="AA474" s="1"/>
    </row>
    <row r="475">
      <c r="A475" s="1"/>
      <c r="B475" s="14">
        <f t="shared" si="11"/>
        <v>64</v>
      </c>
      <c r="C475" s="15" t="str">
        <f t="shared" si="1"/>
        <v>diciembre</v>
      </c>
      <c r="D475" s="15">
        <f t="shared" si="2"/>
        <v>52</v>
      </c>
      <c r="E475" s="16" t="str">
        <f t="shared" si="3"/>
        <v>sábado</v>
      </c>
      <c r="F475" s="15">
        <f t="shared" si="4"/>
        <v>30</v>
      </c>
      <c r="G475" s="15" t="s">
        <v>24</v>
      </c>
      <c r="H475" s="3" t="str">
        <f>ONLINE!$G$3</f>
        <v>online</v>
      </c>
      <c r="I475" s="24" t="str">
        <f>ONLINE!B68</f>
        <v/>
      </c>
      <c r="J475" s="2" t="str">
        <f>ONLINE!C68</f>
        <v/>
      </c>
      <c r="K475" s="2" t="str">
        <f>ONLINE!D68</f>
        <v/>
      </c>
      <c r="L475" s="2" t="str">
        <f>ONLINE!E68</f>
        <v/>
      </c>
      <c r="M475" s="2" t="str">
        <f>ONLINE!F68</f>
        <v/>
      </c>
      <c r="N475" s="2" t="str">
        <f>ONLINE!G68</f>
        <v/>
      </c>
      <c r="O475" s="5" t="str">
        <f>ONLINE!H68</f>
        <v/>
      </c>
      <c r="P475" s="5" t="str">
        <f>ONLINE!I68</f>
        <v/>
      </c>
      <c r="Q475" s="5" t="str">
        <f>ONLINE!J68</f>
        <v/>
      </c>
      <c r="R475" s="2" t="str">
        <f>ONLINE!K68</f>
        <v/>
      </c>
      <c r="S475" s="2" t="str">
        <f>ONLINE!L68</f>
        <v/>
      </c>
      <c r="T475" s="2" t="str">
        <f>ONLINE!M68</f>
        <v/>
      </c>
      <c r="U475" s="34" t="str">
        <f>ONLINE!N68</f>
        <v/>
      </c>
      <c r="V475" s="34" t="str">
        <f>ONLINE!O68</f>
        <v/>
      </c>
      <c r="W475" s="2" t="str">
        <f>ONLINE!P68</f>
        <v/>
      </c>
      <c r="X475" s="34">
        <f>ONLINE!Q68</f>
        <v>0</v>
      </c>
      <c r="Y475" s="1"/>
      <c r="Z475" s="1"/>
      <c r="AA475" s="1"/>
    </row>
    <row r="476">
      <c r="A476" s="1"/>
      <c r="B476" s="14">
        <f t="shared" si="11"/>
        <v>65</v>
      </c>
      <c r="C476" s="15" t="str">
        <f t="shared" si="1"/>
        <v>diciembre</v>
      </c>
      <c r="D476" s="15">
        <f t="shared" si="2"/>
        <v>52</v>
      </c>
      <c r="E476" s="16" t="str">
        <f t="shared" si="3"/>
        <v>sábado</v>
      </c>
      <c r="F476" s="15">
        <f t="shared" si="4"/>
        <v>30</v>
      </c>
      <c r="G476" s="15" t="s">
        <v>24</v>
      </c>
      <c r="H476" s="3" t="str">
        <f>ONLINE!$G$3</f>
        <v>online</v>
      </c>
      <c r="I476" s="24" t="str">
        <f>ONLINE!B69</f>
        <v/>
      </c>
      <c r="J476" s="2" t="str">
        <f>ONLINE!C69</f>
        <v/>
      </c>
      <c r="K476" s="2" t="str">
        <f>ONLINE!D69</f>
        <v/>
      </c>
      <c r="L476" s="2" t="str">
        <f>ONLINE!E69</f>
        <v/>
      </c>
      <c r="M476" s="2" t="str">
        <f>ONLINE!F69</f>
        <v/>
      </c>
      <c r="N476" s="2" t="str">
        <f>ONLINE!G69</f>
        <v/>
      </c>
      <c r="O476" s="5" t="str">
        <f>ONLINE!H69</f>
        <v/>
      </c>
      <c r="P476" s="5" t="str">
        <f>ONLINE!I69</f>
        <v/>
      </c>
      <c r="Q476" s="5" t="str">
        <f>ONLINE!J69</f>
        <v/>
      </c>
      <c r="R476" s="2" t="str">
        <f>ONLINE!K69</f>
        <v/>
      </c>
      <c r="S476" s="2" t="str">
        <f>ONLINE!L69</f>
        <v/>
      </c>
      <c r="T476" s="2" t="str">
        <f>ONLINE!M69</f>
        <v/>
      </c>
      <c r="U476" s="34" t="str">
        <f>ONLINE!N69</f>
        <v/>
      </c>
      <c r="V476" s="34" t="str">
        <f>ONLINE!O69</f>
        <v/>
      </c>
      <c r="W476" s="2" t="str">
        <f>ONLINE!P69</f>
        <v/>
      </c>
      <c r="X476" s="34">
        <f>ONLINE!Q69</f>
        <v>0</v>
      </c>
      <c r="Y476" s="1"/>
      <c r="Z476" s="1"/>
      <c r="AA476" s="1"/>
    </row>
    <row r="477">
      <c r="A477" s="1"/>
      <c r="B477" s="14">
        <f t="shared" si="11"/>
        <v>66</v>
      </c>
      <c r="C477" s="15" t="str">
        <f t="shared" si="1"/>
        <v>diciembre</v>
      </c>
      <c r="D477" s="15">
        <f t="shared" si="2"/>
        <v>52</v>
      </c>
      <c r="E477" s="16" t="str">
        <f t="shared" si="3"/>
        <v>sábado</v>
      </c>
      <c r="F477" s="15">
        <f t="shared" si="4"/>
        <v>30</v>
      </c>
      <c r="G477" s="15" t="s">
        <v>24</v>
      </c>
      <c r="H477" s="3" t="str">
        <f>ONLINE!$G$3</f>
        <v>online</v>
      </c>
      <c r="I477" s="24" t="str">
        <f>ONLINE!B70</f>
        <v/>
      </c>
      <c r="J477" s="2" t="str">
        <f>ONLINE!C70</f>
        <v/>
      </c>
      <c r="K477" s="2" t="str">
        <f>ONLINE!D70</f>
        <v/>
      </c>
      <c r="L477" s="2" t="str">
        <f>ONLINE!E70</f>
        <v/>
      </c>
      <c r="M477" s="2" t="str">
        <f>ONLINE!F70</f>
        <v/>
      </c>
      <c r="N477" s="2" t="str">
        <f>ONLINE!G70</f>
        <v/>
      </c>
      <c r="O477" s="5" t="str">
        <f>ONLINE!H70</f>
        <v/>
      </c>
      <c r="P477" s="5" t="str">
        <f>ONLINE!I70</f>
        <v/>
      </c>
      <c r="Q477" s="5" t="str">
        <f>ONLINE!J70</f>
        <v/>
      </c>
      <c r="R477" s="2" t="str">
        <f>ONLINE!K70</f>
        <v/>
      </c>
      <c r="S477" s="2" t="str">
        <f>ONLINE!L70</f>
        <v/>
      </c>
      <c r="T477" s="2" t="str">
        <f>ONLINE!M70</f>
        <v/>
      </c>
      <c r="U477" s="34" t="str">
        <f>ONLINE!N70</f>
        <v/>
      </c>
      <c r="V477" s="34" t="str">
        <f>ONLINE!O70</f>
        <v/>
      </c>
      <c r="W477" s="2" t="str">
        <f>ONLINE!P70</f>
        <v/>
      </c>
      <c r="X477" s="34">
        <f>ONLINE!Q70</f>
        <v>0</v>
      </c>
      <c r="Y477" s="1"/>
      <c r="Z477" s="1"/>
      <c r="AA477" s="1"/>
    </row>
    <row r="478">
      <c r="A478" s="1"/>
      <c r="B478" s="14">
        <f t="shared" si="11"/>
        <v>67</v>
      </c>
      <c r="C478" s="15" t="str">
        <f t="shared" si="1"/>
        <v>diciembre</v>
      </c>
      <c r="D478" s="15">
        <f t="shared" si="2"/>
        <v>52</v>
      </c>
      <c r="E478" s="16" t="str">
        <f t="shared" si="3"/>
        <v>sábado</v>
      </c>
      <c r="F478" s="15">
        <f t="shared" si="4"/>
        <v>30</v>
      </c>
      <c r="G478" s="15" t="s">
        <v>24</v>
      </c>
      <c r="H478" s="3" t="str">
        <f>ONLINE!$G$3</f>
        <v>online</v>
      </c>
      <c r="I478" s="24" t="str">
        <f>ONLINE!B71</f>
        <v/>
      </c>
      <c r="J478" s="2" t="str">
        <f>ONLINE!C71</f>
        <v/>
      </c>
      <c r="K478" s="2" t="str">
        <f>ONLINE!D71</f>
        <v/>
      </c>
      <c r="L478" s="2" t="str">
        <f>ONLINE!E71</f>
        <v/>
      </c>
      <c r="M478" s="2" t="str">
        <f>ONLINE!F71</f>
        <v/>
      </c>
      <c r="N478" s="2" t="str">
        <f>ONLINE!G71</f>
        <v/>
      </c>
      <c r="O478" s="5" t="str">
        <f>ONLINE!H71</f>
        <v/>
      </c>
      <c r="P478" s="5" t="str">
        <f>ONLINE!I71</f>
        <v/>
      </c>
      <c r="Q478" s="5" t="str">
        <f>ONLINE!J71</f>
        <v/>
      </c>
      <c r="R478" s="2" t="str">
        <f>ONLINE!K71</f>
        <v/>
      </c>
      <c r="S478" s="2" t="str">
        <f>ONLINE!L71</f>
        <v/>
      </c>
      <c r="T478" s="2" t="str">
        <f>ONLINE!M71</f>
        <v/>
      </c>
      <c r="U478" s="34" t="str">
        <f>ONLINE!N71</f>
        <v/>
      </c>
      <c r="V478" s="34" t="str">
        <f>ONLINE!O71</f>
        <v/>
      </c>
      <c r="W478" s="2" t="str">
        <f>ONLINE!P71</f>
        <v/>
      </c>
      <c r="X478" s="34">
        <f>ONLINE!Q71</f>
        <v>0</v>
      </c>
      <c r="Y478" s="1"/>
      <c r="Z478" s="1"/>
      <c r="AA478" s="1"/>
    </row>
    <row r="479">
      <c r="A479" s="1"/>
      <c r="B479" s="14">
        <f t="shared" si="11"/>
        <v>68</v>
      </c>
      <c r="C479" s="15" t="str">
        <f t="shared" si="1"/>
        <v>diciembre</v>
      </c>
      <c r="D479" s="15">
        <f t="shared" si="2"/>
        <v>52</v>
      </c>
      <c r="E479" s="16" t="str">
        <f t="shared" si="3"/>
        <v>sábado</v>
      </c>
      <c r="F479" s="15">
        <f t="shared" si="4"/>
        <v>30</v>
      </c>
      <c r="G479" s="15" t="s">
        <v>24</v>
      </c>
      <c r="H479" s="3" t="str">
        <f>ONLINE!$G$3</f>
        <v>online</v>
      </c>
      <c r="I479" s="24" t="str">
        <f>ONLINE!B72</f>
        <v/>
      </c>
      <c r="J479" s="2" t="str">
        <f>ONLINE!C72</f>
        <v/>
      </c>
      <c r="K479" s="2" t="str">
        <f>ONLINE!D72</f>
        <v/>
      </c>
      <c r="L479" s="2" t="str">
        <f>ONLINE!E72</f>
        <v/>
      </c>
      <c r="M479" s="2" t="str">
        <f>ONLINE!F72</f>
        <v/>
      </c>
      <c r="N479" s="2" t="str">
        <f>ONLINE!G72</f>
        <v/>
      </c>
      <c r="O479" s="5" t="str">
        <f>ONLINE!H72</f>
        <v/>
      </c>
      <c r="P479" s="5" t="str">
        <f>ONLINE!I72</f>
        <v/>
      </c>
      <c r="Q479" s="5" t="str">
        <f>ONLINE!J72</f>
        <v/>
      </c>
      <c r="R479" s="2" t="str">
        <f>ONLINE!K72</f>
        <v/>
      </c>
      <c r="S479" s="2" t="str">
        <f>ONLINE!L72</f>
        <v/>
      </c>
      <c r="T479" s="2" t="str">
        <f>ONLINE!M72</f>
        <v/>
      </c>
      <c r="U479" s="34" t="str">
        <f>ONLINE!N72</f>
        <v/>
      </c>
      <c r="V479" s="34" t="str">
        <f>ONLINE!O72</f>
        <v/>
      </c>
      <c r="W479" s="2" t="str">
        <f>ONLINE!P72</f>
        <v/>
      </c>
      <c r="X479" s="34">
        <f>ONLINE!Q72</f>
        <v>0</v>
      </c>
      <c r="Y479" s="1"/>
      <c r="Z479" s="1"/>
      <c r="AA479" s="1"/>
    </row>
    <row r="480">
      <c r="A480" s="1"/>
      <c r="B480" s="14">
        <f t="shared" si="11"/>
        <v>69</v>
      </c>
      <c r="C480" s="15" t="str">
        <f t="shared" si="1"/>
        <v>diciembre</v>
      </c>
      <c r="D480" s="15">
        <f t="shared" si="2"/>
        <v>52</v>
      </c>
      <c r="E480" s="16" t="str">
        <f t="shared" si="3"/>
        <v>sábado</v>
      </c>
      <c r="F480" s="15">
        <f t="shared" si="4"/>
        <v>30</v>
      </c>
      <c r="G480" s="15" t="s">
        <v>24</v>
      </c>
      <c r="H480" s="3" t="str">
        <f>ONLINE!$G$3</f>
        <v>online</v>
      </c>
      <c r="I480" s="24" t="str">
        <f>ONLINE!B73</f>
        <v/>
      </c>
      <c r="J480" s="2" t="str">
        <f>ONLINE!C73</f>
        <v/>
      </c>
      <c r="K480" s="2" t="str">
        <f>ONLINE!D73</f>
        <v/>
      </c>
      <c r="L480" s="2" t="str">
        <f>ONLINE!E73</f>
        <v/>
      </c>
      <c r="M480" s="2" t="str">
        <f>ONLINE!F73</f>
        <v/>
      </c>
      <c r="N480" s="2" t="str">
        <f>ONLINE!G73</f>
        <v/>
      </c>
      <c r="O480" s="5" t="str">
        <f>ONLINE!H73</f>
        <v/>
      </c>
      <c r="P480" s="5" t="str">
        <f>ONLINE!I73</f>
        <v/>
      </c>
      <c r="Q480" s="5" t="str">
        <f>ONLINE!J73</f>
        <v/>
      </c>
      <c r="R480" s="2" t="str">
        <f>ONLINE!K73</f>
        <v/>
      </c>
      <c r="S480" s="2" t="str">
        <f>ONLINE!L73</f>
        <v/>
      </c>
      <c r="T480" s="2" t="str">
        <f>ONLINE!M73</f>
        <v/>
      </c>
      <c r="U480" s="34" t="str">
        <f>ONLINE!N73</f>
        <v/>
      </c>
      <c r="V480" s="34" t="str">
        <f>ONLINE!O73</f>
        <v/>
      </c>
      <c r="W480" s="2" t="str">
        <f>ONLINE!P73</f>
        <v/>
      </c>
      <c r="X480" s="34">
        <f>ONLINE!Q73</f>
        <v>0</v>
      </c>
      <c r="Y480" s="1"/>
      <c r="Z480" s="1"/>
      <c r="AA480" s="1"/>
    </row>
    <row r="481">
      <c r="A481" s="1"/>
      <c r="B481" s="14">
        <f t="shared" si="11"/>
        <v>70</v>
      </c>
      <c r="C481" s="15" t="str">
        <f t="shared" si="1"/>
        <v>diciembre</v>
      </c>
      <c r="D481" s="15">
        <f t="shared" si="2"/>
        <v>52</v>
      </c>
      <c r="E481" s="16" t="str">
        <f t="shared" si="3"/>
        <v>sábado</v>
      </c>
      <c r="F481" s="15">
        <f t="shared" si="4"/>
        <v>30</v>
      </c>
      <c r="G481" s="15" t="s">
        <v>24</v>
      </c>
      <c r="H481" s="3" t="str">
        <f>ONLINE!$G$3</f>
        <v>online</v>
      </c>
      <c r="I481" s="24" t="str">
        <f>ONLINE!B74</f>
        <v/>
      </c>
      <c r="J481" s="2" t="str">
        <f>ONLINE!C74</f>
        <v/>
      </c>
      <c r="K481" s="2" t="str">
        <f>ONLINE!D74</f>
        <v/>
      </c>
      <c r="L481" s="2" t="str">
        <f>ONLINE!E74</f>
        <v/>
      </c>
      <c r="M481" s="2" t="str">
        <f>ONLINE!F74</f>
        <v/>
      </c>
      <c r="N481" s="2" t="str">
        <f>ONLINE!G74</f>
        <v/>
      </c>
      <c r="O481" s="5" t="str">
        <f>ONLINE!H74</f>
        <v/>
      </c>
      <c r="P481" s="5" t="str">
        <f>ONLINE!I74</f>
        <v/>
      </c>
      <c r="Q481" s="5" t="str">
        <f>ONLINE!J74</f>
        <v/>
      </c>
      <c r="R481" s="2" t="str">
        <f>ONLINE!K74</f>
        <v/>
      </c>
      <c r="S481" s="2" t="str">
        <f>ONLINE!L74</f>
        <v/>
      </c>
      <c r="T481" s="2" t="str">
        <f>ONLINE!M74</f>
        <v/>
      </c>
      <c r="U481" s="34" t="str">
        <f>ONLINE!N74</f>
        <v/>
      </c>
      <c r="V481" s="34" t="str">
        <f>ONLINE!O74</f>
        <v/>
      </c>
      <c r="W481" s="2" t="str">
        <f>ONLINE!P74</f>
        <v/>
      </c>
      <c r="X481" s="34">
        <f>ONLINE!Q74</f>
        <v>0</v>
      </c>
      <c r="Y481" s="1"/>
      <c r="Z481" s="1"/>
      <c r="AA481" s="1"/>
    </row>
    <row r="482">
      <c r="A482" s="1"/>
      <c r="B482" s="14">
        <f t="shared" si="11"/>
        <v>71</v>
      </c>
      <c r="C482" s="15" t="str">
        <f t="shared" si="1"/>
        <v>diciembre</v>
      </c>
      <c r="D482" s="15">
        <f t="shared" si="2"/>
        <v>52</v>
      </c>
      <c r="E482" s="16" t="str">
        <f t="shared" si="3"/>
        <v>sábado</v>
      </c>
      <c r="F482" s="15">
        <f t="shared" si="4"/>
        <v>30</v>
      </c>
      <c r="G482" s="15" t="s">
        <v>24</v>
      </c>
      <c r="H482" s="3" t="str">
        <f>ONLINE!$G$3</f>
        <v>online</v>
      </c>
      <c r="I482" s="24" t="str">
        <f>ONLINE!B75</f>
        <v/>
      </c>
      <c r="J482" s="2" t="str">
        <f>ONLINE!C75</f>
        <v/>
      </c>
      <c r="K482" s="2" t="str">
        <f>ONLINE!D75</f>
        <v/>
      </c>
      <c r="L482" s="2" t="str">
        <f>ONLINE!E75</f>
        <v/>
      </c>
      <c r="M482" s="2" t="str">
        <f>ONLINE!F75</f>
        <v/>
      </c>
      <c r="N482" s="2" t="str">
        <f>ONLINE!G75</f>
        <v/>
      </c>
      <c r="O482" s="5" t="str">
        <f>ONLINE!H75</f>
        <v/>
      </c>
      <c r="P482" s="5" t="str">
        <f>ONLINE!I75</f>
        <v/>
      </c>
      <c r="Q482" s="5" t="str">
        <f>ONLINE!J75</f>
        <v/>
      </c>
      <c r="R482" s="2" t="str">
        <f>ONLINE!K75</f>
        <v/>
      </c>
      <c r="S482" s="2" t="str">
        <f>ONLINE!L75</f>
        <v/>
      </c>
      <c r="T482" s="2" t="str">
        <f>ONLINE!M75</f>
        <v/>
      </c>
      <c r="U482" s="34" t="str">
        <f>ONLINE!N75</f>
        <v/>
      </c>
      <c r="V482" s="34" t="str">
        <f>ONLINE!O75</f>
        <v/>
      </c>
      <c r="W482" s="2" t="str">
        <f>ONLINE!P75</f>
        <v/>
      </c>
      <c r="X482" s="34">
        <f>ONLINE!Q75</f>
        <v>0</v>
      </c>
      <c r="Y482" s="1"/>
      <c r="Z482" s="1"/>
      <c r="AA482" s="1"/>
    </row>
    <row r="483">
      <c r="A483" s="1"/>
      <c r="B483" s="14">
        <f t="shared" si="11"/>
        <v>72</v>
      </c>
      <c r="C483" s="15" t="str">
        <f t="shared" si="1"/>
        <v>diciembre</v>
      </c>
      <c r="D483" s="15">
        <f t="shared" si="2"/>
        <v>52</v>
      </c>
      <c r="E483" s="16" t="str">
        <f t="shared" si="3"/>
        <v>sábado</v>
      </c>
      <c r="F483" s="15">
        <f t="shared" si="4"/>
        <v>30</v>
      </c>
      <c r="G483" s="15" t="s">
        <v>24</v>
      </c>
      <c r="H483" s="3" t="str">
        <f>ONLINE!$G$3</f>
        <v>online</v>
      </c>
      <c r="I483" s="24" t="str">
        <f>ONLINE!B76</f>
        <v/>
      </c>
      <c r="J483" s="2" t="str">
        <f>ONLINE!C76</f>
        <v/>
      </c>
      <c r="K483" s="2" t="str">
        <f>ONLINE!D76</f>
        <v/>
      </c>
      <c r="L483" s="2" t="str">
        <f>ONLINE!E76</f>
        <v/>
      </c>
      <c r="M483" s="2" t="str">
        <f>ONLINE!F76</f>
        <v/>
      </c>
      <c r="N483" s="2" t="str">
        <f>ONLINE!G76</f>
        <v/>
      </c>
      <c r="O483" s="5" t="str">
        <f>ONLINE!H76</f>
        <v/>
      </c>
      <c r="P483" s="5" t="str">
        <f>ONLINE!I76</f>
        <v/>
      </c>
      <c r="Q483" s="5" t="str">
        <f>ONLINE!J76</f>
        <v/>
      </c>
      <c r="R483" s="2" t="str">
        <f>ONLINE!K76</f>
        <v/>
      </c>
      <c r="S483" s="2" t="str">
        <f>ONLINE!L76</f>
        <v/>
      </c>
      <c r="T483" s="2" t="str">
        <f>ONLINE!M76</f>
        <v/>
      </c>
      <c r="U483" s="34" t="str">
        <f>ONLINE!N76</f>
        <v/>
      </c>
      <c r="V483" s="34" t="str">
        <f>ONLINE!O76</f>
        <v/>
      </c>
      <c r="W483" s="2" t="str">
        <f>ONLINE!P76</f>
        <v/>
      </c>
      <c r="X483" s="34">
        <f>ONLINE!Q76</f>
        <v>0</v>
      </c>
      <c r="Y483" s="1"/>
      <c r="Z483" s="1"/>
      <c r="AA483" s="1"/>
    </row>
    <row r="484">
      <c r="A484" s="1"/>
      <c r="B484" s="14">
        <f t="shared" si="11"/>
        <v>73</v>
      </c>
      <c r="C484" s="15" t="str">
        <f t="shared" si="1"/>
        <v>diciembre</v>
      </c>
      <c r="D484" s="15">
        <f t="shared" si="2"/>
        <v>52</v>
      </c>
      <c r="E484" s="16" t="str">
        <f t="shared" si="3"/>
        <v>sábado</v>
      </c>
      <c r="F484" s="15">
        <f t="shared" si="4"/>
        <v>30</v>
      </c>
      <c r="G484" s="15" t="s">
        <v>24</v>
      </c>
      <c r="H484" s="3" t="str">
        <f>ONLINE!$G$3</f>
        <v>online</v>
      </c>
      <c r="I484" s="24" t="str">
        <f>ONLINE!B77</f>
        <v/>
      </c>
      <c r="J484" s="2" t="str">
        <f>ONLINE!C77</f>
        <v/>
      </c>
      <c r="K484" s="2" t="str">
        <f>ONLINE!D77</f>
        <v/>
      </c>
      <c r="L484" s="2" t="str">
        <f>ONLINE!E77</f>
        <v/>
      </c>
      <c r="M484" s="2" t="str">
        <f>ONLINE!F77</f>
        <v/>
      </c>
      <c r="N484" s="2" t="str">
        <f>ONLINE!G77</f>
        <v/>
      </c>
      <c r="O484" s="5" t="str">
        <f>ONLINE!H77</f>
        <v/>
      </c>
      <c r="P484" s="5" t="str">
        <f>ONLINE!I77</f>
        <v/>
      </c>
      <c r="Q484" s="5" t="str">
        <f>ONLINE!J77</f>
        <v/>
      </c>
      <c r="R484" s="2" t="str">
        <f>ONLINE!K77</f>
        <v/>
      </c>
      <c r="S484" s="2" t="str">
        <f>ONLINE!L77</f>
        <v/>
      </c>
      <c r="T484" s="2" t="str">
        <f>ONLINE!M77</f>
        <v/>
      </c>
      <c r="U484" s="34" t="str">
        <f>ONLINE!N77</f>
        <v/>
      </c>
      <c r="V484" s="34" t="str">
        <f>ONLINE!O77</f>
        <v/>
      </c>
      <c r="W484" s="2" t="str">
        <f>ONLINE!P77</f>
        <v/>
      </c>
      <c r="X484" s="34">
        <f>ONLINE!Q77</f>
        <v>0</v>
      </c>
      <c r="Y484" s="1"/>
      <c r="Z484" s="1"/>
      <c r="AA484" s="1"/>
    </row>
    <row r="485">
      <c r="A485" s="1"/>
      <c r="B485" s="14">
        <f t="shared" si="11"/>
        <v>74</v>
      </c>
      <c r="C485" s="15" t="str">
        <f t="shared" si="1"/>
        <v>diciembre</v>
      </c>
      <c r="D485" s="15">
        <f t="shared" si="2"/>
        <v>52</v>
      </c>
      <c r="E485" s="16" t="str">
        <f t="shared" si="3"/>
        <v>sábado</v>
      </c>
      <c r="F485" s="15">
        <f t="shared" si="4"/>
        <v>30</v>
      </c>
      <c r="G485" s="15" t="s">
        <v>24</v>
      </c>
      <c r="H485" s="3" t="str">
        <f>ONLINE!$G$3</f>
        <v>online</v>
      </c>
      <c r="I485" s="24" t="str">
        <f>ONLINE!B78</f>
        <v/>
      </c>
      <c r="J485" s="2" t="str">
        <f>ONLINE!C78</f>
        <v/>
      </c>
      <c r="K485" s="2" t="str">
        <f>ONLINE!D78</f>
        <v/>
      </c>
      <c r="L485" s="2" t="str">
        <f>ONLINE!E78</f>
        <v/>
      </c>
      <c r="M485" s="2" t="str">
        <f>ONLINE!F78</f>
        <v/>
      </c>
      <c r="N485" s="2" t="str">
        <f>ONLINE!G78</f>
        <v/>
      </c>
      <c r="O485" s="5" t="str">
        <f>ONLINE!H78</f>
        <v/>
      </c>
      <c r="P485" s="5" t="str">
        <f>ONLINE!I78</f>
        <v/>
      </c>
      <c r="Q485" s="5" t="str">
        <f>ONLINE!J78</f>
        <v/>
      </c>
      <c r="R485" s="2" t="str">
        <f>ONLINE!K78</f>
        <v/>
      </c>
      <c r="S485" s="2" t="str">
        <f>ONLINE!L78</f>
        <v/>
      </c>
      <c r="T485" s="2" t="str">
        <f>ONLINE!M78</f>
        <v/>
      </c>
      <c r="U485" s="34" t="str">
        <f>ONLINE!N78</f>
        <v/>
      </c>
      <c r="V485" s="34" t="str">
        <f>ONLINE!O78</f>
        <v/>
      </c>
      <c r="W485" s="2" t="str">
        <f>ONLINE!P78</f>
        <v/>
      </c>
      <c r="X485" s="34">
        <f>ONLINE!Q78</f>
        <v>0</v>
      </c>
      <c r="Y485" s="1"/>
      <c r="Z485" s="1"/>
      <c r="AA485" s="1"/>
    </row>
    <row r="486">
      <c r="A486" s="1"/>
      <c r="B486" s="14">
        <f t="shared" si="11"/>
        <v>75</v>
      </c>
      <c r="C486" s="15" t="str">
        <f t="shared" si="1"/>
        <v>diciembre</v>
      </c>
      <c r="D486" s="15">
        <f t="shared" si="2"/>
        <v>52</v>
      </c>
      <c r="E486" s="16" t="str">
        <f t="shared" si="3"/>
        <v>sábado</v>
      </c>
      <c r="F486" s="15">
        <f t="shared" si="4"/>
        <v>30</v>
      </c>
      <c r="G486" s="15" t="s">
        <v>24</v>
      </c>
      <c r="H486" s="3" t="str">
        <f>ONLINE!$G$3</f>
        <v>online</v>
      </c>
      <c r="I486" s="24" t="str">
        <f>ONLINE!B79</f>
        <v/>
      </c>
      <c r="J486" s="2" t="str">
        <f>ONLINE!C79</f>
        <v/>
      </c>
      <c r="K486" s="2" t="str">
        <f>ONLINE!D79</f>
        <v/>
      </c>
      <c r="L486" s="2" t="str">
        <f>ONLINE!E79</f>
        <v/>
      </c>
      <c r="M486" s="2" t="str">
        <f>ONLINE!F79</f>
        <v/>
      </c>
      <c r="N486" s="2" t="str">
        <f>ONLINE!G79</f>
        <v/>
      </c>
      <c r="O486" s="5" t="str">
        <f>ONLINE!H79</f>
        <v/>
      </c>
      <c r="P486" s="5" t="str">
        <f>ONLINE!I79</f>
        <v/>
      </c>
      <c r="Q486" s="5" t="str">
        <f>ONLINE!J79</f>
        <v/>
      </c>
      <c r="R486" s="2" t="str">
        <f>ONLINE!K79</f>
        <v/>
      </c>
      <c r="S486" s="2" t="str">
        <f>ONLINE!L79</f>
        <v/>
      </c>
      <c r="T486" s="2" t="str">
        <f>ONLINE!M79</f>
        <v/>
      </c>
      <c r="U486" s="34" t="str">
        <f>ONLINE!N79</f>
        <v/>
      </c>
      <c r="V486" s="34" t="str">
        <f>ONLINE!O79</f>
        <v/>
      </c>
      <c r="W486" s="2" t="str">
        <f>ONLINE!P79</f>
        <v/>
      </c>
      <c r="X486" s="34">
        <f>ONLINE!Q79</f>
        <v>0</v>
      </c>
      <c r="Y486" s="1"/>
      <c r="Z486" s="1"/>
      <c r="AA486" s="1"/>
    </row>
    <row r="487">
      <c r="A487" s="1"/>
      <c r="B487" s="14">
        <f t="shared" si="11"/>
        <v>76</v>
      </c>
      <c r="C487" s="15" t="str">
        <f t="shared" si="1"/>
        <v>diciembre</v>
      </c>
      <c r="D487" s="15">
        <f t="shared" si="2"/>
        <v>52</v>
      </c>
      <c r="E487" s="16" t="str">
        <f t="shared" si="3"/>
        <v>sábado</v>
      </c>
      <c r="F487" s="15">
        <f t="shared" si="4"/>
        <v>30</v>
      </c>
      <c r="G487" s="15" t="s">
        <v>24</v>
      </c>
      <c r="H487" s="3" t="str">
        <f>ONLINE!$G$3</f>
        <v>online</v>
      </c>
      <c r="I487" s="24" t="str">
        <f>ONLINE!B80</f>
        <v/>
      </c>
      <c r="J487" s="2" t="str">
        <f>ONLINE!C80</f>
        <v/>
      </c>
      <c r="K487" s="2" t="str">
        <f>ONLINE!D80</f>
        <v/>
      </c>
      <c r="L487" s="2" t="str">
        <f>ONLINE!E80</f>
        <v/>
      </c>
      <c r="M487" s="2" t="str">
        <f>ONLINE!F80</f>
        <v/>
      </c>
      <c r="N487" s="2" t="str">
        <f>ONLINE!G80</f>
        <v/>
      </c>
      <c r="O487" s="5" t="str">
        <f>ONLINE!H80</f>
        <v/>
      </c>
      <c r="P487" s="5" t="str">
        <f>ONLINE!I80</f>
        <v/>
      </c>
      <c r="Q487" s="5" t="str">
        <f>ONLINE!J80</f>
        <v/>
      </c>
      <c r="R487" s="2" t="str">
        <f>ONLINE!K80</f>
        <v/>
      </c>
      <c r="S487" s="2" t="str">
        <f>ONLINE!L80</f>
        <v/>
      </c>
      <c r="T487" s="2" t="str">
        <f>ONLINE!M80</f>
        <v/>
      </c>
      <c r="U487" s="34" t="str">
        <f>ONLINE!N80</f>
        <v/>
      </c>
      <c r="V487" s="34" t="str">
        <f>ONLINE!O80</f>
        <v/>
      </c>
      <c r="W487" s="2" t="str">
        <f>ONLINE!P80</f>
        <v/>
      </c>
      <c r="X487" s="34">
        <f>ONLINE!Q80</f>
        <v>0</v>
      </c>
      <c r="Y487" s="1"/>
      <c r="Z487" s="1"/>
      <c r="AA487" s="1"/>
    </row>
    <row r="488">
      <c r="A488" s="1"/>
      <c r="B488" s="14">
        <f t="shared" si="11"/>
        <v>77</v>
      </c>
      <c r="C488" s="15" t="str">
        <f t="shared" si="1"/>
        <v>diciembre</v>
      </c>
      <c r="D488" s="15">
        <f t="shared" si="2"/>
        <v>52</v>
      </c>
      <c r="E488" s="16" t="str">
        <f t="shared" si="3"/>
        <v>sábado</v>
      </c>
      <c r="F488" s="15">
        <f t="shared" si="4"/>
        <v>30</v>
      </c>
      <c r="G488" s="15" t="s">
        <v>24</v>
      </c>
      <c r="H488" s="3" t="str">
        <f>ONLINE!$G$3</f>
        <v>online</v>
      </c>
      <c r="I488" s="24" t="str">
        <f>ONLINE!B81</f>
        <v/>
      </c>
      <c r="J488" s="2" t="str">
        <f>ONLINE!C81</f>
        <v/>
      </c>
      <c r="K488" s="2" t="str">
        <f>ONLINE!D81</f>
        <v/>
      </c>
      <c r="L488" s="2" t="str">
        <f>ONLINE!E81</f>
        <v/>
      </c>
      <c r="M488" s="2" t="str">
        <f>ONLINE!F81</f>
        <v/>
      </c>
      <c r="N488" s="2" t="str">
        <f>ONLINE!G81</f>
        <v/>
      </c>
      <c r="O488" s="5" t="str">
        <f>ONLINE!H81</f>
        <v/>
      </c>
      <c r="P488" s="5" t="str">
        <f>ONLINE!I81</f>
        <v/>
      </c>
      <c r="Q488" s="5" t="str">
        <f>ONLINE!J81</f>
        <v/>
      </c>
      <c r="R488" s="2" t="str">
        <f>ONLINE!K81</f>
        <v/>
      </c>
      <c r="S488" s="2" t="str">
        <f>ONLINE!L81</f>
        <v/>
      </c>
      <c r="T488" s="2" t="str">
        <f>ONLINE!M81</f>
        <v/>
      </c>
      <c r="U488" s="34" t="str">
        <f>ONLINE!N81</f>
        <v/>
      </c>
      <c r="V488" s="34" t="str">
        <f>ONLINE!O81</f>
        <v/>
      </c>
      <c r="W488" s="2" t="str">
        <f>ONLINE!P81</f>
        <v/>
      </c>
      <c r="X488" s="34">
        <f>ONLINE!Q81</f>
        <v>0</v>
      </c>
      <c r="Y488" s="1"/>
      <c r="Z488" s="1"/>
      <c r="AA488" s="1"/>
    </row>
    <row r="489">
      <c r="A489" s="1"/>
      <c r="B489" s="14">
        <f t="shared" si="11"/>
        <v>78</v>
      </c>
      <c r="C489" s="15" t="str">
        <f t="shared" si="1"/>
        <v>diciembre</v>
      </c>
      <c r="D489" s="15">
        <f t="shared" si="2"/>
        <v>52</v>
      </c>
      <c r="E489" s="16" t="str">
        <f t="shared" si="3"/>
        <v>sábado</v>
      </c>
      <c r="F489" s="15">
        <f t="shared" si="4"/>
        <v>30</v>
      </c>
      <c r="G489" s="15" t="s">
        <v>24</v>
      </c>
      <c r="H489" s="3" t="str">
        <f>ONLINE!$G$3</f>
        <v>online</v>
      </c>
      <c r="I489" s="24" t="str">
        <f>ONLINE!B82</f>
        <v/>
      </c>
      <c r="J489" s="2" t="str">
        <f>ONLINE!C82</f>
        <v/>
      </c>
      <c r="K489" s="2" t="str">
        <f>ONLINE!D82</f>
        <v/>
      </c>
      <c r="L489" s="2" t="str">
        <f>ONLINE!E82</f>
        <v/>
      </c>
      <c r="M489" s="2" t="str">
        <f>ONLINE!F82</f>
        <v/>
      </c>
      <c r="N489" s="2" t="str">
        <f>ONLINE!G82</f>
        <v/>
      </c>
      <c r="O489" s="5" t="str">
        <f>ONLINE!H82</f>
        <v/>
      </c>
      <c r="P489" s="5" t="str">
        <f>ONLINE!I82</f>
        <v/>
      </c>
      <c r="Q489" s="5" t="str">
        <f>ONLINE!J82</f>
        <v/>
      </c>
      <c r="R489" s="2" t="str">
        <f>ONLINE!K82</f>
        <v/>
      </c>
      <c r="S489" s="2" t="str">
        <f>ONLINE!L82</f>
        <v/>
      </c>
      <c r="T489" s="2" t="str">
        <f>ONLINE!M82</f>
        <v/>
      </c>
      <c r="U489" s="34" t="str">
        <f>ONLINE!N82</f>
        <v/>
      </c>
      <c r="V489" s="34" t="str">
        <f>ONLINE!O82</f>
        <v/>
      </c>
      <c r="W489" s="2" t="str">
        <f>ONLINE!P82</f>
        <v/>
      </c>
      <c r="X489" s="34">
        <f>ONLINE!Q82</f>
        <v>0</v>
      </c>
      <c r="Y489" s="1"/>
      <c r="Z489" s="1"/>
      <c r="AA489" s="1"/>
    </row>
    <row r="490">
      <c r="A490" s="1"/>
      <c r="B490" s="14">
        <f t="shared" si="11"/>
        <v>79</v>
      </c>
      <c r="C490" s="15" t="str">
        <f t="shared" si="1"/>
        <v>diciembre</v>
      </c>
      <c r="D490" s="15">
        <f t="shared" si="2"/>
        <v>52</v>
      </c>
      <c r="E490" s="16" t="str">
        <f t="shared" si="3"/>
        <v>sábado</v>
      </c>
      <c r="F490" s="15">
        <f t="shared" si="4"/>
        <v>30</v>
      </c>
      <c r="G490" s="15" t="s">
        <v>24</v>
      </c>
      <c r="H490" s="3" t="str">
        <f>ONLINE!$G$3</f>
        <v>online</v>
      </c>
      <c r="I490" s="24" t="str">
        <f>ONLINE!B83</f>
        <v/>
      </c>
      <c r="J490" s="2" t="str">
        <f>ONLINE!C83</f>
        <v/>
      </c>
      <c r="K490" s="2" t="str">
        <f>ONLINE!D83</f>
        <v/>
      </c>
      <c r="L490" s="2" t="str">
        <f>ONLINE!E83</f>
        <v/>
      </c>
      <c r="M490" s="2" t="str">
        <f>ONLINE!F83</f>
        <v/>
      </c>
      <c r="N490" s="2" t="str">
        <f>ONLINE!G83</f>
        <v/>
      </c>
      <c r="O490" s="5" t="str">
        <f>ONLINE!H83</f>
        <v/>
      </c>
      <c r="P490" s="5" t="str">
        <f>ONLINE!I83</f>
        <v/>
      </c>
      <c r="Q490" s="5" t="str">
        <f>ONLINE!J83</f>
        <v/>
      </c>
      <c r="R490" s="2" t="str">
        <f>ONLINE!K83</f>
        <v/>
      </c>
      <c r="S490" s="2" t="str">
        <f>ONLINE!L83</f>
        <v/>
      </c>
      <c r="T490" s="2" t="str">
        <f>ONLINE!M83</f>
        <v/>
      </c>
      <c r="U490" s="34" t="str">
        <f>ONLINE!N83</f>
        <v/>
      </c>
      <c r="V490" s="34" t="str">
        <f>ONLINE!O83</f>
        <v/>
      </c>
      <c r="W490" s="2" t="str">
        <f>ONLINE!P83</f>
        <v/>
      </c>
      <c r="X490" s="34">
        <f>ONLINE!Q83</f>
        <v>0</v>
      </c>
      <c r="Y490" s="1"/>
      <c r="Z490" s="1"/>
      <c r="AA490" s="1"/>
    </row>
    <row r="491">
      <c r="A491" s="1"/>
      <c r="B491" s="14">
        <f t="shared" si="11"/>
        <v>80</v>
      </c>
      <c r="C491" s="15" t="str">
        <f t="shared" si="1"/>
        <v>diciembre</v>
      </c>
      <c r="D491" s="15">
        <f t="shared" si="2"/>
        <v>52</v>
      </c>
      <c r="E491" s="16" t="str">
        <f t="shared" si="3"/>
        <v>sábado</v>
      </c>
      <c r="F491" s="15">
        <f t="shared" si="4"/>
        <v>30</v>
      </c>
      <c r="G491" s="15" t="s">
        <v>24</v>
      </c>
      <c r="H491" s="3" t="str">
        <f>ONLINE!$G$3</f>
        <v>online</v>
      </c>
      <c r="I491" s="24" t="str">
        <f>ONLINE!B84</f>
        <v/>
      </c>
      <c r="J491" s="2" t="str">
        <f>ONLINE!C84</f>
        <v/>
      </c>
      <c r="K491" s="2" t="str">
        <f>ONLINE!D84</f>
        <v/>
      </c>
      <c r="L491" s="2" t="str">
        <f>ONLINE!E84</f>
        <v/>
      </c>
      <c r="M491" s="2" t="str">
        <f>ONLINE!F84</f>
        <v/>
      </c>
      <c r="N491" s="2" t="str">
        <f>ONLINE!G84</f>
        <v/>
      </c>
      <c r="O491" s="5" t="str">
        <f>ONLINE!H84</f>
        <v/>
      </c>
      <c r="P491" s="5" t="str">
        <f>ONLINE!I84</f>
        <v/>
      </c>
      <c r="Q491" s="5" t="str">
        <f>ONLINE!J84</f>
        <v/>
      </c>
      <c r="R491" s="2" t="str">
        <f>ONLINE!K84</f>
        <v/>
      </c>
      <c r="S491" s="2" t="str">
        <f>ONLINE!L84</f>
        <v/>
      </c>
      <c r="T491" s="2" t="str">
        <f>ONLINE!M84</f>
        <v/>
      </c>
      <c r="U491" s="34" t="str">
        <f>ONLINE!N84</f>
        <v/>
      </c>
      <c r="V491" s="34" t="str">
        <f>ONLINE!O84</f>
        <v/>
      </c>
      <c r="W491" s="2" t="str">
        <f>ONLINE!P84</f>
        <v/>
      </c>
      <c r="X491" s="34">
        <f>ONLINE!Q84</f>
        <v>0</v>
      </c>
      <c r="Y491" s="1"/>
      <c r="Z491" s="1"/>
      <c r="AA491" s="1"/>
    </row>
    <row r="492">
      <c r="A492" s="1"/>
      <c r="B492" s="14">
        <f t="shared" si="11"/>
        <v>81</v>
      </c>
      <c r="C492" s="15" t="str">
        <f t="shared" si="1"/>
        <v>diciembre</v>
      </c>
      <c r="D492" s="15">
        <f t="shared" si="2"/>
        <v>52</v>
      </c>
      <c r="E492" s="16" t="str">
        <f t="shared" si="3"/>
        <v>sábado</v>
      </c>
      <c r="F492" s="15">
        <f t="shared" si="4"/>
        <v>30</v>
      </c>
      <c r="G492" s="15" t="s">
        <v>24</v>
      </c>
      <c r="H492" s="3" t="str">
        <f>ONLINE!$G$3</f>
        <v>online</v>
      </c>
      <c r="I492" s="24" t="str">
        <f>ONLINE!B85</f>
        <v/>
      </c>
      <c r="J492" s="2" t="str">
        <f>ONLINE!C85</f>
        <v/>
      </c>
      <c r="K492" s="2" t="str">
        <f>ONLINE!D85</f>
        <v/>
      </c>
      <c r="L492" s="2" t="str">
        <f>ONLINE!E85</f>
        <v/>
      </c>
      <c r="M492" s="2" t="str">
        <f>ONLINE!F85</f>
        <v/>
      </c>
      <c r="N492" s="2" t="str">
        <f>ONLINE!G85</f>
        <v/>
      </c>
      <c r="O492" s="5" t="str">
        <f>ONLINE!H85</f>
        <v/>
      </c>
      <c r="P492" s="5" t="str">
        <f>ONLINE!I85</f>
        <v/>
      </c>
      <c r="Q492" s="5" t="str">
        <f>ONLINE!J85</f>
        <v/>
      </c>
      <c r="R492" s="2" t="str">
        <f>ONLINE!K85</f>
        <v/>
      </c>
      <c r="S492" s="2" t="str">
        <f>ONLINE!L85</f>
        <v/>
      </c>
      <c r="T492" s="2" t="str">
        <f>ONLINE!M85</f>
        <v/>
      </c>
      <c r="U492" s="34" t="str">
        <f>ONLINE!N85</f>
        <v/>
      </c>
      <c r="V492" s="34" t="str">
        <f>ONLINE!O85</f>
        <v/>
      </c>
      <c r="W492" s="2" t="str">
        <f>ONLINE!P85</f>
        <v/>
      </c>
      <c r="X492" s="34">
        <f>ONLINE!Q85</f>
        <v>0</v>
      </c>
      <c r="Y492" s="1"/>
      <c r="Z492" s="1"/>
      <c r="AA492" s="1"/>
    </row>
    <row r="493">
      <c r="A493" s="1"/>
      <c r="B493" s="14">
        <f t="shared" si="11"/>
        <v>82</v>
      </c>
      <c r="C493" s="15" t="str">
        <f t="shared" si="1"/>
        <v>diciembre</v>
      </c>
      <c r="D493" s="15">
        <f t="shared" si="2"/>
        <v>52</v>
      </c>
      <c r="E493" s="16" t="str">
        <f t="shared" si="3"/>
        <v>sábado</v>
      </c>
      <c r="F493" s="15">
        <f t="shared" si="4"/>
        <v>30</v>
      </c>
      <c r="G493" s="15" t="s">
        <v>24</v>
      </c>
      <c r="H493" s="3" t="str">
        <f>ONLINE!$G$3</f>
        <v>online</v>
      </c>
      <c r="I493" s="24" t="str">
        <f>ONLINE!B86</f>
        <v/>
      </c>
      <c r="J493" s="2" t="str">
        <f>ONLINE!C86</f>
        <v/>
      </c>
      <c r="K493" s="2" t="str">
        <f>ONLINE!D86</f>
        <v/>
      </c>
      <c r="L493" s="2" t="str">
        <f>ONLINE!E86</f>
        <v/>
      </c>
      <c r="M493" s="2" t="str">
        <f>ONLINE!F86</f>
        <v/>
      </c>
      <c r="N493" s="2" t="str">
        <f>ONLINE!G86</f>
        <v/>
      </c>
      <c r="O493" s="5" t="str">
        <f>ONLINE!H86</f>
        <v/>
      </c>
      <c r="P493" s="5" t="str">
        <f>ONLINE!I86</f>
        <v/>
      </c>
      <c r="Q493" s="5" t="str">
        <f>ONLINE!J86</f>
        <v/>
      </c>
      <c r="R493" s="2" t="str">
        <f>ONLINE!K86</f>
        <v/>
      </c>
      <c r="S493" s="2" t="str">
        <f>ONLINE!L86</f>
        <v/>
      </c>
      <c r="T493" s="2" t="str">
        <f>ONLINE!M86</f>
        <v/>
      </c>
      <c r="U493" s="34" t="str">
        <f>ONLINE!N86</f>
        <v/>
      </c>
      <c r="V493" s="34" t="str">
        <f>ONLINE!O86</f>
        <v/>
      </c>
      <c r="W493" s="2" t="str">
        <f>ONLINE!P86</f>
        <v/>
      </c>
      <c r="X493" s="34">
        <f>ONLINE!Q86</f>
        <v>0</v>
      </c>
      <c r="Y493" s="1"/>
      <c r="Z493" s="1"/>
      <c r="AA493" s="1"/>
    </row>
    <row r="494">
      <c r="A494" s="1"/>
      <c r="B494" s="14">
        <f t="shared" si="11"/>
        <v>83</v>
      </c>
      <c r="C494" s="15" t="str">
        <f t="shared" si="1"/>
        <v>diciembre</v>
      </c>
      <c r="D494" s="15">
        <f t="shared" si="2"/>
        <v>52</v>
      </c>
      <c r="E494" s="16" t="str">
        <f t="shared" si="3"/>
        <v>sábado</v>
      </c>
      <c r="F494" s="15">
        <f t="shared" si="4"/>
        <v>30</v>
      </c>
      <c r="G494" s="15" t="s">
        <v>24</v>
      </c>
      <c r="H494" s="3" t="str">
        <f>ONLINE!$G$3</f>
        <v>online</v>
      </c>
      <c r="I494" s="24" t="str">
        <f>ONLINE!B87</f>
        <v/>
      </c>
      <c r="J494" s="2" t="str">
        <f>ONLINE!C87</f>
        <v/>
      </c>
      <c r="K494" s="2" t="str">
        <f>ONLINE!D87</f>
        <v/>
      </c>
      <c r="L494" s="2" t="str">
        <f>ONLINE!E87</f>
        <v/>
      </c>
      <c r="M494" s="2" t="str">
        <f>ONLINE!F87</f>
        <v/>
      </c>
      <c r="N494" s="2" t="str">
        <f>ONLINE!G87</f>
        <v/>
      </c>
      <c r="O494" s="5" t="str">
        <f>ONLINE!H87</f>
        <v/>
      </c>
      <c r="P494" s="5" t="str">
        <f>ONLINE!I87</f>
        <v/>
      </c>
      <c r="Q494" s="5" t="str">
        <f>ONLINE!J87</f>
        <v/>
      </c>
      <c r="R494" s="2" t="str">
        <f>ONLINE!K87</f>
        <v/>
      </c>
      <c r="S494" s="2" t="str">
        <f>ONLINE!L87</f>
        <v/>
      </c>
      <c r="T494" s="2" t="str">
        <f>ONLINE!M87</f>
        <v/>
      </c>
      <c r="U494" s="34" t="str">
        <f>ONLINE!N87</f>
        <v/>
      </c>
      <c r="V494" s="34" t="str">
        <f>ONLINE!O87</f>
        <v/>
      </c>
      <c r="W494" s="2" t="str">
        <f>ONLINE!P87</f>
        <v/>
      </c>
      <c r="X494" s="34">
        <f>ONLINE!Q87</f>
        <v>0</v>
      </c>
      <c r="Y494" s="1"/>
      <c r="Z494" s="1"/>
      <c r="AA494" s="1"/>
    </row>
    <row r="495">
      <c r="A495" s="1"/>
      <c r="B495" s="14">
        <f t="shared" si="11"/>
        <v>84</v>
      </c>
      <c r="C495" s="15" t="str">
        <f t="shared" si="1"/>
        <v>diciembre</v>
      </c>
      <c r="D495" s="15">
        <f t="shared" si="2"/>
        <v>52</v>
      </c>
      <c r="E495" s="16" t="str">
        <f t="shared" si="3"/>
        <v>sábado</v>
      </c>
      <c r="F495" s="15">
        <f t="shared" si="4"/>
        <v>30</v>
      </c>
      <c r="G495" s="15" t="s">
        <v>24</v>
      </c>
      <c r="H495" s="3" t="str">
        <f>ONLINE!$G$3</f>
        <v>online</v>
      </c>
      <c r="I495" s="24" t="str">
        <f>ONLINE!B88</f>
        <v/>
      </c>
      <c r="J495" s="2" t="str">
        <f>ONLINE!C88</f>
        <v/>
      </c>
      <c r="K495" s="2" t="str">
        <f>ONLINE!D88</f>
        <v/>
      </c>
      <c r="L495" s="2" t="str">
        <f>ONLINE!E88</f>
        <v/>
      </c>
      <c r="M495" s="2" t="str">
        <f>ONLINE!F88</f>
        <v/>
      </c>
      <c r="N495" s="2" t="str">
        <f>ONLINE!G88</f>
        <v/>
      </c>
      <c r="O495" s="5" t="str">
        <f>ONLINE!H88</f>
        <v/>
      </c>
      <c r="P495" s="5" t="str">
        <f>ONLINE!I88</f>
        <v/>
      </c>
      <c r="Q495" s="5" t="str">
        <f>ONLINE!J88</f>
        <v/>
      </c>
      <c r="R495" s="2" t="str">
        <f>ONLINE!K88</f>
        <v/>
      </c>
      <c r="S495" s="2" t="str">
        <f>ONLINE!L88</f>
        <v/>
      </c>
      <c r="T495" s="2" t="str">
        <f>ONLINE!M88</f>
        <v/>
      </c>
      <c r="U495" s="34" t="str">
        <f>ONLINE!N88</f>
        <v/>
      </c>
      <c r="V495" s="34" t="str">
        <f>ONLINE!O88</f>
        <v/>
      </c>
      <c r="W495" s="2" t="str">
        <f>ONLINE!P88</f>
        <v/>
      </c>
      <c r="X495" s="34">
        <f>ONLINE!Q88</f>
        <v>0</v>
      </c>
      <c r="Y495" s="1"/>
      <c r="Z495" s="1"/>
      <c r="AA495" s="1"/>
    </row>
    <row r="496">
      <c r="A496" s="1"/>
      <c r="B496" s="14">
        <f t="shared" si="11"/>
        <v>85</v>
      </c>
      <c r="C496" s="15" t="str">
        <f t="shared" si="1"/>
        <v>diciembre</v>
      </c>
      <c r="D496" s="15">
        <f t="shared" si="2"/>
        <v>52</v>
      </c>
      <c r="E496" s="16" t="str">
        <f t="shared" si="3"/>
        <v>sábado</v>
      </c>
      <c r="F496" s="15">
        <f t="shared" si="4"/>
        <v>30</v>
      </c>
      <c r="G496" s="15" t="s">
        <v>24</v>
      </c>
      <c r="H496" s="3" t="str">
        <f>ONLINE!$G$3</f>
        <v>online</v>
      </c>
      <c r="I496" s="24" t="str">
        <f>ONLINE!B89</f>
        <v/>
      </c>
      <c r="J496" s="2" t="str">
        <f>ONLINE!C89</f>
        <v/>
      </c>
      <c r="K496" s="2" t="str">
        <f>ONLINE!D89</f>
        <v/>
      </c>
      <c r="L496" s="2" t="str">
        <f>ONLINE!E89</f>
        <v/>
      </c>
      <c r="M496" s="2" t="str">
        <f>ONLINE!F89</f>
        <v/>
      </c>
      <c r="N496" s="2" t="str">
        <f>ONLINE!G89</f>
        <v/>
      </c>
      <c r="O496" s="5" t="str">
        <f>ONLINE!H89</f>
        <v/>
      </c>
      <c r="P496" s="5" t="str">
        <f>ONLINE!I89</f>
        <v/>
      </c>
      <c r="Q496" s="5" t="str">
        <f>ONLINE!J89</f>
        <v/>
      </c>
      <c r="R496" s="2" t="str">
        <f>ONLINE!K89</f>
        <v/>
      </c>
      <c r="S496" s="2" t="str">
        <f>ONLINE!L89</f>
        <v/>
      </c>
      <c r="T496" s="2" t="str">
        <f>ONLINE!M89</f>
        <v/>
      </c>
      <c r="U496" s="34" t="str">
        <f>ONLINE!N89</f>
        <v/>
      </c>
      <c r="V496" s="34" t="str">
        <f>ONLINE!O89</f>
        <v/>
      </c>
      <c r="W496" s="2" t="str">
        <f>ONLINE!P89</f>
        <v/>
      </c>
      <c r="X496" s="34">
        <f>ONLINE!Q89</f>
        <v>0</v>
      </c>
      <c r="Y496" s="1"/>
      <c r="Z496" s="1"/>
      <c r="AA496" s="1"/>
    </row>
    <row r="497">
      <c r="A497" s="1"/>
      <c r="B497" s="14">
        <f t="shared" si="11"/>
        <v>86</v>
      </c>
      <c r="C497" s="15" t="str">
        <f t="shared" si="1"/>
        <v>diciembre</v>
      </c>
      <c r="D497" s="15">
        <f t="shared" si="2"/>
        <v>52</v>
      </c>
      <c r="E497" s="16" t="str">
        <f t="shared" si="3"/>
        <v>sábado</v>
      </c>
      <c r="F497" s="15">
        <f t="shared" si="4"/>
        <v>30</v>
      </c>
      <c r="G497" s="15" t="s">
        <v>24</v>
      </c>
      <c r="H497" s="3" t="str">
        <f>ONLINE!$G$3</f>
        <v>online</v>
      </c>
      <c r="I497" s="24" t="str">
        <f>ONLINE!B90</f>
        <v/>
      </c>
      <c r="J497" s="2" t="str">
        <f>ONLINE!C90</f>
        <v/>
      </c>
      <c r="K497" s="2" t="str">
        <f>ONLINE!D90</f>
        <v/>
      </c>
      <c r="L497" s="2" t="str">
        <f>ONLINE!E90</f>
        <v/>
      </c>
      <c r="M497" s="2" t="str">
        <f>ONLINE!F90</f>
        <v/>
      </c>
      <c r="N497" s="2" t="str">
        <f>ONLINE!G90</f>
        <v/>
      </c>
      <c r="O497" s="5" t="str">
        <f>ONLINE!H90</f>
        <v/>
      </c>
      <c r="P497" s="5" t="str">
        <f>ONLINE!I90</f>
        <v/>
      </c>
      <c r="Q497" s="5" t="str">
        <f>ONLINE!J90</f>
        <v/>
      </c>
      <c r="R497" s="2" t="str">
        <f>ONLINE!K90</f>
        <v/>
      </c>
      <c r="S497" s="2" t="str">
        <f>ONLINE!L90</f>
        <v/>
      </c>
      <c r="T497" s="2" t="str">
        <f>ONLINE!M90</f>
        <v/>
      </c>
      <c r="U497" s="34" t="str">
        <f>ONLINE!N90</f>
        <v/>
      </c>
      <c r="V497" s="34" t="str">
        <f>ONLINE!O90</f>
        <v/>
      </c>
      <c r="W497" s="2" t="str">
        <f>ONLINE!P90</f>
        <v/>
      </c>
      <c r="X497" s="34">
        <f>ONLINE!Q90</f>
        <v>0</v>
      </c>
      <c r="Y497" s="1"/>
      <c r="Z497" s="1"/>
      <c r="AA497" s="1"/>
    </row>
    <row r="498">
      <c r="A498" s="1"/>
      <c r="B498" s="14">
        <f t="shared" si="11"/>
        <v>87</v>
      </c>
      <c r="C498" s="15" t="str">
        <f t="shared" si="1"/>
        <v>diciembre</v>
      </c>
      <c r="D498" s="15">
        <f t="shared" si="2"/>
        <v>52</v>
      </c>
      <c r="E498" s="16" t="str">
        <f t="shared" si="3"/>
        <v>sábado</v>
      </c>
      <c r="F498" s="15">
        <f t="shared" si="4"/>
        <v>30</v>
      </c>
      <c r="G498" s="15" t="s">
        <v>24</v>
      </c>
      <c r="H498" s="3" t="str">
        <f>ONLINE!$G$3</f>
        <v>online</v>
      </c>
      <c r="I498" s="24" t="str">
        <f>ONLINE!B91</f>
        <v/>
      </c>
      <c r="J498" s="2" t="str">
        <f>ONLINE!C91</f>
        <v/>
      </c>
      <c r="K498" s="2" t="str">
        <f>ONLINE!D91</f>
        <v/>
      </c>
      <c r="L498" s="2" t="str">
        <f>ONLINE!E91</f>
        <v/>
      </c>
      <c r="M498" s="2" t="str">
        <f>ONLINE!F91</f>
        <v/>
      </c>
      <c r="N498" s="2" t="str">
        <f>ONLINE!G91</f>
        <v/>
      </c>
      <c r="O498" s="5" t="str">
        <f>ONLINE!H91</f>
        <v/>
      </c>
      <c r="P498" s="5" t="str">
        <f>ONLINE!I91</f>
        <v/>
      </c>
      <c r="Q498" s="5" t="str">
        <f>ONLINE!J91</f>
        <v/>
      </c>
      <c r="R498" s="2" t="str">
        <f>ONLINE!K91</f>
        <v/>
      </c>
      <c r="S498" s="2" t="str">
        <f>ONLINE!L91</f>
        <v/>
      </c>
      <c r="T498" s="2" t="str">
        <f>ONLINE!M91</f>
        <v/>
      </c>
      <c r="U498" s="34" t="str">
        <f>ONLINE!N91</f>
        <v/>
      </c>
      <c r="V498" s="34" t="str">
        <f>ONLINE!O91</f>
        <v/>
      </c>
      <c r="W498" s="2" t="str">
        <f>ONLINE!P91</f>
        <v/>
      </c>
      <c r="X498" s="34">
        <f>ONLINE!Q91</f>
        <v>0</v>
      </c>
      <c r="Y498" s="1"/>
      <c r="Z498" s="1"/>
      <c r="AA498" s="1"/>
    </row>
    <row r="499">
      <c r="A499" s="1"/>
      <c r="B499" s="14">
        <f t="shared" si="11"/>
        <v>88</v>
      </c>
      <c r="C499" s="15" t="str">
        <f t="shared" si="1"/>
        <v>diciembre</v>
      </c>
      <c r="D499" s="15">
        <f t="shared" si="2"/>
        <v>52</v>
      </c>
      <c r="E499" s="16" t="str">
        <f t="shared" si="3"/>
        <v>sábado</v>
      </c>
      <c r="F499" s="15">
        <f t="shared" si="4"/>
        <v>30</v>
      </c>
      <c r="G499" s="15" t="s">
        <v>24</v>
      </c>
      <c r="H499" s="3" t="str">
        <f>ONLINE!$G$3</f>
        <v>online</v>
      </c>
      <c r="I499" s="24" t="str">
        <f>ONLINE!B92</f>
        <v/>
      </c>
      <c r="J499" s="2" t="str">
        <f>ONLINE!C92</f>
        <v/>
      </c>
      <c r="K499" s="2" t="str">
        <f>ONLINE!D92</f>
        <v/>
      </c>
      <c r="L499" s="2" t="str">
        <f>ONLINE!E92</f>
        <v/>
      </c>
      <c r="M499" s="2" t="str">
        <f>ONLINE!F92</f>
        <v/>
      </c>
      <c r="N499" s="2" t="str">
        <f>ONLINE!G92</f>
        <v/>
      </c>
      <c r="O499" s="5" t="str">
        <f>ONLINE!H92</f>
        <v/>
      </c>
      <c r="P499" s="5" t="str">
        <f>ONLINE!I92</f>
        <v/>
      </c>
      <c r="Q499" s="5" t="str">
        <f>ONLINE!J92</f>
        <v/>
      </c>
      <c r="R499" s="2" t="str">
        <f>ONLINE!K92</f>
        <v/>
      </c>
      <c r="S499" s="2" t="str">
        <f>ONLINE!L92</f>
        <v/>
      </c>
      <c r="T499" s="2" t="str">
        <f>ONLINE!M92</f>
        <v/>
      </c>
      <c r="U499" s="34" t="str">
        <f>ONLINE!N92</f>
        <v/>
      </c>
      <c r="V499" s="34" t="str">
        <f>ONLINE!O92</f>
        <v/>
      </c>
      <c r="W499" s="2" t="str">
        <f>ONLINE!P92</f>
        <v/>
      </c>
      <c r="X499" s="34">
        <f>ONLINE!Q92</f>
        <v>0</v>
      </c>
      <c r="Y499" s="1"/>
      <c r="Z499" s="1"/>
      <c r="AA499" s="1"/>
    </row>
    <row r="500">
      <c r="A500" s="1"/>
      <c r="B500" s="14">
        <f t="shared" si="11"/>
        <v>89</v>
      </c>
      <c r="C500" s="15" t="str">
        <f t="shared" si="1"/>
        <v>diciembre</v>
      </c>
      <c r="D500" s="15">
        <f t="shared" si="2"/>
        <v>52</v>
      </c>
      <c r="E500" s="16" t="str">
        <f t="shared" si="3"/>
        <v>sábado</v>
      </c>
      <c r="F500" s="15">
        <f t="shared" si="4"/>
        <v>30</v>
      </c>
      <c r="G500" s="15" t="s">
        <v>24</v>
      </c>
      <c r="H500" s="3" t="str">
        <f>ONLINE!$G$3</f>
        <v>online</v>
      </c>
      <c r="I500" s="24" t="str">
        <f>ONLINE!B93</f>
        <v/>
      </c>
      <c r="J500" s="2" t="str">
        <f>ONLINE!C93</f>
        <v/>
      </c>
      <c r="K500" s="2" t="str">
        <f>ONLINE!D93</f>
        <v/>
      </c>
      <c r="L500" s="2" t="str">
        <f>ONLINE!E93</f>
        <v/>
      </c>
      <c r="M500" s="2" t="str">
        <f>ONLINE!F93</f>
        <v/>
      </c>
      <c r="N500" s="2" t="str">
        <f>ONLINE!G93</f>
        <v/>
      </c>
      <c r="O500" s="5" t="str">
        <f>ONLINE!H93</f>
        <v/>
      </c>
      <c r="P500" s="5" t="str">
        <f>ONLINE!I93</f>
        <v/>
      </c>
      <c r="Q500" s="5" t="str">
        <f>ONLINE!J93</f>
        <v/>
      </c>
      <c r="R500" s="2" t="str">
        <f>ONLINE!K93</f>
        <v/>
      </c>
      <c r="S500" s="2" t="str">
        <f>ONLINE!L93</f>
        <v/>
      </c>
      <c r="T500" s="2" t="str">
        <f>ONLINE!M93</f>
        <v/>
      </c>
      <c r="U500" s="34" t="str">
        <f>ONLINE!N93</f>
        <v/>
      </c>
      <c r="V500" s="34" t="str">
        <f>ONLINE!O93</f>
        <v/>
      </c>
      <c r="W500" s="2" t="str">
        <f>ONLINE!P93</f>
        <v/>
      </c>
      <c r="X500" s="34">
        <f>ONLINE!Q93</f>
        <v>0</v>
      </c>
      <c r="Y500" s="1"/>
      <c r="Z500" s="1"/>
      <c r="AA500" s="1"/>
    </row>
    <row r="501">
      <c r="A501" s="1"/>
      <c r="B501" s="14">
        <f t="shared" si="11"/>
        <v>90</v>
      </c>
      <c r="C501" s="15" t="str">
        <f t="shared" si="1"/>
        <v>diciembre</v>
      </c>
      <c r="D501" s="15">
        <f t="shared" si="2"/>
        <v>52</v>
      </c>
      <c r="E501" s="16" t="str">
        <f t="shared" si="3"/>
        <v>sábado</v>
      </c>
      <c r="F501" s="15">
        <f t="shared" si="4"/>
        <v>30</v>
      </c>
      <c r="G501" s="15" t="s">
        <v>24</v>
      </c>
      <c r="H501" s="3" t="str">
        <f>ONLINE!$G$3</f>
        <v>online</v>
      </c>
      <c r="I501" s="24" t="str">
        <f>ONLINE!B94</f>
        <v/>
      </c>
      <c r="J501" s="2" t="str">
        <f>ONLINE!C94</f>
        <v/>
      </c>
      <c r="K501" s="2" t="str">
        <f>ONLINE!D94</f>
        <v/>
      </c>
      <c r="L501" s="2" t="str">
        <f>ONLINE!E94</f>
        <v/>
      </c>
      <c r="M501" s="2" t="str">
        <f>ONLINE!F94</f>
        <v/>
      </c>
      <c r="N501" s="2" t="str">
        <f>ONLINE!G94</f>
        <v/>
      </c>
      <c r="O501" s="5" t="str">
        <f>ONLINE!H94</f>
        <v/>
      </c>
      <c r="P501" s="5" t="str">
        <f>ONLINE!I94</f>
        <v/>
      </c>
      <c r="Q501" s="5" t="str">
        <f>ONLINE!J94</f>
        <v/>
      </c>
      <c r="R501" s="2" t="str">
        <f>ONLINE!K94</f>
        <v/>
      </c>
      <c r="S501" s="2" t="str">
        <f>ONLINE!L94</f>
        <v/>
      </c>
      <c r="T501" s="2" t="str">
        <f>ONLINE!M94</f>
        <v/>
      </c>
      <c r="U501" s="34" t="str">
        <f>ONLINE!N94</f>
        <v/>
      </c>
      <c r="V501" s="34" t="str">
        <f>ONLINE!O94</f>
        <v/>
      </c>
      <c r="W501" s="2" t="str">
        <f>ONLINE!P94</f>
        <v/>
      </c>
      <c r="X501" s="34">
        <f>ONLINE!Q94</f>
        <v>0</v>
      </c>
      <c r="Y501" s="1"/>
      <c r="Z501" s="1"/>
      <c r="AA501" s="1"/>
    </row>
    <row r="502">
      <c r="A502" s="1"/>
      <c r="B502" s="14">
        <f t="shared" si="11"/>
        <v>91</v>
      </c>
      <c r="C502" s="15" t="str">
        <f t="shared" si="1"/>
        <v>diciembre</v>
      </c>
      <c r="D502" s="15">
        <f t="shared" si="2"/>
        <v>52</v>
      </c>
      <c r="E502" s="16" t="str">
        <f t="shared" si="3"/>
        <v>sábado</v>
      </c>
      <c r="F502" s="15">
        <f t="shared" si="4"/>
        <v>30</v>
      </c>
      <c r="G502" s="15" t="s">
        <v>24</v>
      </c>
      <c r="H502" s="3" t="str">
        <f>ONLINE!$G$3</f>
        <v>online</v>
      </c>
      <c r="I502" s="24" t="str">
        <f>ONLINE!B95</f>
        <v/>
      </c>
      <c r="J502" s="2" t="str">
        <f>ONLINE!C95</f>
        <v/>
      </c>
      <c r="K502" s="2" t="str">
        <f>ONLINE!D95</f>
        <v/>
      </c>
      <c r="L502" s="2" t="str">
        <f>ONLINE!E95</f>
        <v/>
      </c>
      <c r="M502" s="2" t="str">
        <f>ONLINE!F95</f>
        <v/>
      </c>
      <c r="N502" s="2" t="str">
        <f>ONLINE!G95</f>
        <v/>
      </c>
      <c r="O502" s="5" t="str">
        <f>ONLINE!H95</f>
        <v/>
      </c>
      <c r="P502" s="5" t="str">
        <f>ONLINE!I95</f>
        <v/>
      </c>
      <c r="Q502" s="5" t="str">
        <f>ONLINE!J95</f>
        <v/>
      </c>
      <c r="R502" s="2" t="str">
        <f>ONLINE!K95</f>
        <v/>
      </c>
      <c r="S502" s="2" t="str">
        <f>ONLINE!L95</f>
        <v/>
      </c>
      <c r="T502" s="2" t="str">
        <f>ONLINE!M95</f>
        <v/>
      </c>
      <c r="U502" s="34" t="str">
        <f>ONLINE!N95</f>
        <v/>
      </c>
      <c r="V502" s="34" t="str">
        <f>ONLINE!O95</f>
        <v/>
      </c>
      <c r="W502" s="2" t="str">
        <f>ONLINE!P95</f>
        <v/>
      </c>
      <c r="X502" s="34">
        <f>ONLINE!Q95</f>
        <v>0</v>
      </c>
      <c r="Y502" s="1"/>
      <c r="Z502" s="1"/>
      <c r="AA502" s="1"/>
    </row>
    <row r="503">
      <c r="A503" s="1"/>
      <c r="B503" s="14">
        <f t="shared" si="11"/>
        <v>92</v>
      </c>
      <c r="C503" s="15" t="str">
        <f t="shared" si="1"/>
        <v>diciembre</v>
      </c>
      <c r="D503" s="15">
        <f t="shared" si="2"/>
        <v>52</v>
      </c>
      <c r="E503" s="16" t="str">
        <f t="shared" si="3"/>
        <v>sábado</v>
      </c>
      <c r="F503" s="15">
        <f t="shared" si="4"/>
        <v>30</v>
      </c>
      <c r="G503" s="15" t="s">
        <v>24</v>
      </c>
      <c r="H503" s="3" t="str">
        <f>ONLINE!$G$3</f>
        <v>online</v>
      </c>
      <c r="I503" s="24" t="str">
        <f>ONLINE!B96</f>
        <v/>
      </c>
      <c r="J503" s="2" t="str">
        <f>ONLINE!C96</f>
        <v/>
      </c>
      <c r="K503" s="2" t="str">
        <f>ONLINE!D96</f>
        <v/>
      </c>
      <c r="L503" s="2" t="str">
        <f>ONLINE!E96</f>
        <v/>
      </c>
      <c r="M503" s="2" t="str">
        <f>ONLINE!F96</f>
        <v/>
      </c>
      <c r="N503" s="2" t="str">
        <f>ONLINE!G96</f>
        <v/>
      </c>
      <c r="O503" s="5" t="str">
        <f>ONLINE!H96</f>
        <v/>
      </c>
      <c r="P503" s="5" t="str">
        <f>ONLINE!I96</f>
        <v/>
      </c>
      <c r="Q503" s="5" t="str">
        <f>ONLINE!J96</f>
        <v/>
      </c>
      <c r="R503" s="2" t="str">
        <f>ONLINE!K96</f>
        <v/>
      </c>
      <c r="S503" s="2" t="str">
        <f>ONLINE!L96</f>
        <v/>
      </c>
      <c r="T503" s="2" t="str">
        <f>ONLINE!M96</f>
        <v/>
      </c>
      <c r="U503" s="34" t="str">
        <f>ONLINE!N96</f>
        <v/>
      </c>
      <c r="V503" s="34" t="str">
        <f>ONLINE!O96</f>
        <v/>
      </c>
      <c r="W503" s="2" t="str">
        <f>ONLINE!P96</f>
        <v/>
      </c>
      <c r="X503" s="34">
        <f>ONLINE!Q96</f>
        <v>0</v>
      </c>
      <c r="Y503" s="1"/>
      <c r="Z503" s="1"/>
      <c r="AA503" s="1"/>
    </row>
    <row r="504">
      <c r="A504" s="1"/>
      <c r="B504" s="14">
        <f t="shared" si="11"/>
        <v>93</v>
      </c>
      <c r="C504" s="15" t="str">
        <f t="shared" si="1"/>
        <v>diciembre</v>
      </c>
      <c r="D504" s="15">
        <f t="shared" si="2"/>
        <v>52</v>
      </c>
      <c r="E504" s="16" t="str">
        <f t="shared" si="3"/>
        <v>sábado</v>
      </c>
      <c r="F504" s="15">
        <f t="shared" si="4"/>
        <v>30</v>
      </c>
      <c r="G504" s="15" t="s">
        <v>24</v>
      </c>
      <c r="H504" s="3" t="str">
        <f>ONLINE!$G$3</f>
        <v>online</v>
      </c>
      <c r="I504" s="24" t="str">
        <f>ONLINE!B97</f>
        <v/>
      </c>
      <c r="J504" s="2" t="str">
        <f>ONLINE!C97</f>
        <v/>
      </c>
      <c r="K504" s="2" t="str">
        <f>ONLINE!D97</f>
        <v/>
      </c>
      <c r="L504" s="2" t="str">
        <f>ONLINE!E97</f>
        <v/>
      </c>
      <c r="M504" s="2" t="str">
        <f>ONLINE!F97</f>
        <v/>
      </c>
      <c r="N504" s="2" t="str">
        <f>ONLINE!G97</f>
        <v/>
      </c>
      <c r="O504" s="5" t="str">
        <f>ONLINE!H97</f>
        <v/>
      </c>
      <c r="P504" s="5" t="str">
        <f>ONLINE!I97</f>
        <v/>
      </c>
      <c r="Q504" s="5" t="str">
        <f>ONLINE!J97</f>
        <v/>
      </c>
      <c r="R504" s="2" t="str">
        <f>ONLINE!K97</f>
        <v/>
      </c>
      <c r="S504" s="2" t="str">
        <f>ONLINE!L97</f>
        <v/>
      </c>
      <c r="T504" s="2" t="str">
        <f>ONLINE!M97</f>
        <v/>
      </c>
      <c r="U504" s="34" t="str">
        <f>ONLINE!N97</f>
        <v/>
      </c>
      <c r="V504" s="34" t="str">
        <f>ONLINE!O97</f>
        <v/>
      </c>
      <c r="W504" s="2" t="str">
        <f>ONLINE!P97</f>
        <v/>
      </c>
      <c r="X504" s="34">
        <f>ONLINE!Q97</f>
        <v>0</v>
      </c>
      <c r="Y504" s="1"/>
      <c r="Z504" s="1"/>
      <c r="AA504" s="1"/>
    </row>
    <row r="505">
      <c r="A505" s="1"/>
      <c r="B505" s="14">
        <f t="shared" si="11"/>
        <v>94</v>
      </c>
      <c r="C505" s="15" t="str">
        <f t="shared" si="1"/>
        <v>diciembre</v>
      </c>
      <c r="D505" s="15">
        <f t="shared" si="2"/>
        <v>52</v>
      </c>
      <c r="E505" s="16" t="str">
        <f t="shared" si="3"/>
        <v>sábado</v>
      </c>
      <c r="F505" s="15">
        <f t="shared" si="4"/>
        <v>30</v>
      </c>
      <c r="G505" s="15" t="s">
        <v>24</v>
      </c>
      <c r="H505" s="3" t="str">
        <f>ONLINE!$G$3</f>
        <v>online</v>
      </c>
      <c r="I505" s="24" t="str">
        <f>ONLINE!B98</f>
        <v/>
      </c>
      <c r="J505" s="2" t="str">
        <f>ONLINE!C98</f>
        <v/>
      </c>
      <c r="K505" s="2" t="str">
        <f>ONLINE!D98</f>
        <v/>
      </c>
      <c r="L505" s="2" t="str">
        <f>ONLINE!E98</f>
        <v/>
      </c>
      <c r="M505" s="2" t="str">
        <f>ONLINE!F98</f>
        <v/>
      </c>
      <c r="N505" s="2" t="str">
        <f>ONLINE!G98</f>
        <v/>
      </c>
      <c r="O505" s="5" t="str">
        <f>ONLINE!H98</f>
        <v/>
      </c>
      <c r="P505" s="5" t="str">
        <f>ONLINE!I98</f>
        <v/>
      </c>
      <c r="Q505" s="5" t="str">
        <f>ONLINE!J98</f>
        <v/>
      </c>
      <c r="R505" s="2" t="str">
        <f>ONLINE!K98</f>
        <v/>
      </c>
      <c r="S505" s="2" t="str">
        <f>ONLINE!L98</f>
        <v/>
      </c>
      <c r="T505" s="2" t="str">
        <f>ONLINE!M98</f>
        <v/>
      </c>
      <c r="U505" s="34" t="str">
        <f>ONLINE!N98</f>
        <v/>
      </c>
      <c r="V505" s="34" t="str">
        <f>ONLINE!O98</f>
        <v/>
      </c>
      <c r="W505" s="2" t="str">
        <f>ONLINE!P98</f>
        <v/>
      </c>
      <c r="X505" s="34">
        <f>ONLINE!Q98</f>
        <v>0</v>
      </c>
      <c r="Y505" s="1"/>
      <c r="Z505" s="1"/>
      <c r="AA505" s="1"/>
    </row>
    <row r="506">
      <c r="A506" s="1"/>
      <c r="B506" s="14">
        <f t="shared" si="11"/>
        <v>95</v>
      </c>
      <c r="C506" s="15" t="str">
        <f t="shared" si="1"/>
        <v>diciembre</v>
      </c>
      <c r="D506" s="15">
        <f t="shared" si="2"/>
        <v>52</v>
      </c>
      <c r="E506" s="16" t="str">
        <f t="shared" si="3"/>
        <v>sábado</v>
      </c>
      <c r="F506" s="15">
        <f t="shared" si="4"/>
        <v>30</v>
      </c>
      <c r="G506" s="15" t="s">
        <v>24</v>
      </c>
      <c r="H506" s="3" t="str">
        <f>ONLINE!$G$3</f>
        <v>online</v>
      </c>
      <c r="I506" s="24" t="str">
        <f>ONLINE!B99</f>
        <v/>
      </c>
      <c r="J506" s="2" t="str">
        <f>ONLINE!C99</f>
        <v/>
      </c>
      <c r="K506" s="2" t="str">
        <f>ONLINE!D99</f>
        <v/>
      </c>
      <c r="L506" s="2" t="str">
        <f>ONLINE!E99</f>
        <v/>
      </c>
      <c r="M506" s="2" t="str">
        <f>ONLINE!F99</f>
        <v/>
      </c>
      <c r="N506" s="2" t="str">
        <f>ONLINE!G99</f>
        <v/>
      </c>
      <c r="O506" s="5" t="str">
        <f>ONLINE!H99</f>
        <v/>
      </c>
      <c r="P506" s="5" t="str">
        <f>ONLINE!I99</f>
        <v/>
      </c>
      <c r="Q506" s="5" t="str">
        <f>ONLINE!J99</f>
        <v/>
      </c>
      <c r="R506" s="2" t="str">
        <f>ONLINE!K99</f>
        <v/>
      </c>
      <c r="S506" s="2" t="str">
        <f>ONLINE!L99</f>
        <v/>
      </c>
      <c r="T506" s="2" t="str">
        <f>ONLINE!M99</f>
        <v/>
      </c>
      <c r="U506" s="34" t="str">
        <f>ONLINE!N99</f>
        <v/>
      </c>
      <c r="V506" s="34" t="str">
        <f>ONLINE!O99</f>
        <v/>
      </c>
      <c r="W506" s="2" t="str">
        <f>ONLINE!P99</f>
        <v/>
      </c>
      <c r="X506" s="34">
        <f>ONLINE!Q99</f>
        <v>0</v>
      </c>
      <c r="Y506" s="1"/>
      <c r="Z506" s="1"/>
      <c r="AA506" s="1"/>
    </row>
    <row r="507">
      <c r="A507" s="1"/>
      <c r="B507" s="14">
        <f t="shared" si="11"/>
        <v>96</v>
      </c>
      <c r="C507" s="15" t="str">
        <f t="shared" si="1"/>
        <v>diciembre</v>
      </c>
      <c r="D507" s="15">
        <f t="shared" si="2"/>
        <v>52</v>
      </c>
      <c r="E507" s="16" t="str">
        <f t="shared" si="3"/>
        <v>sábado</v>
      </c>
      <c r="F507" s="15">
        <f t="shared" si="4"/>
        <v>30</v>
      </c>
      <c r="G507" s="15" t="s">
        <v>24</v>
      </c>
      <c r="H507" s="3" t="str">
        <f>ONLINE!$G$3</f>
        <v>online</v>
      </c>
      <c r="I507" s="24" t="str">
        <f>ONLINE!B100</f>
        <v/>
      </c>
      <c r="J507" s="2" t="str">
        <f>ONLINE!C100</f>
        <v/>
      </c>
      <c r="K507" s="2" t="str">
        <f>ONLINE!D100</f>
        <v/>
      </c>
      <c r="L507" s="2" t="str">
        <f>ONLINE!E100</f>
        <v/>
      </c>
      <c r="M507" s="2" t="str">
        <f>ONLINE!F100</f>
        <v/>
      </c>
      <c r="N507" s="2" t="str">
        <f>ONLINE!G100</f>
        <v/>
      </c>
      <c r="O507" s="5" t="str">
        <f>ONLINE!H100</f>
        <v/>
      </c>
      <c r="P507" s="5" t="str">
        <f>ONLINE!I100</f>
        <v/>
      </c>
      <c r="Q507" s="5" t="str">
        <f>ONLINE!J100</f>
        <v/>
      </c>
      <c r="R507" s="2" t="str">
        <f>ONLINE!K100</f>
        <v/>
      </c>
      <c r="S507" s="2" t="str">
        <f>ONLINE!L100</f>
        <v/>
      </c>
      <c r="T507" s="2" t="str">
        <f>ONLINE!M100</f>
        <v/>
      </c>
      <c r="U507" s="34" t="str">
        <f>ONLINE!N100</f>
        <v/>
      </c>
      <c r="V507" s="34" t="str">
        <f>ONLINE!O100</f>
        <v/>
      </c>
      <c r="W507" s="2" t="str">
        <f>ONLINE!P100</f>
        <v/>
      </c>
      <c r="X507" s="34">
        <f>ONLINE!Q100</f>
        <v>0</v>
      </c>
      <c r="Y507" s="1"/>
      <c r="Z507" s="1"/>
      <c r="AA507" s="1"/>
    </row>
    <row r="508">
      <c r="A508" s="1"/>
      <c r="B508" s="14">
        <f t="shared" si="11"/>
        <v>97</v>
      </c>
      <c r="C508" s="15" t="str">
        <f t="shared" si="1"/>
        <v>diciembre</v>
      </c>
      <c r="D508" s="15">
        <f t="shared" si="2"/>
        <v>52</v>
      </c>
      <c r="E508" s="16" t="str">
        <f t="shared" si="3"/>
        <v>sábado</v>
      </c>
      <c r="F508" s="15">
        <f t="shared" si="4"/>
        <v>30</v>
      </c>
      <c r="G508" s="15" t="s">
        <v>24</v>
      </c>
      <c r="H508" s="3" t="str">
        <f>ONLINE!$G$3</f>
        <v>online</v>
      </c>
      <c r="I508" s="24" t="str">
        <f>ONLINE!B101</f>
        <v/>
      </c>
      <c r="J508" s="2" t="str">
        <f>ONLINE!C101</f>
        <v/>
      </c>
      <c r="K508" s="2" t="str">
        <f>ONLINE!D101</f>
        <v/>
      </c>
      <c r="L508" s="2" t="str">
        <f>ONLINE!E101</f>
        <v/>
      </c>
      <c r="M508" s="2" t="str">
        <f>ONLINE!F101</f>
        <v/>
      </c>
      <c r="N508" s="2" t="str">
        <f>ONLINE!G101</f>
        <v/>
      </c>
      <c r="O508" s="5" t="str">
        <f>ONLINE!H101</f>
        <v/>
      </c>
      <c r="P508" s="5" t="str">
        <f>ONLINE!I101</f>
        <v/>
      </c>
      <c r="Q508" s="5" t="str">
        <f>ONLINE!J101</f>
        <v/>
      </c>
      <c r="R508" s="2" t="str">
        <f>ONLINE!K101</f>
        <v/>
      </c>
      <c r="S508" s="2" t="str">
        <f>ONLINE!L101</f>
        <v/>
      </c>
      <c r="T508" s="2" t="str">
        <f>ONLINE!M101</f>
        <v/>
      </c>
      <c r="U508" s="34" t="str">
        <f>ONLINE!N101</f>
        <v/>
      </c>
      <c r="V508" s="34" t="str">
        <f>ONLINE!O101</f>
        <v/>
      </c>
      <c r="W508" s="2" t="str">
        <f>ONLINE!P101</f>
        <v/>
      </c>
      <c r="X508" s="34">
        <f>ONLINE!Q101</f>
        <v>0</v>
      </c>
      <c r="Y508" s="1"/>
      <c r="Z508" s="1"/>
      <c r="AA508" s="1"/>
    </row>
    <row r="509">
      <c r="A509" s="1"/>
      <c r="B509" s="14">
        <f t="shared" si="11"/>
        <v>98</v>
      </c>
      <c r="C509" s="15" t="str">
        <f t="shared" si="1"/>
        <v>diciembre</v>
      </c>
      <c r="D509" s="15">
        <f t="shared" si="2"/>
        <v>52</v>
      </c>
      <c r="E509" s="16" t="str">
        <f t="shared" si="3"/>
        <v>sábado</v>
      </c>
      <c r="F509" s="15">
        <f t="shared" si="4"/>
        <v>30</v>
      </c>
      <c r="G509" s="15" t="s">
        <v>24</v>
      </c>
      <c r="H509" s="3" t="str">
        <f>ONLINE!$G$3</f>
        <v>online</v>
      </c>
      <c r="I509" s="24" t="str">
        <f>ONLINE!B102</f>
        <v/>
      </c>
      <c r="J509" s="2" t="str">
        <f>ONLINE!C102</f>
        <v/>
      </c>
      <c r="K509" s="2" t="str">
        <f>ONLINE!D102</f>
        <v/>
      </c>
      <c r="L509" s="2" t="str">
        <f>ONLINE!E102</f>
        <v/>
      </c>
      <c r="M509" s="2" t="str">
        <f>ONLINE!F102</f>
        <v/>
      </c>
      <c r="N509" s="2" t="str">
        <f>ONLINE!G102</f>
        <v/>
      </c>
      <c r="O509" s="5" t="str">
        <f>ONLINE!H102</f>
        <v/>
      </c>
      <c r="P509" s="5" t="str">
        <f>ONLINE!I102</f>
        <v/>
      </c>
      <c r="Q509" s="5" t="str">
        <f>ONLINE!J102</f>
        <v/>
      </c>
      <c r="R509" s="2" t="str">
        <f>ONLINE!K102</f>
        <v/>
      </c>
      <c r="S509" s="2" t="str">
        <f>ONLINE!L102</f>
        <v/>
      </c>
      <c r="T509" s="2" t="str">
        <f>ONLINE!M102</f>
        <v/>
      </c>
      <c r="U509" s="34" t="str">
        <f>ONLINE!N102</f>
        <v/>
      </c>
      <c r="V509" s="34" t="str">
        <f>ONLINE!O102</f>
        <v/>
      </c>
      <c r="W509" s="2" t="str">
        <f>ONLINE!P102</f>
        <v/>
      </c>
      <c r="X509" s="34">
        <f>ONLINE!Q102</f>
        <v>0</v>
      </c>
      <c r="Y509" s="1"/>
      <c r="Z509" s="1"/>
      <c r="AA509" s="1"/>
    </row>
    <row r="510">
      <c r="A510" s="1"/>
      <c r="B510" s="14">
        <f t="shared" si="11"/>
        <v>99</v>
      </c>
      <c r="C510" s="15" t="str">
        <f t="shared" si="1"/>
        <v>diciembre</v>
      </c>
      <c r="D510" s="15">
        <f t="shared" si="2"/>
        <v>52</v>
      </c>
      <c r="E510" s="16" t="str">
        <f t="shared" si="3"/>
        <v>sábado</v>
      </c>
      <c r="F510" s="15">
        <f t="shared" si="4"/>
        <v>30</v>
      </c>
      <c r="G510" s="15" t="s">
        <v>24</v>
      </c>
      <c r="H510" s="3" t="str">
        <f>ONLINE!$G$3</f>
        <v>online</v>
      </c>
      <c r="I510" s="24" t="str">
        <f>ONLINE!B103</f>
        <v/>
      </c>
      <c r="J510" s="2" t="str">
        <f>ONLINE!C103</f>
        <v/>
      </c>
      <c r="K510" s="2" t="str">
        <f>ONLINE!D103</f>
        <v/>
      </c>
      <c r="L510" s="2" t="str">
        <f>ONLINE!E103</f>
        <v/>
      </c>
      <c r="M510" s="2" t="str">
        <f>ONLINE!F103</f>
        <v/>
      </c>
      <c r="N510" s="2" t="str">
        <f>ONLINE!G103</f>
        <v/>
      </c>
      <c r="O510" s="5" t="str">
        <f>ONLINE!H103</f>
        <v/>
      </c>
      <c r="P510" s="5" t="str">
        <f>ONLINE!I103</f>
        <v/>
      </c>
      <c r="Q510" s="5" t="str">
        <f>ONLINE!J103</f>
        <v/>
      </c>
      <c r="R510" s="2" t="str">
        <f>ONLINE!K103</f>
        <v/>
      </c>
      <c r="S510" s="2" t="str">
        <f>ONLINE!L103</f>
        <v/>
      </c>
      <c r="T510" s="2" t="str">
        <f>ONLINE!M103</f>
        <v/>
      </c>
      <c r="U510" s="34" t="str">
        <f>ONLINE!N103</f>
        <v/>
      </c>
      <c r="V510" s="34" t="str">
        <f>ONLINE!O103</f>
        <v/>
      </c>
      <c r="W510" s="2" t="str">
        <f>ONLINE!P103</f>
        <v/>
      </c>
      <c r="X510" s="34">
        <f>ONLINE!Q103</f>
        <v>0</v>
      </c>
      <c r="Y510" s="1"/>
      <c r="Z510" s="1"/>
      <c r="AA510" s="1"/>
    </row>
    <row r="511">
      <c r="A511" s="1"/>
      <c r="B511" s="14">
        <f t="shared" si="11"/>
        <v>100</v>
      </c>
      <c r="C511" s="15" t="str">
        <f t="shared" si="1"/>
        <v>diciembre</v>
      </c>
      <c r="D511" s="15">
        <f t="shared" si="2"/>
        <v>52</v>
      </c>
      <c r="E511" s="16" t="str">
        <f t="shared" si="3"/>
        <v>sábado</v>
      </c>
      <c r="F511" s="15">
        <f t="shared" si="4"/>
        <v>30</v>
      </c>
      <c r="G511" s="15" t="s">
        <v>24</v>
      </c>
      <c r="H511" s="3" t="str">
        <f>ONLINE!$G$3</f>
        <v>online</v>
      </c>
      <c r="I511" s="24" t="str">
        <f>ONLINE!B104</f>
        <v/>
      </c>
      <c r="J511" s="2" t="str">
        <f>ONLINE!C104</f>
        <v/>
      </c>
      <c r="K511" s="2" t="str">
        <f>ONLINE!D104</f>
        <v/>
      </c>
      <c r="L511" s="2" t="str">
        <f>ONLINE!E104</f>
        <v/>
      </c>
      <c r="M511" s="2" t="str">
        <f>ONLINE!F104</f>
        <v/>
      </c>
      <c r="N511" s="2" t="str">
        <f>ONLINE!G104</f>
        <v/>
      </c>
      <c r="O511" s="5" t="str">
        <f>ONLINE!H104</f>
        <v/>
      </c>
      <c r="P511" s="5" t="str">
        <f>ONLINE!I104</f>
        <v/>
      </c>
      <c r="Q511" s="5" t="str">
        <f>ONLINE!J104</f>
        <v/>
      </c>
      <c r="R511" s="2" t="str">
        <f>ONLINE!K104</f>
        <v/>
      </c>
      <c r="S511" s="2" t="str">
        <f>ONLINE!L104</f>
        <v/>
      </c>
      <c r="T511" s="2" t="str">
        <f>ONLINE!M104</f>
        <v/>
      </c>
      <c r="U511" s="34" t="str">
        <f>ONLINE!N104</f>
        <v/>
      </c>
      <c r="V511" s="34" t="str">
        <f>ONLINE!O104</f>
        <v/>
      </c>
      <c r="W511" s="2" t="str">
        <f>ONLINE!P104</f>
        <v/>
      </c>
      <c r="X511" s="34">
        <f>ONLINE!Q104</f>
        <v>0</v>
      </c>
      <c r="Y511" s="1"/>
      <c r="Z511" s="1"/>
      <c r="AA511" s="1"/>
    </row>
    <row r="512">
      <c r="A512" s="1"/>
      <c r="B512" s="14">
        <f t="shared" si="11"/>
        <v>101</v>
      </c>
      <c r="C512" s="15" t="str">
        <f t="shared" si="1"/>
        <v>diciembre</v>
      </c>
      <c r="D512" s="15">
        <f t="shared" si="2"/>
        <v>52</v>
      </c>
      <c r="E512" s="16" t="str">
        <f t="shared" si="3"/>
        <v>sábado</v>
      </c>
      <c r="F512" s="15">
        <f t="shared" si="4"/>
        <v>30</v>
      </c>
      <c r="G512" s="15" t="s">
        <v>24</v>
      </c>
      <c r="H512" s="3" t="str">
        <f>ONLINE!$G$3</f>
        <v>online</v>
      </c>
      <c r="I512" s="24" t="str">
        <f>ONLINE!B105</f>
        <v/>
      </c>
      <c r="J512" s="2" t="str">
        <f>ONLINE!C105</f>
        <v/>
      </c>
      <c r="K512" s="2" t="str">
        <f>ONLINE!D105</f>
        <v/>
      </c>
      <c r="L512" s="2" t="str">
        <f>ONLINE!E105</f>
        <v/>
      </c>
      <c r="M512" s="2" t="str">
        <f>ONLINE!F105</f>
        <v/>
      </c>
      <c r="N512" s="2" t="str">
        <f>ONLINE!G105</f>
        <v/>
      </c>
      <c r="O512" s="5" t="str">
        <f>ONLINE!H105</f>
        <v/>
      </c>
      <c r="P512" s="5" t="str">
        <f>ONLINE!I105</f>
        <v/>
      </c>
      <c r="Q512" s="5" t="str">
        <f>ONLINE!J105</f>
        <v/>
      </c>
      <c r="R512" s="2" t="str">
        <f>ONLINE!K105</f>
        <v/>
      </c>
      <c r="S512" s="2" t="str">
        <f>ONLINE!L105</f>
        <v/>
      </c>
      <c r="T512" s="2" t="str">
        <f>ONLINE!M105</f>
        <v/>
      </c>
      <c r="U512" s="34" t="str">
        <f>ONLINE!N105</f>
        <v/>
      </c>
      <c r="V512" s="34" t="str">
        <f>ONLINE!O105</f>
        <v/>
      </c>
      <c r="W512" s="2" t="str">
        <f>ONLINE!P105</f>
        <v/>
      </c>
      <c r="X512" s="34">
        <f>ONLINE!Q105</f>
        <v>0</v>
      </c>
      <c r="Y512" s="1"/>
      <c r="Z512" s="1"/>
      <c r="AA512" s="1"/>
    </row>
    <row r="513">
      <c r="A513" s="1"/>
      <c r="B513" s="14">
        <f t="shared" si="11"/>
        <v>102</v>
      </c>
      <c r="C513" s="15" t="str">
        <f t="shared" si="1"/>
        <v>diciembre</v>
      </c>
      <c r="D513" s="15">
        <f t="shared" si="2"/>
        <v>52</v>
      </c>
      <c r="E513" s="16" t="str">
        <f t="shared" si="3"/>
        <v>sábado</v>
      </c>
      <c r="F513" s="15">
        <f t="shared" si="4"/>
        <v>30</v>
      </c>
      <c r="G513" s="15" t="s">
        <v>24</v>
      </c>
      <c r="H513" s="3" t="str">
        <f>ONLINE!$G$3</f>
        <v>online</v>
      </c>
      <c r="I513" s="24" t="str">
        <f>ONLINE!B106</f>
        <v/>
      </c>
      <c r="J513" s="2" t="str">
        <f>ONLINE!C106</f>
        <v/>
      </c>
      <c r="K513" s="2" t="str">
        <f>ONLINE!D106</f>
        <v/>
      </c>
      <c r="L513" s="2" t="str">
        <f>ONLINE!E106</f>
        <v/>
      </c>
      <c r="M513" s="2" t="str">
        <f>ONLINE!F106</f>
        <v/>
      </c>
      <c r="N513" s="2" t="str">
        <f>ONLINE!G106</f>
        <v/>
      </c>
      <c r="O513" s="5" t="str">
        <f>ONLINE!H106</f>
        <v/>
      </c>
      <c r="P513" s="5" t="str">
        <f>ONLINE!I106</f>
        <v/>
      </c>
      <c r="Q513" s="5" t="str">
        <f>ONLINE!J106</f>
        <v/>
      </c>
      <c r="R513" s="2" t="str">
        <f>ONLINE!K106</f>
        <v/>
      </c>
      <c r="S513" s="2" t="str">
        <f>ONLINE!L106</f>
        <v/>
      </c>
      <c r="T513" s="2" t="str">
        <f>ONLINE!M106</f>
        <v/>
      </c>
      <c r="U513" s="34" t="str">
        <f>ONLINE!N106</f>
        <v/>
      </c>
      <c r="V513" s="34" t="str">
        <f>ONLINE!O106</f>
        <v/>
      </c>
      <c r="W513" s="2" t="str">
        <f>ONLINE!P106</f>
        <v/>
      </c>
      <c r="X513" s="34">
        <f>ONLINE!Q106</f>
        <v>0</v>
      </c>
      <c r="Y513" s="1"/>
      <c r="Z513" s="1"/>
      <c r="AA513" s="1"/>
    </row>
    <row r="514">
      <c r="A514" s="1"/>
      <c r="B514" s="14">
        <f t="shared" si="11"/>
        <v>103</v>
      </c>
      <c r="C514" s="15" t="str">
        <f t="shared" si="1"/>
        <v>diciembre</v>
      </c>
      <c r="D514" s="15">
        <f t="shared" si="2"/>
        <v>52</v>
      </c>
      <c r="E514" s="16" t="str">
        <f t="shared" si="3"/>
        <v>sábado</v>
      </c>
      <c r="F514" s="15">
        <f t="shared" si="4"/>
        <v>30</v>
      </c>
      <c r="G514" s="15" t="s">
        <v>24</v>
      </c>
      <c r="H514" s="3" t="str">
        <f>ONLINE!$G$3</f>
        <v>online</v>
      </c>
      <c r="I514" s="24" t="str">
        <f>ONLINE!B107</f>
        <v/>
      </c>
      <c r="J514" s="2" t="str">
        <f>ONLINE!C107</f>
        <v/>
      </c>
      <c r="K514" s="2" t="str">
        <f>ONLINE!D107</f>
        <v/>
      </c>
      <c r="L514" s="2" t="str">
        <f>ONLINE!E107</f>
        <v/>
      </c>
      <c r="M514" s="2" t="str">
        <f>ONLINE!F107</f>
        <v/>
      </c>
      <c r="N514" s="2" t="str">
        <f>ONLINE!G107</f>
        <v/>
      </c>
      <c r="O514" s="5" t="str">
        <f>ONLINE!H107</f>
        <v/>
      </c>
      <c r="P514" s="5" t="str">
        <f>ONLINE!I107</f>
        <v/>
      </c>
      <c r="Q514" s="5" t="str">
        <f>ONLINE!J107</f>
        <v/>
      </c>
      <c r="R514" s="2" t="str">
        <f>ONLINE!K107</f>
        <v/>
      </c>
      <c r="S514" s="2" t="str">
        <f>ONLINE!L107</f>
        <v/>
      </c>
      <c r="T514" s="2" t="str">
        <f>ONLINE!M107</f>
        <v/>
      </c>
      <c r="U514" s="34" t="str">
        <f>ONLINE!N107</f>
        <v/>
      </c>
      <c r="V514" s="34" t="str">
        <f>ONLINE!O107</f>
        <v/>
      </c>
      <c r="W514" s="2" t="str">
        <f>ONLINE!P107</f>
        <v/>
      </c>
      <c r="X514" s="34">
        <f>ONLINE!Q107</f>
        <v>0</v>
      </c>
      <c r="Y514" s="1"/>
      <c r="Z514" s="1"/>
      <c r="AA514" s="1"/>
    </row>
    <row r="515">
      <c r="A515" s="1"/>
      <c r="B515" s="14">
        <f t="shared" si="11"/>
        <v>104</v>
      </c>
      <c r="C515" s="15" t="str">
        <f t="shared" si="1"/>
        <v>diciembre</v>
      </c>
      <c r="D515" s="15">
        <f t="shared" si="2"/>
        <v>52</v>
      </c>
      <c r="E515" s="16" t="str">
        <f t="shared" si="3"/>
        <v>sábado</v>
      </c>
      <c r="F515" s="15">
        <f t="shared" si="4"/>
        <v>30</v>
      </c>
      <c r="G515" s="15" t="s">
        <v>24</v>
      </c>
      <c r="H515" s="3" t="str">
        <f>ONLINE!$G$3</f>
        <v>online</v>
      </c>
      <c r="I515" s="24" t="str">
        <f>ONLINE!B108</f>
        <v/>
      </c>
      <c r="J515" s="2" t="str">
        <f>ONLINE!C108</f>
        <v/>
      </c>
      <c r="K515" s="2" t="str">
        <f>ONLINE!D108</f>
        <v/>
      </c>
      <c r="L515" s="2" t="str">
        <f>ONLINE!E108</f>
        <v/>
      </c>
      <c r="M515" s="2" t="str">
        <f>ONLINE!F108</f>
        <v/>
      </c>
      <c r="N515" s="2" t="str">
        <f>ONLINE!G108</f>
        <v/>
      </c>
      <c r="O515" s="5" t="str">
        <f>ONLINE!H108</f>
        <v/>
      </c>
      <c r="P515" s="5" t="str">
        <f>ONLINE!I108</f>
        <v/>
      </c>
      <c r="Q515" s="5" t="str">
        <f>ONLINE!J108</f>
        <v/>
      </c>
      <c r="R515" s="2" t="str">
        <f>ONLINE!K108</f>
        <v/>
      </c>
      <c r="S515" s="2" t="str">
        <f>ONLINE!L108</f>
        <v/>
      </c>
      <c r="T515" s="2" t="str">
        <f>ONLINE!M108</f>
        <v/>
      </c>
      <c r="U515" s="34" t="str">
        <f>ONLINE!N108</f>
        <v/>
      </c>
      <c r="V515" s="34" t="str">
        <f>ONLINE!O108</f>
        <v/>
      </c>
      <c r="W515" s="2" t="str">
        <f>ONLINE!P108</f>
        <v/>
      </c>
      <c r="X515" s="34">
        <f>ONLINE!Q108</f>
        <v>0</v>
      </c>
      <c r="Y515" s="1"/>
      <c r="Z515" s="1"/>
      <c r="AA515" s="1"/>
    </row>
    <row r="516">
      <c r="A516" s="1"/>
      <c r="B516" s="14">
        <f t="shared" si="11"/>
        <v>105</v>
      </c>
      <c r="C516" s="15" t="str">
        <f t="shared" si="1"/>
        <v>diciembre</v>
      </c>
      <c r="D516" s="15">
        <f t="shared" si="2"/>
        <v>52</v>
      </c>
      <c r="E516" s="16" t="str">
        <f t="shared" si="3"/>
        <v>sábado</v>
      </c>
      <c r="F516" s="15">
        <f t="shared" si="4"/>
        <v>30</v>
      </c>
      <c r="G516" s="15" t="s">
        <v>24</v>
      </c>
      <c r="H516" s="3" t="str">
        <f>ONLINE!$G$3</f>
        <v>online</v>
      </c>
      <c r="I516" s="24" t="str">
        <f>ONLINE!B109</f>
        <v/>
      </c>
      <c r="J516" s="2" t="str">
        <f>ONLINE!C109</f>
        <v/>
      </c>
      <c r="K516" s="2" t="str">
        <f>ONLINE!D109</f>
        <v/>
      </c>
      <c r="L516" s="2" t="str">
        <f>ONLINE!E109</f>
        <v/>
      </c>
      <c r="M516" s="2" t="str">
        <f>ONLINE!F109</f>
        <v/>
      </c>
      <c r="N516" s="2" t="str">
        <f>ONLINE!G109</f>
        <v/>
      </c>
      <c r="O516" s="5" t="str">
        <f>ONLINE!H109</f>
        <v/>
      </c>
      <c r="P516" s="5" t="str">
        <f>ONLINE!I109</f>
        <v/>
      </c>
      <c r="Q516" s="5" t="str">
        <f>ONLINE!J109</f>
        <v/>
      </c>
      <c r="R516" s="2" t="str">
        <f>ONLINE!K109</f>
        <v/>
      </c>
      <c r="S516" s="2" t="str">
        <f>ONLINE!L109</f>
        <v/>
      </c>
      <c r="T516" s="2" t="str">
        <f>ONLINE!M109</f>
        <v/>
      </c>
      <c r="U516" s="34" t="str">
        <f>ONLINE!N109</f>
        <v/>
      </c>
      <c r="V516" s="34" t="str">
        <f>ONLINE!O109</f>
        <v/>
      </c>
      <c r="W516" s="2" t="str">
        <f>ONLINE!P109</f>
        <v/>
      </c>
      <c r="X516" s="34">
        <f>ONLINE!Q109</f>
        <v>0</v>
      </c>
      <c r="Y516" s="1"/>
      <c r="Z516" s="1"/>
      <c r="AA516" s="1"/>
    </row>
    <row r="517">
      <c r="A517" s="1"/>
      <c r="B517" s="14">
        <f t="shared" si="11"/>
        <v>106</v>
      </c>
      <c r="C517" s="15" t="str">
        <f t="shared" si="1"/>
        <v>diciembre</v>
      </c>
      <c r="D517" s="15">
        <f t="shared" si="2"/>
        <v>52</v>
      </c>
      <c r="E517" s="16" t="str">
        <f t="shared" si="3"/>
        <v>sábado</v>
      </c>
      <c r="F517" s="15">
        <f t="shared" si="4"/>
        <v>30</v>
      </c>
      <c r="G517" s="15" t="s">
        <v>24</v>
      </c>
      <c r="H517" s="3" t="str">
        <f>ONLINE!$G$3</f>
        <v>online</v>
      </c>
      <c r="I517" s="24" t="str">
        <f>ONLINE!B110</f>
        <v/>
      </c>
      <c r="J517" s="2" t="str">
        <f>ONLINE!C110</f>
        <v/>
      </c>
      <c r="K517" s="2" t="str">
        <f>ONLINE!D110</f>
        <v/>
      </c>
      <c r="L517" s="2" t="str">
        <f>ONLINE!E110</f>
        <v/>
      </c>
      <c r="M517" s="2" t="str">
        <f>ONLINE!F110</f>
        <v/>
      </c>
      <c r="N517" s="2" t="str">
        <f>ONLINE!G110</f>
        <v/>
      </c>
      <c r="O517" s="5" t="str">
        <f>ONLINE!H110</f>
        <v/>
      </c>
      <c r="P517" s="5" t="str">
        <f>ONLINE!I110</f>
        <v/>
      </c>
      <c r="Q517" s="5" t="str">
        <f>ONLINE!J110</f>
        <v/>
      </c>
      <c r="R517" s="2" t="str">
        <f>ONLINE!K110</f>
        <v/>
      </c>
      <c r="S517" s="2" t="str">
        <f>ONLINE!L110</f>
        <v/>
      </c>
      <c r="T517" s="2" t="str">
        <f>ONLINE!M110</f>
        <v/>
      </c>
      <c r="U517" s="34" t="str">
        <f>ONLINE!N110</f>
        <v/>
      </c>
      <c r="V517" s="34" t="str">
        <f>ONLINE!O110</f>
        <v/>
      </c>
      <c r="W517" s="2" t="str">
        <f>ONLINE!P110</f>
        <v/>
      </c>
      <c r="X517" s="34">
        <f>ONLINE!Q110</f>
        <v>0</v>
      </c>
      <c r="Y517" s="1"/>
      <c r="Z517" s="1"/>
      <c r="AA517" s="1"/>
    </row>
    <row r="518">
      <c r="A518" s="1"/>
      <c r="B518" s="14">
        <f t="shared" si="11"/>
        <v>107</v>
      </c>
      <c r="C518" s="15" t="str">
        <f t="shared" si="1"/>
        <v>diciembre</v>
      </c>
      <c r="D518" s="15">
        <f t="shared" si="2"/>
        <v>52</v>
      </c>
      <c r="E518" s="16" t="str">
        <f t="shared" si="3"/>
        <v>sábado</v>
      </c>
      <c r="F518" s="15">
        <f t="shared" si="4"/>
        <v>30</v>
      </c>
      <c r="G518" s="15" t="s">
        <v>24</v>
      </c>
      <c r="H518" s="3" t="str">
        <f>ONLINE!$G$3</f>
        <v>online</v>
      </c>
      <c r="I518" s="24" t="str">
        <f>ONLINE!B111</f>
        <v/>
      </c>
      <c r="J518" s="2" t="str">
        <f>ONLINE!C111</f>
        <v/>
      </c>
      <c r="K518" s="2" t="str">
        <f>ONLINE!D111</f>
        <v/>
      </c>
      <c r="L518" s="2" t="str">
        <f>ONLINE!E111</f>
        <v/>
      </c>
      <c r="M518" s="2" t="str">
        <f>ONLINE!F111</f>
        <v/>
      </c>
      <c r="N518" s="2" t="str">
        <f>ONLINE!G111</f>
        <v/>
      </c>
      <c r="O518" s="5" t="str">
        <f>ONLINE!H111</f>
        <v/>
      </c>
      <c r="P518" s="5" t="str">
        <f>ONLINE!I111</f>
        <v/>
      </c>
      <c r="Q518" s="5" t="str">
        <f>ONLINE!J111</f>
        <v/>
      </c>
      <c r="R518" s="2" t="str">
        <f>ONLINE!K111</f>
        <v/>
      </c>
      <c r="S518" s="2" t="str">
        <f>ONLINE!L111</f>
        <v/>
      </c>
      <c r="T518" s="2" t="str">
        <f>ONLINE!M111</f>
        <v/>
      </c>
      <c r="U518" s="34" t="str">
        <f>ONLINE!N111</f>
        <v/>
      </c>
      <c r="V518" s="34" t="str">
        <f>ONLINE!O111</f>
        <v/>
      </c>
      <c r="W518" s="2" t="str">
        <f>ONLINE!P111</f>
        <v/>
      </c>
      <c r="X518" s="34">
        <f>ONLINE!Q111</f>
        <v>0</v>
      </c>
      <c r="Y518" s="1"/>
      <c r="Z518" s="1"/>
      <c r="AA518" s="1"/>
    </row>
    <row r="519">
      <c r="A519" s="1"/>
      <c r="B519" s="14">
        <f t="shared" si="11"/>
        <v>108</v>
      </c>
      <c r="C519" s="15" t="str">
        <f t="shared" si="1"/>
        <v>diciembre</v>
      </c>
      <c r="D519" s="15">
        <f t="shared" si="2"/>
        <v>52</v>
      </c>
      <c r="E519" s="16" t="str">
        <f t="shared" si="3"/>
        <v>sábado</v>
      </c>
      <c r="F519" s="15">
        <f t="shared" si="4"/>
        <v>30</v>
      </c>
      <c r="G519" s="15" t="s">
        <v>24</v>
      </c>
      <c r="H519" s="3" t="str">
        <f>ONLINE!$G$3</f>
        <v>online</v>
      </c>
      <c r="I519" s="24" t="str">
        <f>ONLINE!B112</f>
        <v/>
      </c>
      <c r="J519" s="2" t="str">
        <f>ONLINE!C112</f>
        <v/>
      </c>
      <c r="K519" s="2" t="str">
        <f>ONLINE!D112</f>
        <v/>
      </c>
      <c r="L519" s="2" t="str">
        <f>ONLINE!E112</f>
        <v/>
      </c>
      <c r="M519" s="2" t="str">
        <f>ONLINE!F112</f>
        <v/>
      </c>
      <c r="N519" s="2" t="str">
        <f>ONLINE!G112</f>
        <v/>
      </c>
      <c r="O519" s="5" t="str">
        <f>ONLINE!H112</f>
        <v/>
      </c>
      <c r="P519" s="5" t="str">
        <f>ONLINE!I112</f>
        <v/>
      </c>
      <c r="Q519" s="5" t="str">
        <f>ONLINE!J112</f>
        <v/>
      </c>
      <c r="R519" s="2" t="str">
        <f>ONLINE!K112</f>
        <v/>
      </c>
      <c r="S519" s="2" t="str">
        <f>ONLINE!L112</f>
        <v/>
      </c>
      <c r="T519" s="2" t="str">
        <f>ONLINE!M112</f>
        <v/>
      </c>
      <c r="U519" s="34" t="str">
        <f>ONLINE!N112</f>
        <v/>
      </c>
      <c r="V519" s="34" t="str">
        <f>ONLINE!O112</f>
        <v/>
      </c>
      <c r="W519" s="2" t="str">
        <f>ONLINE!P112</f>
        <v/>
      </c>
      <c r="X519" s="34">
        <f>ONLINE!Q112</f>
        <v>0</v>
      </c>
      <c r="Y519" s="1"/>
      <c r="Z519" s="1"/>
      <c r="AA519" s="1"/>
    </row>
    <row r="520">
      <c r="A520" s="1"/>
      <c r="B520" s="14">
        <f t="shared" si="11"/>
        <v>109</v>
      </c>
      <c r="C520" s="15" t="str">
        <f t="shared" si="1"/>
        <v>diciembre</v>
      </c>
      <c r="D520" s="15">
        <f t="shared" si="2"/>
        <v>52</v>
      </c>
      <c r="E520" s="16" t="str">
        <f t="shared" si="3"/>
        <v>sábado</v>
      </c>
      <c r="F520" s="15">
        <f t="shared" si="4"/>
        <v>30</v>
      </c>
      <c r="G520" s="15" t="s">
        <v>24</v>
      </c>
      <c r="H520" s="3" t="str">
        <f>ONLINE!$G$3</f>
        <v>online</v>
      </c>
      <c r="I520" s="24" t="str">
        <f>ONLINE!B113</f>
        <v/>
      </c>
      <c r="J520" s="2" t="str">
        <f>ONLINE!C113</f>
        <v/>
      </c>
      <c r="K520" s="2" t="str">
        <f>ONLINE!D113</f>
        <v/>
      </c>
      <c r="L520" s="2" t="str">
        <f>ONLINE!E113</f>
        <v/>
      </c>
      <c r="M520" s="2" t="str">
        <f>ONLINE!F113</f>
        <v/>
      </c>
      <c r="N520" s="2" t="str">
        <f>ONLINE!G113</f>
        <v/>
      </c>
      <c r="O520" s="5" t="str">
        <f>ONLINE!H113</f>
        <v/>
      </c>
      <c r="P520" s="5" t="str">
        <f>ONLINE!I113</f>
        <v/>
      </c>
      <c r="Q520" s="5" t="str">
        <f>ONLINE!J113</f>
        <v/>
      </c>
      <c r="R520" s="2" t="str">
        <f>ONLINE!K113</f>
        <v/>
      </c>
      <c r="S520" s="2" t="str">
        <f>ONLINE!L113</f>
        <v/>
      </c>
      <c r="T520" s="2" t="str">
        <f>ONLINE!M113</f>
        <v/>
      </c>
      <c r="U520" s="34" t="str">
        <f>ONLINE!N113</f>
        <v/>
      </c>
      <c r="V520" s="34" t="str">
        <f>ONLINE!O113</f>
        <v/>
      </c>
      <c r="W520" s="2" t="str">
        <f>ONLINE!P113</f>
        <v/>
      </c>
      <c r="X520" s="34">
        <f>ONLINE!Q113</f>
        <v>0</v>
      </c>
      <c r="Y520" s="1"/>
      <c r="Z520" s="1"/>
      <c r="AA520" s="1"/>
    </row>
    <row r="521">
      <c r="A521" s="1"/>
      <c r="B521" s="14">
        <f t="shared" si="11"/>
        <v>110</v>
      </c>
      <c r="C521" s="15" t="str">
        <f t="shared" si="1"/>
        <v>diciembre</v>
      </c>
      <c r="D521" s="15">
        <f t="shared" si="2"/>
        <v>52</v>
      </c>
      <c r="E521" s="16" t="str">
        <f t="shared" si="3"/>
        <v>sábado</v>
      </c>
      <c r="F521" s="15">
        <f t="shared" si="4"/>
        <v>30</v>
      </c>
      <c r="G521" s="15" t="s">
        <v>24</v>
      </c>
      <c r="H521" s="3" t="str">
        <f>ONLINE!$G$3</f>
        <v>online</v>
      </c>
      <c r="I521" s="24" t="str">
        <f>ONLINE!B114</f>
        <v/>
      </c>
      <c r="J521" s="2" t="str">
        <f>ONLINE!C114</f>
        <v/>
      </c>
      <c r="K521" s="2" t="str">
        <f>ONLINE!D114</f>
        <v/>
      </c>
      <c r="L521" s="2" t="str">
        <f>ONLINE!E114</f>
        <v/>
      </c>
      <c r="M521" s="2" t="str">
        <f>ONLINE!F114</f>
        <v/>
      </c>
      <c r="N521" s="2" t="str">
        <f>ONLINE!G114</f>
        <v/>
      </c>
      <c r="O521" s="5" t="str">
        <f>ONLINE!H114</f>
        <v/>
      </c>
      <c r="P521" s="5" t="str">
        <f>ONLINE!I114</f>
        <v/>
      </c>
      <c r="Q521" s="5" t="str">
        <f>ONLINE!J114</f>
        <v/>
      </c>
      <c r="R521" s="2" t="str">
        <f>ONLINE!K114</f>
        <v/>
      </c>
      <c r="S521" s="2" t="str">
        <f>ONLINE!L114</f>
        <v/>
      </c>
      <c r="T521" s="2" t="str">
        <f>ONLINE!M114</f>
        <v/>
      </c>
      <c r="U521" s="34" t="str">
        <f>ONLINE!N114</f>
        <v/>
      </c>
      <c r="V521" s="34" t="str">
        <f>ONLINE!O114</f>
        <v/>
      </c>
      <c r="W521" s="2" t="str">
        <f>ONLINE!P114</f>
        <v/>
      </c>
      <c r="X521" s="34">
        <f>ONLINE!Q114</f>
        <v>0</v>
      </c>
      <c r="Y521" s="1"/>
      <c r="Z521" s="1"/>
      <c r="AA521" s="1"/>
    </row>
    <row r="522">
      <c r="A522" s="1"/>
      <c r="B522" s="14">
        <f t="shared" si="11"/>
        <v>111</v>
      </c>
      <c r="C522" s="15" t="str">
        <f t="shared" si="1"/>
        <v>diciembre</v>
      </c>
      <c r="D522" s="15">
        <f t="shared" si="2"/>
        <v>52</v>
      </c>
      <c r="E522" s="16" t="str">
        <f t="shared" si="3"/>
        <v>sábado</v>
      </c>
      <c r="F522" s="15">
        <f t="shared" si="4"/>
        <v>30</v>
      </c>
      <c r="G522" s="15" t="s">
        <v>24</v>
      </c>
      <c r="H522" s="3" t="str">
        <f>ONLINE!$G$3</f>
        <v>online</v>
      </c>
      <c r="I522" s="24" t="str">
        <f>ONLINE!B115</f>
        <v/>
      </c>
      <c r="J522" s="2" t="str">
        <f>ONLINE!C115</f>
        <v/>
      </c>
      <c r="K522" s="2" t="str">
        <f>ONLINE!D115</f>
        <v/>
      </c>
      <c r="L522" s="2" t="str">
        <f>ONLINE!E115</f>
        <v/>
      </c>
      <c r="M522" s="2" t="str">
        <f>ONLINE!F115</f>
        <v/>
      </c>
      <c r="N522" s="2" t="str">
        <f>ONLINE!G115</f>
        <v/>
      </c>
      <c r="O522" s="5" t="str">
        <f>ONLINE!H115</f>
        <v/>
      </c>
      <c r="P522" s="5" t="str">
        <f>ONLINE!I115</f>
        <v/>
      </c>
      <c r="Q522" s="5" t="str">
        <f>ONLINE!J115</f>
        <v/>
      </c>
      <c r="R522" s="2" t="str">
        <f>ONLINE!K115</f>
        <v/>
      </c>
      <c r="S522" s="2" t="str">
        <f>ONLINE!L115</f>
        <v/>
      </c>
      <c r="T522" s="2" t="str">
        <f>ONLINE!M115</f>
        <v/>
      </c>
      <c r="U522" s="34" t="str">
        <f>ONLINE!N115</f>
        <v/>
      </c>
      <c r="V522" s="34" t="str">
        <f>ONLINE!O115</f>
        <v/>
      </c>
      <c r="W522" s="2" t="str">
        <f>ONLINE!P115</f>
        <v/>
      </c>
      <c r="X522" s="34">
        <f>ONLINE!Q115</f>
        <v>0</v>
      </c>
      <c r="Y522" s="1"/>
      <c r="Z522" s="1"/>
      <c r="AA522" s="1"/>
    </row>
    <row r="523">
      <c r="A523" s="1"/>
      <c r="B523" s="14">
        <f t="shared" si="11"/>
        <v>112</v>
      </c>
      <c r="C523" s="15" t="str">
        <f t="shared" si="1"/>
        <v>diciembre</v>
      </c>
      <c r="D523" s="15">
        <f t="shared" si="2"/>
        <v>52</v>
      </c>
      <c r="E523" s="16" t="str">
        <f t="shared" si="3"/>
        <v>sábado</v>
      </c>
      <c r="F523" s="15">
        <f t="shared" si="4"/>
        <v>30</v>
      </c>
      <c r="G523" s="15" t="s">
        <v>24</v>
      </c>
      <c r="H523" s="3" t="str">
        <f>ONLINE!$G$3</f>
        <v>online</v>
      </c>
      <c r="I523" s="24" t="str">
        <f>ONLINE!B116</f>
        <v/>
      </c>
      <c r="J523" s="2" t="str">
        <f>ONLINE!C116</f>
        <v/>
      </c>
      <c r="K523" s="2" t="str">
        <f>ONLINE!D116</f>
        <v/>
      </c>
      <c r="L523" s="2" t="str">
        <f>ONLINE!E116</f>
        <v/>
      </c>
      <c r="M523" s="2" t="str">
        <f>ONLINE!F116</f>
        <v/>
      </c>
      <c r="N523" s="2" t="str">
        <f>ONLINE!G116</f>
        <v/>
      </c>
      <c r="O523" s="5" t="str">
        <f>ONLINE!H116</f>
        <v/>
      </c>
      <c r="P523" s="5" t="str">
        <f>ONLINE!I116</f>
        <v/>
      </c>
      <c r="Q523" s="5" t="str">
        <f>ONLINE!J116</f>
        <v/>
      </c>
      <c r="R523" s="2" t="str">
        <f>ONLINE!K116</f>
        <v/>
      </c>
      <c r="S523" s="2" t="str">
        <f>ONLINE!L116</f>
        <v/>
      </c>
      <c r="T523" s="2" t="str">
        <f>ONLINE!M116</f>
        <v/>
      </c>
      <c r="U523" s="34" t="str">
        <f>ONLINE!N116</f>
        <v/>
      </c>
      <c r="V523" s="34" t="str">
        <f>ONLINE!O116</f>
        <v/>
      </c>
      <c r="W523" s="2" t="str">
        <f>ONLINE!P116</f>
        <v/>
      </c>
      <c r="X523" s="34">
        <f>ONLINE!Q116</f>
        <v>0</v>
      </c>
      <c r="Y523" s="1"/>
      <c r="Z523" s="1"/>
      <c r="AA523" s="1"/>
    </row>
    <row r="524">
      <c r="A524" s="1"/>
      <c r="B524" s="14">
        <f t="shared" si="11"/>
        <v>113</v>
      </c>
      <c r="C524" s="15" t="str">
        <f t="shared" si="1"/>
        <v>diciembre</v>
      </c>
      <c r="D524" s="15">
        <f t="shared" si="2"/>
        <v>52</v>
      </c>
      <c r="E524" s="16" t="str">
        <f t="shared" si="3"/>
        <v>sábado</v>
      </c>
      <c r="F524" s="15">
        <f t="shared" si="4"/>
        <v>30</v>
      </c>
      <c r="G524" s="15" t="s">
        <v>24</v>
      </c>
      <c r="H524" s="3" t="str">
        <f>ONLINE!$G$3</f>
        <v>online</v>
      </c>
      <c r="I524" s="24" t="str">
        <f>ONLINE!B117</f>
        <v/>
      </c>
      <c r="J524" s="2" t="str">
        <f>ONLINE!C117</f>
        <v/>
      </c>
      <c r="K524" s="2" t="str">
        <f>ONLINE!D117</f>
        <v/>
      </c>
      <c r="L524" s="2" t="str">
        <f>ONLINE!E117</f>
        <v/>
      </c>
      <c r="M524" s="2" t="str">
        <f>ONLINE!F117</f>
        <v/>
      </c>
      <c r="N524" s="2" t="str">
        <f>ONLINE!G117</f>
        <v/>
      </c>
      <c r="O524" s="5" t="str">
        <f>ONLINE!H117</f>
        <v/>
      </c>
      <c r="P524" s="5" t="str">
        <f>ONLINE!I117</f>
        <v/>
      </c>
      <c r="Q524" s="5" t="str">
        <f>ONLINE!J117</f>
        <v/>
      </c>
      <c r="R524" s="2" t="str">
        <f>ONLINE!K117</f>
        <v/>
      </c>
      <c r="S524" s="2" t="str">
        <f>ONLINE!L117</f>
        <v/>
      </c>
      <c r="T524" s="2" t="str">
        <f>ONLINE!M117</f>
        <v/>
      </c>
      <c r="U524" s="34" t="str">
        <f>ONLINE!N117</f>
        <v/>
      </c>
      <c r="V524" s="34" t="str">
        <f>ONLINE!O117</f>
        <v/>
      </c>
      <c r="W524" s="2" t="str">
        <f>ONLINE!P117</f>
        <v/>
      </c>
      <c r="X524" s="34">
        <f>ONLINE!Q117</f>
        <v>0</v>
      </c>
      <c r="Y524" s="1"/>
      <c r="Z524" s="1"/>
      <c r="AA524" s="1"/>
    </row>
    <row r="525">
      <c r="A525" s="1"/>
      <c r="B525" s="14">
        <f t="shared" si="11"/>
        <v>114</v>
      </c>
      <c r="C525" s="15" t="str">
        <f t="shared" si="1"/>
        <v>diciembre</v>
      </c>
      <c r="D525" s="15">
        <f t="shared" si="2"/>
        <v>52</v>
      </c>
      <c r="E525" s="16" t="str">
        <f t="shared" si="3"/>
        <v>sábado</v>
      </c>
      <c r="F525" s="15">
        <f t="shared" si="4"/>
        <v>30</v>
      </c>
      <c r="G525" s="15" t="s">
        <v>24</v>
      </c>
      <c r="H525" s="3" t="str">
        <f>ONLINE!$G$3</f>
        <v>online</v>
      </c>
      <c r="I525" s="24" t="str">
        <f>ONLINE!B118</f>
        <v/>
      </c>
      <c r="J525" s="2" t="str">
        <f>ONLINE!C118</f>
        <v/>
      </c>
      <c r="K525" s="2" t="str">
        <f>ONLINE!D118</f>
        <v/>
      </c>
      <c r="L525" s="2" t="str">
        <f>ONLINE!E118</f>
        <v/>
      </c>
      <c r="M525" s="2" t="str">
        <f>ONLINE!F118</f>
        <v/>
      </c>
      <c r="N525" s="2" t="str">
        <f>ONLINE!G118</f>
        <v/>
      </c>
      <c r="O525" s="5" t="str">
        <f>ONLINE!H118</f>
        <v/>
      </c>
      <c r="P525" s="5" t="str">
        <f>ONLINE!I118</f>
        <v/>
      </c>
      <c r="Q525" s="5" t="str">
        <f>ONLINE!J118</f>
        <v/>
      </c>
      <c r="R525" s="2" t="str">
        <f>ONLINE!K118</f>
        <v/>
      </c>
      <c r="S525" s="2" t="str">
        <f>ONLINE!L118</f>
        <v/>
      </c>
      <c r="T525" s="2" t="str">
        <f>ONLINE!M118</f>
        <v/>
      </c>
      <c r="U525" s="34" t="str">
        <f>ONLINE!N118</f>
        <v/>
      </c>
      <c r="V525" s="34" t="str">
        <f>ONLINE!O118</f>
        <v/>
      </c>
      <c r="W525" s="2" t="str">
        <f>ONLINE!P118</f>
        <v/>
      </c>
      <c r="X525" s="34">
        <f>ONLINE!Q118</f>
        <v>0</v>
      </c>
      <c r="Y525" s="1"/>
      <c r="Z525" s="1"/>
      <c r="AA525" s="1"/>
    </row>
    <row r="526">
      <c r="A526" s="1"/>
      <c r="B526" s="14">
        <f t="shared" si="11"/>
        <v>115</v>
      </c>
      <c r="C526" s="15" t="str">
        <f t="shared" si="1"/>
        <v>diciembre</v>
      </c>
      <c r="D526" s="15">
        <f t="shared" si="2"/>
        <v>52</v>
      </c>
      <c r="E526" s="16" t="str">
        <f t="shared" si="3"/>
        <v>sábado</v>
      </c>
      <c r="F526" s="15">
        <f t="shared" si="4"/>
        <v>30</v>
      </c>
      <c r="G526" s="15" t="s">
        <v>24</v>
      </c>
      <c r="H526" s="3" t="str">
        <f>ONLINE!$G$3</f>
        <v>online</v>
      </c>
      <c r="I526" s="24" t="str">
        <f>ONLINE!B119</f>
        <v/>
      </c>
      <c r="J526" s="2" t="str">
        <f>ONLINE!C119</f>
        <v/>
      </c>
      <c r="K526" s="2" t="str">
        <f>ONLINE!D119</f>
        <v/>
      </c>
      <c r="L526" s="2" t="str">
        <f>ONLINE!E119</f>
        <v/>
      </c>
      <c r="M526" s="2" t="str">
        <f>ONLINE!F119</f>
        <v/>
      </c>
      <c r="N526" s="2" t="str">
        <f>ONLINE!G119</f>
        <v/>
      </c>
      <c r="O526" s="5" t="str">
        <f>ONLINE!H119</f>
        <v/>
      </c>
      <c r="P526" s="5" t="str">
        <f>ONLINE!I119</f>
        <v/>
      </c>
      <c r="Q526" s="5" t="str">
        <f>ONLINE!J119</f>
        <v/>
      </c>
      <c r="R526" s="2" t="str">
        <f>ONLINE!K119</f>
        <v/>
      </c>
      <c r="S526" s="2" t="str">
        <f>ONLINE!L119</f>
        <v/>
      </c>
      <c r="T526" s="2" t="str">
        <f>ONLINE!M119</f>
        <v/>
      </c>
      <c r="U526" s="34" t="str">
        <f>ONLINE!N119</f>
        <v/>
      </c>
      <c r="V526" s="34" t="str">
        <f>ONLINE!O119</f>
        <v/>
      </c>
      <c r="W526" s="2" t="str">
        <f>ONLINE!P119</f>
        <v/>
      </c>
      <c r="X526" s="34">
        <f>ONLINE!Q119</f>
        <v>0</v>
      </c>
      <c r="Y526" s="1"/>
      <c r="Z526" s="1"/>
      <c r="AA526" s="1"/>
    </row>
    <row r="527">
      <c r="A527" s="1"/>
      <c r="B527" s="14">
        <f t="shared" si="11"/>
        <v>116</v>
      </c>
      <c r="C527" s="15" t="str">
        <f t="shared" si="1"/>
        <v>diciembre</v>
      </c>
      <c r="D527" s="15">
        <f t="shared" si="2"/>
        <v>52</v>
      </c>
      <c r="E527" s="16" t="str">
        <f t="shared" si="3"/>
        <v>sábado</v>
      </c>
      <c r="F527" s="15">
        <f t="shared" si="4"/>
        <v>30</v>
      </c>
      <c r="G527" s="15" t="s">
        <v>24</v>
      </c>
      <c r="H527" s="3" t="str">
        <f>ONLINE!$G$3</f>
        <v>online</v>
      </c>
      <c r="I527" s="24" t="str">
        <f>ONLINE!B120</f>
        <v/>
      </c>
      <c r="J527" s="2" t="str">
        <f>ONLINE!C120</f>
        <v/>
      </c>
      <c r="K527" s="2" t="str">
        <f>ONLINE!D120</f>
        <v/>
      </c>
      <c r="L527" s="2" t="str">
        <f>ONLINE!E120</f>
        <v/>
      </c>
      <c r="M527" s="2" t="str">
        <f>ONLINE!F120</f>
        <v/>
      </c>
      <c r="N527" s="2" t="str">
        <f>ONLINE!G120</f>
        <v/>
      </c>
      <c r="O527" s="5" t="str">
        <f>ONLINE!H120</f>
        <v/>
      </c>
      <c r="P527" s="5" t="str">
        <f>ONLINE!I120</f>
        <v/>
      </c>
      <c r="Q527" s="5" t="str">
        <f>ONLINE!J120</f>
        <v/>
      </c>
      <c r="R527" s="2" t="str">
        <f>ONLINE!K120</f>
        <v/>
      </c>
      <c r="S527" s="2" t="str">
        <f>ONLINE!L120</f>
        <v/>
      </c>
      <c r="T527" s="2" t="str">
        <f>ONLINE!M120</f>
        <v/>
      </c>
      <c r="U527" s="34" t="str">
        <f>ONLINE!N120</f>
        <v/>
      </c>
      <c r="V527" s="34" t="str">
        <f>ONLINE!O120</f>
        <v/>
      </c>
      <c r="W527" s="2" t="str">
        <f>ONLINE!P120</f>
        <v/>
      </c>
      <c r="X527" s="34">
        <f>ONLINE!Q120</f>
        <v>0</v>
      </c>
      <c r="Y527" s="1"/>
      <c r="Z527" s="1"/>
      <c r="AA527" s="1"/>
    </row>
    <row r="528">
      <c r="A528" s="1"/>
      <c r="B528" s="14">
        <f t="shared" si="11"/>
        <v>117</v>
      </c>
      <c r="C528" s="15" t="str">
        <f t="shared" si="1"/>
        <v>diciembre</v>
      </c>
      <c r="D528" s="15">
        <f t="shared" si="2"/>
        <v>52</v>
      </c>
      <c r="E528" s="16" t="str">
        <f t="shared" si="3"/>
        <v>sábado</v>
      </c>
      <c r="F528" s="15">
        <f t="shared" si="4"/>
        <v>30</v>
      </c>
      <c r="G528" s="15" t="s">
        <v>24</v>
      </c>
      <c r="H528" s="3" t="str">
        <f>ONLINE!$G$3</f>
        <v>online</v>
      </c>
      <c r="I528" s="24" t="str">
        <f>ONLINE!B121</f>
        <v/>
      </c>
      <c r="J528" s="2" t="str">
        <f>ONLINE!C121</f>
        <v/>
      </c>
      <c r="K528" s="2" t="str">
        <f>ONLINE!D121</f>
        <v/>
      </c>
      <c r="L528" s="2" t="str">
        <f>ONLINE!E121</f>
        <v/>
      </c>
      <c r="M528" s="2" t="str">
        <f>ONLINE!F121</f>
        <v/>
      </c>
      <c r="N528" s="2" t="str">
        <f>ONLINE!G121</f>
        <v/>
      </c>
      <c r="O528" s="5" t="str">
        <f>ONLINE!H121</f>
        <v/>
      </c>
      <c r="P528" s="5" t="str">
        <f>ONLINE!I121</f>
        <v/>
      </c>
      <c r="Q528" s="5" t="str">
        <f>ONLINE!J121</f>
        <v/>
      </c>
      <c r="R528" s="2" t="str">
        <f>ONLINE!K121</f>
        <v/>
      </c>
      <c r="S528" s="2" t="str">
        <f>ONLINE!L121</f>
        <v/>
      </c>
      <c r="T528" s="2" t="str">
        <f>ONLINE!M121</f>
        <v/>
      </c>
      <c r="U528" s="34" t="str">
        <f>ONLINE!N121</f>
        <v/>
      </c>
      <c r="V528" s="34" t="str">
        <f>ONLINE!O121</f>
        <v/>
      </c>
      <c r="W528" s="2" t="str">
        <f>ONLINE!P121</f>
        <v/>
      </c>
      <c r="X528" s="34">
        <f>ONLINE!Q121</f>
        <v>0</v>
      </c>
      <c r="Y528" s="1"/>
      <c r="Z528" s="1"/>
      <c r="AA528" s="1"/>
    </row>
    <row r="529">
      <c r="A529" s="1"/>
      <c r="B529" s="14">
        <f t="shared" si="11"/>
        <v>118</v>
      </c>
      <c r="C529" s="15" t="str">
        <f t="shared" si="1"/>
        <v>diciembre</v>
      </c>
      <c r="D529" s="15">
        <f t="shared" si="2"/>
        <v>52</v>
      </c>
      <c r="E529" s="16" t="str">
        <f t="shared" si="3"/>
        <v>sábado</v>
      </c>
      <c r="F529" s="15">
        <f t="shared" si="4"/>
        <v>30</v>
      </c>
      <c r="G529" s="15" t="s">
        <v>24</v>
      </c>
      <c r="H529" s="3" t="str">
        <f>ONLINE!$G$3</f>
        <v>online</v>
      </c>
      <c r="I529" s="24" t="str">
        <f>ONLINE!B122</f>
        <v/>
      </c>
      <c r="J529" s="2" t="str">
        <f>ONLINE!C122</f>
        <v/>
      </c>
      <c r="K529" s="2" t="str">
        <f>ONLINE!D122</f>
        <v/>
      </c>
      <c r="L529" s="2" t="str">
        <f>ONLINE!E122</f>
        <v/>
      </c>
      <c r="M529" s="2" t="str">
        <f>ONLINE!F122</f>
        <v/>
      </c>
      <c r="N529" s="2" t="str">
        <f>ONLINE!G122</f>
        <v/>
      </c>
      <c r="O529" s="5" t="str">
        <f>ONLINE!H122</f>
        <v/>
      </c>
      <c r="P529" s="5" t="str">
        <f>ONLINE!I122</f>
        <v/>
      </c>
      <c r="Q529" s="5" t="str">
        <f>ONLINE!J122</f>
        <v/>
      </c>
      <c r="R529" s="2" t="str">
        <f>ONLINE!K122</f>
        <v/>
      </c>
      <c r="S529" s="2" t="str">
        <f>ONLINE!L122</f>
        <v/>
      </c>
      <c r="T529" s="2" t="str">
        <f>ONLINE!M122</f>
        <v/>
      </c>
      <c r="U529" s="34" t="str">
        <f>ONLINE!N122</f>
        <v/>
      </c>
      <c r="V529" s="34" t="str">
        <f>ONLINE!O122</f>
        <v/>
      </c>
      <c r="W529" s="2" t="str">
        <f>ONLINE!P122</f>
        <v/>
      </c>
      <c r="X529" s="34">
        <f>ONLINE!Q122</f>
        <v>0</v>
      </c>
      <c r="Y529" s="1"/>
      <c r="Z529" s="1"/>
      <c r="AA529" s="1"/>
    </row>
    <row r="530">
      <c r="A530" s="1"/>
      <c r="B530" s="14">
        <f t="shared" si="11"/>
        <v>119</v>
      </c>
      <c r="C530" s="15" t="str">
        <f t="shared" si="1"/>
        <v>diciembre</v>
      </c>
      <c r="D530" s="15">
        <f t="shared" si="2"/>
        <v>52</v>
      </c>
      <c r="E530" s="16" t="str">
        <f t="shared" si="3"/>
        <v>sábado</v>
      </c>
      <c r="F530" s="15">
        <f t="shared" si="4"/>
        <v>30</v>
      </c>
      <c r="G530" s="15" t="s">
        <v>24</v>
      </c>
      <c r="H530" s="3" t="str">
        <f>ONLINE!$G$3</f>
        <v>online</v>
      </c>
      <c r="I530" s="24" t="str">
        <f>ONLINE!B123</f>
        <v/>
      </c>
      <c r="J530" s="2" t="str">
        <f>ONLINE!C123</f>
        <v/>
      </c>
      <c r="K530" s="2" t="str">
        <f>ONLINE!D123</f>
        <v/>
      </c>
      <c r="L530" s="2" t="str">
        <f>ONLINE!E123</f>
        <v/>
      </c>
      <c r="M530" s="2" t="str">
        <f>ONLINE!F123</f>
        <v/>
      </c>
      <c r="N530" s="2" t="str">
        <f>ONLINE!G123</f>
        <v/>
      </c>
      <c r="O530" s="5" t="str">
        <f>ONLINE!H123</f>
        <v/>
      </c>
      <c r="P530" s="5" t="str">
        <f>ONLINE!I123</f>
        <v/>
      </c>
      <c r="Q530" s="5" t="str">
        <f>ONLINE!J123</f>
        <v/>
      </c>
      <c r="R530" s="2" t="str">
        <f>ONLINE!K123</f>
        <v/>
      </c>
      <c r="S530" s="2" t="str">
        <f>ONLINE!L123</f>
        <v/>
      </c>
      <c r="T530" s="2" t="str">
        <f>ONLINE!M123</f>
        <v/>
      </c>
      <c r="U530" s="34" t="str">
        <f>ONLINE!N123</f>
        <v/>
      </c>
      <c r="V530" s="34" t="str">
        <f>ONLINE!O123</f>
        <v/>
      </c>
      <c r="W530" s="2" t="str">
        <f>ONLINE!P123</f>
        <v/>
      </c>
      <c r="X530" s="34">
        <f>ONLINE!Q123</f>
        <v>0</v>
      </c>
      <c r="Y530" s="1"/>
      <c r="Z530" s="1"/>
      <c r="AA530" s="1"/>
    </row>
    <row r="531">
      <c r="A531" s="1"/>
      <c r="B531" s="14">
        <f t="shared" si="11"/>
        <v>120</v>
      </c>
      <c r="C531" s="15" t="str">
        <f t="shared" si="1"/>
        <v>diciembre</v>
      </c>
      <c r="D531" s="15">
        <f t="shared" si="2"/>
        <v>52</v>
      </c>
      <c r="E531" s="16" t="str">
        <f t="shared" si="3"/>
        <v>sábado</v>
      </c>
      <c r="F531" s="15">
        <f t="shared" si="4"/>
        <v>30</v>
      </c>
      <c r="G531" s="15" t="s">
        <v>24</v>
      </c>
      <c r="H531" s="3" t="str">
        <f>ONLINE!$G$3</f>
        <v>online</v>
      </c>
      <c r="I531" s="24" t="str">
        <f>ONLINE!B124</f>
        <v/>
      </c>
      <c r="J531" s="2" t="str">
        <f>ONLINE!C124</f>
        <v/>
      </c>
      <c r="K531" s="2" t="str">
        <f>ONLINE!D124</f>
        <v/>
      </c>
      <c r="L531" s="2" t="str">
        <f>ONLINE!E124</f>
        <v/>
      </c>
      <c r="M531" s="2" t="str">
        <f>ONLINE!F124</f>
        <v/>
      </c>
      <c r="N531" s="2" t="str">
        <f>ONLINE!G124</f>
        <v/>
      </c>
      <c r="O531" s="5" t="str">
        <f>ONLINE!H124</f>
        <v/>
      </c>
      <c r="P531" s="5" t="str">
        <f>ONLINE!I124</f>
        <v/>
      </c>
      <c r="Q531" s="5" t="str">
        <f>ONLINE!J124</f>
        <v/>
      </c>
      <c r="R531" s="2" t="str">
        <f>ONLINE!K124</f>
        <v/>
      </c>
      <c r="S531" s="2" t="str">
        <f>ONLINE!L124</f>
        <v/>
      </c>
      <c r="T531" s="2" t="str">
        <f>ONLINE!M124</f>
        <v/>
      </c>
      <c r="U531" s="34" t="str">
        <f>ONLINE!N124</f>
        <v/>
      </c>
      <c r="V531" s="34" t="str">
        <f>ONLINE!O124</f>
        <v/>
      </c>
      <c r="W531" s="2" t="str">
        <f>ONLINE!P124</f>
        <v/>
      </c>
      <c r="X531" s="34">
        <f>ONLINE!Q124</f>
        <v>0</v>
      </c>
      <c r="Y531" s="1"/>
      <c r="Z531" s="1"/>
      <c r="AA531" s="1"/>
    </row>
    <row r="532">
      <c r="A532" s="1"/>
      <c r="B532" s="14">
        <f t="shared" si="11"/>
        <v>121</v>
      </c>
      <c r="C532" s="15" t="str">
        <f t="shared" si="1"/>
        <v>diciembre</v>
      </c>
      <c r="D532" s="15">
        <f t="shared" si="2"/>
        <v>52</v>
      </c>
      <c r="E532" s="16" t="str">
        <f t="shared" si="3"/>
        <v>sábado</v>
      </c>
      <c r="F532" s="15">
        <f t="shared" si="4"/>
        <v>30</v>
      </c>
      <c r="G532" s="15" t="s">
        <v>24</v>
      </c>
      <c r="H532" s="3" t="str">
        <f>ONLINE!$G$3</f>
        <v>online</v>
      </c>
      <c r="I532" s="24" t="str">
        <f>ONLINE!B125</f>
        <v/>
      </c>
      <c r="J532" s="2" t="str">
        <f>ONLINE!C125</f>
        <v/>
      </c>
      <c r="K532" s="2" t="str">
        <f>ONLINE!D125</f>
        <v/>
      </c>
      <c r="L532" s="2" t="str">
        <f>ONLINE!E125</f>
        <v/>
      </c>
      <c r="M532" s="2" t="str">
        <f>ONLINE!F125</f>
        <v/>
      </c>
      <c r="N532" s="2" t="str">
        <f>ONLINE!G125</f>
        <v/>
      </c>
      <c r="O532" s="5" t="str">
        <f>ONLINE!H125</f>
        <v/>
      </c>
      <c r="P532" s="5" t="str">
        <f>ONLINE!I125</f>
        <v/>
      </c>
      <c r="Q532" s="5" t="str">
        <f>ONLINE!J125</f>
        <v/>
      </c>
      <c r="R532" s="2" t="str">
        <f>ONLINE!K125</f>
        <v/>
      </c>
      <c r="S532" s="2" t="str">
        <f>ONLINE!L125</f>
        <v/>
      </c>
      <c r="T532" s="2" t="str">
        <f>ONLINE!M125</f>
        <v/>
      </c>
      <c r="U532" s="34" t="str">
        <f>ONLINE!N125</f>
        <v/>
      </c>
      <c r="V532" s="34" t="str">
        <f>ONLINE!O125</f>
        <v/>
      </c>
      <c r="W532" s="2" t="str">
        <f>ONLINE!P125</f>
        <v/>
      </c>
      <c r="X532" s="34">
        <f>ONLINE!Q125</f>
        <v>0</v>
      </c>
      <c r="Y532" s="1"/>
      <c r="Z532" s="1"/>
      <c r="AA532" s="1"/>
    </row>
    <row r="533">
      <c r="A533" s="1"/>
      <c r="B533" s="14">
        <f t="shared" si="11"/>
        <v>122</v>
      </c>
      <c r="C533" s="15" t="str">
        <f t="shared" si="1"/>
        <v>diciembre</v>
      </c>
      <c r="D533" s="15">
        <f t="shared" si="2"/>
        <v>52</v>
      </c>
      <c r="E533" s="16" t="str">
        <f t="shared" si="3"/>
        <v>sábado</v>
      </c>
      <c r="F533" s="15">
        <f t="shared" si="4"/>
        <v>30</v>
      </c>
      <c r="G533" s="15" t="s">
        <v>24</v>
      </c>
      <c r="H533" s="3" t="str">
        <f>ONLINE!$G$3</f>
        <v>online</v>
      </c>
      <c r="I533" s="24" t="str">
        <f>ONLINE!B126</f>
        <v/>
      </c>
      <c r="J533" s="2" t="str">
        <f>ONLINE!C126</f>
        <v/>
      </c>
      <c r="K533" s="2" t="str">
        <f>ONLINE!D126</f>
        <v/>
      </c>
      <c r="L533" s="2" t="str">
        <f>ONLINE!E126</f>
        <v/>
      </c>
      <c r="M533" s="2" t="str">
        <f>ONLINE!F126</f>
        <v/>
      </c>
      <c r="N533" s="2" t="str">
        <f>ONLINE!G126</f>
        <v/>
      </c>
      <c r="O533" s="5" t="str">
        <f>ONLINE!H126</f>
        <v/>
      </c>
      <c r="P533" s="5" t="str">
        <f>ONLINE!I126</f>
        <v/>
      </c>
      <c r="Q533" s="5" t="str">
        <f>ONLINE!J126</f>
        <v/>
      </c>
      <c r="R533" s="2" t="str">
        <f>ONLINE!K126</f>
        <v/>
      </c>
      <c r="S533" s="2" t="str">
        <f>ONLINE!L126</f>
        <v/>
      </c>
      <c r="T533" s="2" t="str">
        <f>ONLINE!M126</f>
        <v/>
      </c>
      <c r="U533" s="34" t="str">
        <f>ONLINE!N126</f>
        <v/>
      </c>
      <c r="V533" s="34" t="str">
        <f>ONLINE!O126</f>
        <v/>
      </c>
      <c r="W533" s="2" t="str">
        <f>ONLINE!P126</f>
        <v/>
      </c>
      <c r="X533" s="34">
        <f>ONLINE!Q126</f>
        <v>0</v>
      </c>
      <c r="Y533" s="1"/>
      <c r="Z533" s="1"/>
      <c r="AA533" s="1"/>
    </row>
    <row r="534">
      <c r="A534" s="1"/>
      <c r="B534" s="14">
        <f t="shared" si="11"/>
        <v>123</v>
      </c>
      <c r="C534" s="15" t="str">
        <f t="shared" si="1"/>
        <v>diciembre</v>
      </c>
      <c r="D534" s="15">
        <f t="shared" si="2"/>
        <v>52</v>
      </c>
      <c r="E534" s="16" t="str">
        <f t="shared" si="3"/>
        <v>sábado</v>
      </c>
      <c r="F534" s="15">
        <f t="shared" si="4"/>
        <v>30</v>
      </c>
      <c r="G534" s="15" t="s">
        <v>24</v>
      </c>
      <c r="H534" s="3" t="str">
        <f>ONLINE!$G$3</f>
        <v>online</v>
      </c>
      <c r="I534" s="24" t="str">
        <f>ONLINE!B127</f>
        <v/>
      </c>
      <c r="J534" s="2" t="str">
        <f>ONLINE!C127</f>
        <v/>
      </c>
      <c r="K534" s="2" t="str">
        <f>ONLINE!D127</f>
        <v/>
      </c>
      <c r="L534" s="2" t="str">
        <f>ONLINE!E127</f>
        <v/>
      </c>
      <c r="M534" s="2" t="str">
        <f>ONLINE!F127</f>
        <v/>
      </c>
      <c r="N534" s="2" t="str">
        <f>ONLINE!G127</f>
        <v/>
      </c>
      <c r="O534" s="5" t="str">
        <f>ONLINE!H127</f>
        <v/>
      </c>
      <c r="P534" s="5" t="str">
        <f>ONLINE!I127</f>
        <v/>
      </c>
      <c r="Q534" s="5" t="str">
        <f>ONLINE!J127</f>
        <v/>
      </c>
      <c r="R534" s="2" t="str">
        <f>ONLINE!K127</f>
        <v/>
      </c>
      <c r="S534" s="2" t="str">
        <f>ONLINE!L127</f>
        <v/>
      </c>
      <c r="T534" s="2" t="str">
        <f>ONLINE!M127</f>
        <v/>
      </c>
      <c r="U534" s="34" t="str">
        <f>ONLINE!N127</f>
        <v/>
      </c>
      <c r="V534" s="34" t="str">
        <f>ONLINE!O127</f>
        <v/>
      </c>
      <c r="W534" s="2" t="str">
        <f>ONLINE!P127</f>
        <v/>
      </c>
      <c r="X534" s="34">
        <f>ONLINE!Q127</f>
        <v>0</v>
      </c>
      <c r="Y534" s="1"/>
      <c r="Z534" s="1"/>
      <c r="AA534" s="1"/>
    </row>
    <row r="535">
      <c r="A535" s="1"/>
      <c r="B535" s="14">
        <f t="shared" si="11"/>
        <v>124</v>
      </c>
      <c r="C535" s="15" t="str">
        <f t="shared" si="1"/>
        <v>diciembre</v>
      </c>
      <c r="D535" s="15">
        <f t="shared" si="2"/>
        <v>52</v>
      </c>
      <c r="E535" s="16" t="str">
        <f t="shared" si="3"/>
        <v>sábado</v>
      </c>
      <c r="F535" s="15">
        <f t="shared" si="4"/>
        <v>30</v>
      </c>
      <c r="G535" s="15" t="s">
        <v>24</v>
      </c>
      <c r="H535" s="3" t="str">
        <f>ONLINE!$G$3</f>
        <v>online</v>
      </c>
      <c r="I535" s="24" t="str">
        <f>ONLINE!B128</f>
        <v/>
      </c>
      <c r="J535" s="2" t="str">
        <f>ONLINE!C128</f>
        <v/>
      </c>
      <c r="K535" s="2" t="str">
        <f>ONLINE!D128</f>
        <v/>
      </c>
      <c r="L535" s="2" t="str">
        <f>ONLINE!E128</f>
        <v/>
      </c>
      <c r="M535" s="2" t="str">
        <f>ONLINE!F128</f>
        <v/>
      </c>
      <c r="N535" s="2" t="str">
        <f>ONLINE!G128</f>
        <v/>
      </c>
      <c r="O535" s="5" t="str">
        <f>ONLINE!H128</f>
        <v/>
      </c>
      <c r="P535" s="5" t="str">
        <f>ONLINE!I128</f>
        <v/>
      </c>
      <c r="Q535" s="5" t="str">
        <f>ONLINE!J128</f>
        <v/>
      </c>
      <c r="R535" s="2" t="str">
        <f>ONLINE!K128</f>
        <v/>
      </c>
      <c r="S535" s="2" t="str">
        <f>ONLINE!L128</f>
        <v/>
      </c>
      <c r="T535" s="2" t="str">
        <f>ONLINE!M128</f>
        <v/>
      </c>
      <c r="U535" s="34" t="str">
        <f>ONLINE!N128</f>
        <v/>
      </c>
      <c r="V535" s="34" t="str">
        <f>ONLINE!O128</f>
        <v/>
      </c>
      <c r="W535" s="2" t="str">
        <f>ONLINE!P128</f>
        <v/>
      </c>
      <c r="X535" s="34">
        <f>ONLINE!Q128</f>
        <v>0</v>
      </c>
      <c r="Y535" s="1"/>
      <c r="Z535" s="1"/>
      <c r="AA535" s="1"/>
    </row>
    <row r="536">
      <c r="A536" s="1"/>
      <c r="B536" s="14">
        <f t="shared" si="11"/>
        <v>125</v>
      </c>
      <c r="C536" s="15" t="str">
        <f t="shared" si="1"/>
        <v>diciembre</v>
      </c>
      <c r="D536" s="15">
        <f t="shared" si="2"/>
        <v>52</v>
      </c>
      <c r="E536" s="16" t="str">
        <f t="shared" si="3"/>
        <v>sábado</v>
      </c>
      <c r="F536" s="15">
        <f t="shared" si="4"/>
        <v>30</v>
      </c>
      <c r="G536" s="15" t="s">
        <v>24</v>
      </c>
      <c r="H536" s="3" t="str">
        <f>ONLINE!$G$3</f>
        <v>online</v>
      </c>
      <c r="I536" s="24" t="str">
        <f>ONLINE!B129</f>
        <v/>
      </c>
      <c r="J536" s="2" t="str">
        <f>ONLINE!C129</f>
        <v/>
      </c>
      <c r="K536" s="2" t="str">
        <f>ONLINE!D129</f>
        <v/>
      </c>
      <c r="L536" s="2" t="str">
        <f>ONLINE!E129</f>
        <v/>
      </c>
      <c r="M536" s="2" t="str">
        <f>ONLINE!F129</f>
        <v/>
      </c>
      <c r="N536" s="2" t="str">
        <f>ONLINE!G129</f>
        <v/>
      </c>
      <c r="O536" s="5" t="str">
        <f>ONLINE!H129</f>
        <v/>
      </c>
      <c r="P536" s="5" t="str">
        <f>ONLINE!I129</f>
        <v/>
      </c>
      <c r="Q536" s="5" t="str">
        <f>ONLINE!J129</f>
        <v/>
      </c>
      <c r="R536" s="2" t="str">
        <f>ONLINE!K129</f>
        <v/>
      </c>
      <c r="S536" s="2" t="str">
        <f>ONLINE!L129</f>
        <v/>
      </c>
      <c r="T536" s="2" t="str">
        <f>ONLINE!M129</f>
        <v/>
      </c>
      <c r="U536" s="34" t="str">
        <f>ONLINE!N129</f>
        <v/>
      </c>
      <c r="V536" s="34" t="str">
        <f>ONLINE!O129</f>
        <v/>
      </c>
      <c r="W536" s="2" t="str">
        <f>ONLINE!P129</f>
        <v/>
      </c>
      <c r="X536" s="34">
        <f>ONLINE!Q129</f>
        <v>0</v>
      </c>
      <c r="Y536" s="1"/>
      <c r="Z536" s="1"/>
      <c r="AA536" s="1"/>
    </row>
    <row r="537">
      <c r="A537" s="1"/>
      <c r="B537" s="14">
        <f t="shared" si="11"/>
        <v>126</v>
      </c>
      <c r="C537" s="15" t="str">
        <f t="shared" si="1"/>
        <v>diciembre</v>
      </c>
      <c r="D537" s="15">
        <f t="shared" si="2"/>
        <v>52</v>
      </c>
      <c r="E537" s="16" t="str">
        <f t="shared" si="3"/>
        <v>sábado</v>
      </c>
      <c r="F537" s="15">
        <f t="shared" si="4"/>
        <v>30</v>
      </c>
      <c r="G537" s="15" t="s">
        <v>24</v>
      </c>
      <c r="H537" s="3" t="str">
        <f>ONLINE!$G$3</f>
        <v>online</v>
      </c>
      <c r="I537" s="24" t="str">
        <f>ONLINE!B130</f>
        <v/>
      </c>
      <c r="J537" s="2" t="str">
        <f>ONLINE!C130</f>
        <v/>
      </c>
      <c r="K537" s="2" t="str">
        <f>ONLINE!D130</f>
        <v/>
      </c>
      <c r="L537" s="2" t="str">
        <f>ONLINE!E130</f>
        <v/>
      </c>
      <c r="M537" s="2" t="str">
        <f>ONLINE!F130</f>
        <v/>
      </c>
      <c r="N537" s="2" t="str">
        <f>ONLINE!G130</f>
        <v/>
      </c>
      <c r="O537" s="5" t="str">
        <f>ONLINE!H130</f>
        <v/>
      </c>
      <c r="P537" s="5" t="str">
        <f>ONLINE!I130</f>
        <v/>
      </c>
      <c r="Q537" s="5" t="str">
        <f>ONLINE!J130</f>
        <v/>
      </c>
      <c r="R537" s="2" t="str">
        <f>ONLINE!K130</f>
        <v/>
      </c>
      <c r="S537" s="2" t="str">
        <f>ONLINE!L130</f>
        <v/>
      </c>
      <c r="T537" s="2" t="str">
        <f>ONLINE!M130</f>
        <v/>
      </c>
      <c r="U537" s="34" t="str">
        <f>ONLINE!N130</f>
        <v/>
      </c>
      <c r="V537" s="34" t="str">
        <f>ONLINE!O130</f>
        <v/>
      </c>
      <c r="W537" s="2" t="str">
        <f>ONLINE!P130</f>
        <v/>
      </c>
      <c r="X537" s="34">
        <f>ONLINE!Q130</f>
        <v>0</v>
      </c>
      <c r="Y537" s="1"/>
      <c r="Z537" s="1"/>
      <c r="AA537" s="1"/>
    </row>
    <row r="538">
      <c r="A538" s="1"/>
      <c r="B538" s="14">
        <f t="shared" si="11"/>
        <v>127</v>
      </c>
      <c r="C538" s="15" t="str">
        <f t="shared" si="1"/>
        <v>diciembre</v>
      </c>
      <c r="D538" s="15">
        <f t="shared" si="2"/>
        <v>52</v>
      </c>
      <c r="E538" s="16" t="str">
        <f t="shared" si="3"/>
        <v>sábado</v>
      </c>
      <c r="F538" s="15">
        <f t="shared" si="4"/>
        <v>30</v>
      </c>
      <c r="G538" s="15" t="s">
        <v>24</v>
      </c>
      <c r="H538" s="3" t="str">
        <f>ONLINE!$G$3</f>
        <v>online</v>
      </c>
      <c r="I538" s="24" t="str">
        <f>ONLINE!B131</f>
        <v/>
      </c>
      <c r="J538" s="2" t="str">
        <f>ONLINE!C131</f>
        <v/>
      </c>
      <c r="K538" s="2" t="str">
        <f>ONLINE!D131</f>
        <v/>
      </c>
      <c r="L538" s="2" t="str">
        <f>ONLINE!E131</f>
        <v/>
      </c>
      <c r="M538" s="2" t="str">
        <f>ONLINE!F131</f>
        <v/>
      </c>
      <c r="N538" s="2" t="str">
        <f>ONLINE!G131</f>
        <v/>
      </c>
      <c r="O538" s="5" t="str">
        <f>ONLINE!H131</f>
        <v/>
      </c>
      <c r="P538" s="5" t="str">
        <f>ONLINE!I131</f>
        <v/>
      </c>
      <c r="Q538" s="5" t="str">
        <f>ONLINE!J131</f>
        <v/>
      </c>
      <c r="R538" s="2" t="str">
        <f>ONLINE!K131</f>
        <v/>
      </c>
      <c r="S538" s="2" t="str">
        <f>ONLINE!L131</f>
        <v/>
      </c>
      <c r="T538" s="2" t="str">
        <f>ONLINE!M131</f>
        <v/>
      </c>
      <c r="U538" s="34" t="str">
        <f>ONLINE!N131</f>
        <v/>
      </c>
      <c r="V538" s="34" t="str">
        <f>ONLINE!O131</f>
        <v/>
      </c>
      <c r="W538" s="2" t="str">
        <f>ONLINE!P131</f>
        <v/>
      </c>
      <c r="X538" s="34">
        <f>ONLINE!Q131</f>
        <v>0</v>
      </c>
      <c r="Y538" s="1"/>
      <c r="Z538" s="1"/>
      <c r="AA538" s="1"/>
    </row>
    <row r="539">
      <c r="A539" s="1"/>
      <c r="B539" s="14">
        <f t="shared" si="11"/>
        <v>128</v>
      </c>
      <c r="C539" s="15" t="str">
        <f t="shared" si="1"/>
        <v>diciembre</v>
      </c>
      <c r="D539" s="15">
        <f t="shared" si="2"/>
        <v>52</v>
      </c>
      <c r="E539" s="16" t="str">
        <f t="shared" si="3"/>
        <v>sábado</v>
      </c>
      <c r="F539" s="15">
        <f t="shared" si="4"/>
        <v>30</v>
      </c>
      <c r="G539" s="15" t="s">
        <v>24</v>
      </c>
      <c r="H539" s="3" t="str">
        <f>ONLINE!$G$3</f>
        <v>online</v>
      </c>
      <c r="I539" s="24" t="str">
        <f>ONLINE!B132</f>
        <v/>
      </c>
      <c r="J539" s="2" t="str">
        <f>ONLINE!C132</f>
        <v/>
      </c>
      <c r="K539" s="2" t="str">
        <f>ONLINE!D132</f>
        <v/>
      </c>
      <c r="L539" s="2" t="str">
        <f>ONLINE!E132</f>
        <v/>
      </c>
      <c r="M539" s="2" t="str">
        <f>ONLINE!F132</f>
        <v/>
      </c>
      <c r="N539" s="2" t="str">
        <f>ONLINE!G132</f>
        <v/>
      </c>
      <c r="O539" s="5" t="str">
        <f>ONLINE!H132</f>
        <v/>
      </c>
      <c r="P539" s="5" t="str">
        <f>ONLINE!I132</f>
        <v/>
      </c>
      <c r="Q539" s="5" t="str">
        <f>ONLINE!J132</f>
        <v/>
      </c>
      <c r="R539" s="2" t="str">
        <f>ONLINE!K132</f>
        <v/>
      </c>
      <c r="S539" s="2" t="str">
        <f>ONLINE!L132</f>
        <v/>
      </c>
      <c r="T539" s="2" t="str">
        <f>ONLINE!M132</f>
        <v/>
      </c>
      <c r="U539" s="34" t="str">
        <f>ONLINE!N132</f>
        <v/>
      </c>
      <c r="V539" s="34" t="str">
        <f>ONLINE!O132</f>
        <v/>
      </c>
      <c r="W539" s="2" t="str">
        <f>ONLINE!P132</f>
        <v/>
      </c>
      <c r="X539" s="34">
        <f>ONLINE!Q132</f>
        <v>0</v>
      </c>
      <c r="Y539" s="1"/>
      <c r="Z539" s="1"/>
      <c r="AA539" s="1"/>
    </row>
    <row r="540">
      <c r="A540" s="1"/>
      <c r="B540" s="14">
        <f t="shared" si="11"/>
        <v>129</v>
      </c>
      <c r="C540" s="15" t="str">
        <f t="shared" si="1"/>
        <v>diciembre</v>
      </c>
      <c r="D540" s="15">
        <f t="shared" si="2"/>
        <v>52</v>
      </c>
      <c r="E540" s="16" t="str">
        <f t="shared" si="3"/>
        <v>sábado</v>
      </c>
      <c r="F540" s="15">
        <f t="shared" si="4"/>
        <v>30</v>
      </c>
      <c r="G540" s="15" t="s">
        <v>24</v>
      </c>
      <c r="H540" s="3" t="str">
        <f>ONLINE!$G$3</f>
        <v>online</v>
      </c>
      <c r="I540" s="24" t="str">
        <f>ONLINE!B133</f>
        <v/>
      </c>
      <c r="J540" s="2" t="str">
        <f>ONLINE!C133</f>
        <v/>
      </c>
      <c r="K540" s="2" t="str">
        <f>ONLINE!D133</f>
        <v/>
      </c>
      <c r="L540" s="2" t="str">
        <f>ONLINE!E133</f>
        <v/>
      </c>
      <c r="M540" s="2" t="str">
        <f>ONLINE!F133</f>
        <v/>
      </c>
      <c r="N540" s="2" t="str">
        <f>ONLINE!G133</f>
        <v/>
      </c>
      <c r="O540" s="5" t="str">
        <f>ONLINE!H133</f>
        <v/>
      </c>
      <c r="P540" s="5" t="str">
        <f>ONLINE!I133</f>
        <v/>
      </c>
      <c r="Q540" s="5" t="str">
        <f>ONLINE!J133</f>
        <v/>
      </c>
      <c r="R540" s="2" t="str">
        <f>ONLINE!K133</f>
        <v/>
      </c>
      <c r="S540" s="2" t="str">
        <f>ONLINE!L133</f>
        <v/>
      </c>
      <c r="T540" s="2" t="str">
        <f>ONLINE!M133</f>
        <v/>
      </c>
      <c r="U540" s="34" t="str">
        <f>ONLINE!N133</f>
        <v/>
      </c>
      <c r="V540" s="34" t="str">
        <f>ONLINE!O133</f>
        <v/>
      </c>
      <c r="W540" s="2" t="str">
        <f>ONLINE!P133</f>
        <v/>
      </c>
      <c r="X540" s="34">
        <f>ONLINE!Q133</f>
        <v>0</v>
      </c>
      <c r="Y540" s="1"/>
      <c r="Z540" s="1"/>
      <c r="AA540" s="1"/>
    </row>
    <row r="541">
      <c r="A541" s="1"/>
      <c r="B541" s="14">
        <f t="shared" si="11"/>
        <v>130</v>
      </c>
      <c r="C541" s="15" t="str">
        <f t="shared" si="1"/>
        <v>diciembre</v>
      </c>
      <c r="D541" s="15">
        <f t="shared" si="2"/>
        <v>52</v>
      </c>
      <c r="E541" s="16" t="str">
        <f t="shared" si="3"/>
        <v>sábado</v>
      </c>
      <c r="F541" s="15">
        <f t="shared" si="4"/>
        <v>30</v>
      </c>
      <c r="G541" s="15" t="s">
        <v>24</v>
      </c>
      <c r="H541" s="3" t="str">
        <f>ONLINE!$G$3</f>
        <v>online</v>
      </c>
      <c r="I541" s="24" t="str">
        <f>ONLINE!B134</f>
        <v/>
      </c>
      <c r="J541" s="2" t="str">
        <f>ONLINE!C134</f>
        <v/>
      </c>
      <c r="K541" s="2" t="str">
        <f>ONLINE!D134</f>
        <v/>
      </c>
      <c r="L541" s="2" t="str">
        <f>ONLINE!E134</f>
        <v/>
      </c>
      <c r="M541" s="2" t="str">
        <f>ONLINE!F134</f>
        <v/>
      </c>
      <c r="N541" s="2" t="str">
        <f>ONLINE!G134</f>
        <v/>
      </c>
      <c r="O541" s="5" t="str">
        <f>ONLINE!H134</f>
        <v/>
      </c>
      <c r="P541" s="5" t="str">
        <f>ONLINE!I134</f>
        <v/>
      </c>
      <c r="Q541" s="5" t="str">
        <f>ONLINE!J134</f>
        <v/>
      </c>
      <c r="R541" s="2" t="str">
        <f>ONLINE!K134</f>
        <v/>
      </c>
      <c r="S541" s="2" t="str">
        <f>ONLINE!L134</f>
        <v/>
      </c>
      <c r="T541" s="2" t="str">
        <f>ONLINE!M134</f>
        <v/>
      </c>
      <c r="U541" s="34" t="str">
        <f>ONLINE!N134</f>
        <v/>
      </c>
      <c r="V541" s="34" t="str">
        <f>ONLINE!O134</f>
        <v/>
      </c>
      <c r="W541" s="2" t="str">
        <f>ONLINE!P134</f>
        <v/>
      </c>
      <c r="X541" s="34">
        <f>ONLINE!Q134</f>
        <v>0</v>
      </c>
      <c r="Y541" s="1"/>
      <c r="Z541" s="1"/>
      <c r="AA541" s="1"/>
    </row>
    <row r="542">
      <c r="A542" s="1"/>
      <c r="B542" s="14">
        <f t="shared" si="11"/>
        <v>131</v>
      </c>
      <c r="C542" s="15" t="str">
        <f t="shared" si="1"/>
        <v>diciembre</v>
      </c>
      <c r="D542" s="15">
        <f t="shared" si="2"/>
        <v>52</v>
      </c>
      <c r="E542" s="16" t="str">
        <f t="shared" si="3"/>
        <v>sábado</v>
      </c>
      <c r="F542" s="15">
        <f t="shared" si="4"/>
        <v>30</v>
      </c>
      <c r="G542" s="15" t="s">
        <v>24</v>
      </c>
      <c r="H542" s="3" t="str">
        <f>ONLINE!$G$3</f>
        <v>online</v>
      </c>
      <c r="I542" s="24" t="str">
        <f>ONLINE!B135</f>
        <v/>
      </c>
      <c r="J542" s="2" t="str">
        <f>ONLINE!C135</f>
        <v/>
      </c>
      <c r="K542" s="2" t="str">
        <f>ONLINE!D135</f>
        <v/>
      </c>
      <c r="L542" s="2" t="str">
        <f>ONLINE!E135</f>
        <v/>
      </c>
      <c r="M542" s="2" t="str">
        <f>ONLINE!F135</f>
        <v/>
      </c>
      <c r="N542" s="2" t="str">
        <f>ONLINE!G135</f>
        <v/>
      </c>
      <c r="O542" s="5" t="str">
        <f>ONLINE!H135</f>
        <v/>
      </c>
      <c r="P542" s="5" t="str">
        <f>ONLINE!I135</f>
        <v/>
      </c>
      <c r="Q542" s="5" t="str">
        <f>ONLINE!J135</f>
        <v/>
      </c>
      <c r="R542" s="2" t="str">
        <f>ONLINE!K135</f>
        <v/>
      </c>
      <c r="S542" s="2" t="str">
        <f>ONLINE!L135</f>
        <v/>
      </c>
      <c r="T542" s="2" t="str">
        <f>ONLINE!M135</f>
        <v/>
      </c>
      <c r="U542" s="34" t="str">
        <f>ONLINE!N135</f>
        <v/>
      </c>
      <c r="V542" s="34" t="str">
        <f>ONLINE!O135</f>
        <v/>
      </c>
      <c r="W542" s="2" t="str">
        <f>ONLINE!P135</f>
        <v/>
      </c>
      <c r="X542" s="34">
        <f>ONLINE!Q135</f>
        <v>0</v>
      </c>
      <c r="Y542" s="1"/>
      <c r="Z542" s="1"/>
      <c r="AA542" s="1"/>
    </row>
    <row r="543">
      <c r="A543" s="1"/>
      <c r="B543" s="14">
        <f t="shared" si="11"/>
        <v>132</v>
      </c>
      <c r="C543" s="15" t="str">
        <f t="shared" si="1"/>
        <v>diciembre</v>
      </c>
      <c r="D543" s="15">
        <f t="shared" si="2"/>
        <v>52</v>
      </c>
      <c r="E543" s="16" t="str">
        <f t="shared" si="3"/>
        <v>sábado</v>
      </c>
      <c r="F543" s="15">
        <f t="shared" si="4"/>
        <v>30</v>
      </c>
      <c r="G543" s="15" t="s">
        <v>24</v>
      </c>
      <c r="H543" s="3" t="str">
        <f>ONLINE!$G$3</f>
        <v>online</v>
      </c>
      <c r="I543" s="24" t="str">
        <f>ONLINE!B136</f>
        <v/>
      </c>
      <c r="J543" s="2" t="str">
        <f>ONLINE!C136</f>
        <v/>
      </c>
      <c r="K543" s="2" t="str">
        <f>ONLINE!D136</f>
        <v/>
      </c>
      <c r="L543" s="2" t="str">
        <f>ONLINE!E136</f>
        <v/>
      </c>
      <c r="M543" s="2" t="str">
        <f>ONLINE!F136</f>
        <v/>
      </c>
      <c r="N543" s="2" t="str">
        <f>ONLINE!G136</f>
        <v/>
      </c>
      <c r="O543" s="5" t="str">
        <f>ONLINE!H136</f>
        <v/>
      </c>
      <c r="P543" s="5" t="str">
        <f>ONLINE!I136</f>
        <v/>
      </c>
      <c r="Q543" s="5" t="str">
        <f>ONLINE!J136</f>
        <v/>
      </c>
      <c r="R543" s="2" t="str">
        <f>ONLINE!K136</f>
        <v/>
      </c>
      <c r="S543" s="2" t="str">
        <f>ONLINE!L136</f>
        <v/>
      </c>
      <c r="T543" s="2" t="str">
        <f>ONLINE!M136</f>
        <v/>
      </c>
      <c r="U543" s="34" t="str">
        <f>ONLINE!N136</f>
        <v/>
      </c>
      <c r="V543" s="34" t="str">
        <f>ONLINE!O136</f>
        <v/>
      </c>
      <c r="W543" s="2" t="str">
        <f>ONLINE!P136</f>
        <v/>
      </c>
      <c r="X543" s="34">
        <f>ONLINE!Q136</f>
        <v>0</v>
      </c>
      <c r="Y543" s="1"/>
      <c r="Z543" s="1"/>
      <c r="AA543" s="1"/>
    </row>
    <row r="544">
      <c r="A544" s="1"/>
      <c r="B544" s="14">
        <f t="shared" si="11"/>
        <v>133</v>
      </c>
      <c r="C544" s="15" t="str">
        <f t="shared" si="1"/>
        <v>diciembre</v>
      </c>
      <c r="D544" s="15">
        <f t="shared" si="2"/>
        <v>52</v>
      </c>
      <c r="E544" s="16" t="str">
        <f t="shared" si="3"/>
        <v>sábado</v>
      </c>
      <c r="F544" s="15">
        <f t="shared" si="4"/>
        <v>30</v>
      </c>
      <c r="G544" s="15" t="s">
        <v>24</v>
      </c>
      <c r="H544" s="3" t="str">
        <f>ONLINE!$G$3</f>
        <v>online</v>
      </c>
      <c r="I544" s="24" t="str">
        <f>ONLINE!B137</f>
        <v/>
      </c>
      <c r="J544" s="2" t="str">
        <f>ONLINE!C137</f>
        <v/>
      </c>
      <c r="K544" s="2" t="str">
        <f>ONLINE!D137</f>
        <v/>
      </c>
      <c r="L544" s="2" t="str">
        <f>ONLINE!E137</f>
        <v/>
      </c>
      <c r="M544" s="2" t="str">
        <f>ONLINE!F137</f>
        <v/>
      </c>
      <c r="N544" s="2" t="str">
        <f>ONLINE!G137</f>
        <v/>
      </c>
      <c r="O544" s="5" t="str">
        <f>ONLINE!H137</f>
        <v/>
      </c>
      <c r="P544" s="5" t="str">
        <f>ONLINE!I137</f>
        <v/>
      </c>
      <c r="Q544" s="5" t="str">
        <f>ONLINE!J137</f>
        <v/>
      </c>
      <c r="R544" s="2" t="str">
        <f>ONLINE!K137</f>
        <v/>
      </c>
      <c r="S544" s="2" t="str">
        <f>ONLINE!L137</f>
        <v/>
      </c>
      <c r="T544" s="2" t="str">
        <f>ONLINE!M137</f>
        <v/>
      </c>
      <c r="U544" s="34" t="str">
        <f>ONLINE!N137</f>
        <v/>
      </c>
      <c r="V544" s="34" t="str">
        <f>ONLINE!O137</f>
        <v/>
      </c>
      <c r="W544" s="2" t="str">
        <f>ONLINE!P137</f>
        <v/>
      </c>
      <c r="X544" s="34">
        <f>ONLINE!Q137</f>
        <v>0</v>
      </c>
      <c r="Y544" s="1"/>
      <c r="Z544" s="1"/>
      <c r="AA544" s="1"/>
    </row>
    <row r="545">
      <c r="A545" s="1"/>
      <c r="B545" s="14">
        <f t="shared" si="11"/>
        <v>134</v>
      </c>
      <c r="C545" s="15" t="str">
        <f t="shared" si="1"/>
        <v>diciembre</v>
      </c>
      <c r="D545" s="15">
        <f t="shared" si="2"/>
        <v>52</v>
      </c>
      <c r="E545" s="16" t="str">
        <f t="shared" si="3"/>
        <v>sábado</v>
      </c>
      <c r="F545" s="15">
        <f t="shared" si="4"/>
        <v>30</v>
      </c>
      <c r="G545" s="15" t="s">
        <v>24</v>
      </c>
      <c r="H545" s="3" t="str">
        <f>ONLINE!$G$3</f>
        <v>online</v>
      </c>
      <c r="I545" s="24" t="str">
        <f>ONLINE!B138</f>
        <v/>
      </c>
      <c r="J545" s="2" t="str">
        <f>ONLINE!C138</f>
        <v/>
      </c>
      <c r="K545" s="2" t="str">
        <f>ONLINE!D138</f>
        <v/>
      </c>
      <c r="L545" s="2" t="str">
        <f>ONLINE!E138</f>
        <v/>
      </c>
      <c r="M545" s="2" t="str">
        <f>ONLINE!F138</f>
        <v/>
      </c>
      <c r="N545" s="2" t="str">
        <f>ONLINE!G138</f>
        <v/>
      </c>
      <c r="O545" s="5" t="str">
        <f>ONLINE!H138</f>
        <v/>
      </c>
      <c r="P545" s="5" t="str">
        <f>ONLINE!I138</f>
        <v/>
      </c>
      <c r="Q545" s="5" t="str">
        <f>ONLINE!J138</f>
        <v/>
      </c>
      <c r="R545" s="2" t="str">
        <f>ONLINE!K138</f>
        <v/>
      </c>
      <c r="S545" s="2" t="str">
        <f>ONLINE!L138</f>
        <v/>
      </c>
      <c r="T545" s="2" t="str">
        <f>ONLINE!M138</f>
        <v/>
      </c>
      <c r="U545" s="34" t="str">
        <f>ONLINE!N138</f>
        <v/>
      </c>
      <c r="V545" s="34" t="str">
        <f>ONLINE!O138</f>
        <v/>
      </c>
      <c r="W545" s="2" t="str">
        <f>ONLINE!P138</f>
        <v/>
      </c>
      <c r="X545" s="34">
        <f>ONLINE!Q138</f>
        <v>0</v>
      </c>
      <c r="Y545" s="1"/>
      <c r="Z545" s="1"/>
      <c r="AA545" s="1"/>
    </row>
    <row r="546">
      <c r="A546" s="1"/>
      <c r="B546" s="14">
        <f t="shared" si="11"/>
        <v>135</v>
      </c>
      <c r="C546" s="15" t="str">
        <f t="shared" si="1"/>
        <v>diciembre</v>
      </c>
      <c r="D546" s="15">
        <f t="shared" si="2"/>
        <v>52</v>
      </c>
      <c r="E546" s="16" t="str">
        <f t="shared" si="3"/>
        <v>sábado</v>
      </c>
      <c r="F546" s="15">
        <f t="shared" si="4"/>
        <v>30</v>
      </c>
      <c r="G546" s="15" t="s">
        <v>24</v>
      </c>
      <c r="H546" s="3" t="str">
        <f>ONLINE!$G$3</f>
        <v>online</v>
      </c>
      <c r="I546" s="24" t="str">
        <f>ONLINE!B139</f>
        <v/>
      </c>
      <c r="J546" s="2" t="str">
        <f>ONLINE!C139</f>
        <v/>
      </c>
      <c r="K546" s="2" t="str">
        <f>ONLINE!D139</f>
        <v/>
      </c>
      <c r="L546" s="2" t="str">
        <f>ONLINE!E139</f>
        <v/>
      </c>
      <c r="M546" s="2" t="str">
        <f>ONLINE!F139</f>
        <v/>
      </c>
      <c r="N546" s="2" t="str">
        <f>ONLINE!G139</f>
        <v/>
      </c>
      <c r="O546" s="5" t="str">
        <f>ONLINE!H139</f>
        <v/>
      </c>
      <c r="P546" s="5" t="str">
        <f>ONLINE!I139</f>
        <v/>
      </c>
      <c r="Q546" s="5" t="str">
        <f>ONLINE!J139</f>
        <v/>
      </c>
      <c r="R546" s="2" t="str">
        <f>ONLINE!K139</f>
        <v/>
      </c>
      <c r="S546" s="2" t="str">
        <f>ONLINE!L139</f>
        <v/>
      </c>
      <c r="T546" s="2" t="str">
        <f>ONLINE!M139</f>
        <v/>
      </c>
      <c r="U546" s="34" t="str">
        <f>ONLINE!N139</f>
        <v/>
      </c>
      <c r="V546" s="34" t="str">
        <f>ONLINE!O139</f>
        <v/>
      </c>
      <c r="W546" s="2" t="str">
        <f>ONLINE!P139</f>
        <v/>
      </c>
      <c r="X546" s="34">
        <f>ONLINE!Q139</f>
        <v>0</v>
      </c>
      <c r="Y546" s="1"/>
      <c r="Z546" s="1"/>
      <c r="AA546" s="1"/>
    </row>
    <row r="547">
      <c r="A547" s="1"/>
      <c r="B547" s="14">
        <f t="shared" si="11"/>
        <v>136</v>
      </c>
      <c r="C547" s="15" t="str">
        <f t="shared" si="1"/>
        <v>diciembre</v>
      </c>
      <c r="D547" s="15">
        <f t="shared" si="2"/>
        <v>52</v>
      </c>
      <c r="E547" s="16" t="str">
        <f t="shared" si="3"/>
        <v>sábado</v>
      </c>
      <c r="F547" s="15">
        <f t="shared" si="4"/>
        <v>30</v>
      </c>
      <c r="G547" s="15" t="s">
        <v>24</v>
      </c>
      <c r="H547" s="3" t="str">
        <f>ONLINE!$G$3</f>
        <v>online</v>
      </c>
      <c r="I547" s="24" t="str">
        <f>ONLINE!B140</f>
        <v/>
      </c>
      <c r="J547" s="2" t="str">
        <f>ONLINE!C140</f>
        <v/>
      </c>
      <c r="K547" s="2" t="str">
        <f>ONLINE!D140</f>
        <v/>
      </c>
      <c r="L547" s="2" t="str">
        <f>ONLINE!E140</f>
        <v/>
      </c>
      <c r="M547" s="2" t="str">
        <f>ONLINE!F140</f>
        <v/>
      </c>
      <c r="N547" s="2" t="str">
        <f>ONLINE!G140</f>
        <v/>
      </c>
      <c r="O547" s="5" t="str">
        <f>ONLINE!H140</f>
        <v/>
      </c>
      <c r="P547" s="5" t="str">
        <f>ONLINE!I140</f>
        <v/>
      </c>
      <c r="Q547" s="5" t="str">
        <f>ONLINE!J140</f>
        <v/>
      </c>
      <c r="R547" s="2" t="str">
        <f>ONLINE!K140</f>
        <v/>
      </c>
      <c r="S547" s="2" t="str">
        <f>ONLINE!L140</f>
        <v/>
      </c>
      <c r="T547" s="2" t="str">
        <f>ONLINE!M140</f>
        <v/>
      </c>
      <c r="U547" s="34" t="str">
        <f>ONLINE!N140</f>
        <v/>
      </c>
      <c r="V547" s="34" t="str">
        <f>ONLINE!O140</f>
        <v/>
      </c>
      <c r="W547" s="2" t="str">
        <f>ONLINE!P140</f>
        <v/>
      </c>
      <c r="X547" s="34">
        <f>ONLINE!Q140</f>
        <v>0</v>
      </c>
      <c r="Y547" s="1"/>
      <c r="Z547" s="1"/>
      <c r="AA547" s="1"/>
    </row>
    <row r="548">
      <c r="A548" s="1"/>
      <c r="B548" s="14">
        <f t="shared" si="11"/>
        <v>137</v>
      </c>
      <c r="C548" s="15" t="str">
        <f t="shared" si="1"/>
        <v>diciembre</v>
      </c>
      <c r="D548" s="15">
        <f t="shared" si="2"/>
        <v>52</v>
      </c>
      <c r="E548" s="16" t="str">
        <f t="shared" si="3"/>
        <v>sábado</v>
      </c>
      <c r="F548" s="15">
        <f t="shared" si="4"/>
        <v>30</v>
      </c>
      <c r="G548" s="15" t="s">
        <v>24</v>
      </c>
      <c r="H548" s="3" t="str">
        <f>ONLINE!$G$3</f>
        <v>online</v>
      </c>
      <c r="I548" s="24" t="str">
        <f>ONLINE!B141</f>
        <v/>
      </c>
      <c r="J548" s="2" t="str">
        <f>ONLINE!C141</f>
        <v/>
      </c>
      <c r="K548" s="2" t="str">
        <f>ONLINE!D141</f>
        <v/>
      </c>
      <c r="L548" s="2" t="str">
        <f>ONLINE!E141</f>
        <v/>
      </c>
      <c r="M548" s="2" t="str">
        <f>ONLINE!F141</f>
        <v/>
      </c>
      <c r="N548" s="2" t="str">
        <f>ONLINE!G141</f>
        <v/>
      </c>
      <c r="O548" s="5" t="str">
        <f>ONLINE!H141</f>
        <v/>
      </c>
      <c r="P548" s="5" t="str">
        <f>ONLINE!I141</f>
        <v/>
      </c>
      <c r="Q548" s="5" t="str">
        <f>ONLINE!J141</f>
        <v/>
      </c>
      <c r="R548" s="2" t="str">
        <f>ONLINE!K141</f>
        <v/>
      </c>
      <c r="S548" s="2" t="str">
        <f>ONLINE!L141</f>
        <v/>
      </c>
      <c r="T548" s="2" t="str">
        <f>ONLINE!M141</f>
        <v/>
      </c>
      <c r="U548" s="34" t="str">
        <f>ONLINE!N141</f>
        <v/>
      </c>
      <c r="V548" s="34" t="str">
        <f>ONLINE!O141</f>
        <v/>
      </c>
      <c r="W548" s="2" t="str">
        <f>ONLINE!P141</f>
        <v/>
      </c>
      <c r="X548" s="34">
        <f>ONLINE!Q141</f>
        <v>0</v>
      </c>
      <c r="Y548" s="1"/>
      <c r="Z548" s="1"/>
      <c r="AA548" s="1"/>
    </row>
    <row r="549">
      <c r="A549" s="1"/>
      <c r="B549" s="14">
        <f t="shared" si="11"/>
        <v>138</v>
      </c>
      <c r="C549" s="15" t="str">
        <f t="shared" si="1"/>
        <v>diciembre</v>
      </c>
      <c r="D549" s="15">
        <f t="shared" si="2"/>
        <v>52</v>
      </c>
      <c r="E549" s="16" t="str">
        <f t="shared" si="3"/>
        <v>sábado</v>
      </c>
      <c r="F549" s="15">
        <f t="shared" si="4"/>
        <v>30</v>
      </c>
      <c r="G549" s="15" t="s">
        <v>24</v>
      </c>
      <c r="H549" s="3" t="str">
        <f>ONLINE!$G$3</f>
        <v>online</v>
      </c>
      <c r="I549" s="24" t="str">
        <f>ONLINE!B142</f>
        <v/>
      </c>
      <c r="J549" s="2" t="str">
        <f>ONLINE!C142</f>
        <v/>
      </c>
      <c r="K549" s="2" t="str">
        <f>ONLINE!D142</f>
        <v/>
      </c>
      <c r="L549" s="2" t="str">
        <f>ONLINE!E142</f>
        <v/>
      </c>
      <c r="M549" s="2" t="str">
        <f>ONLINE!F142</f>
        <v/>
      </c>
      <c r="N549" s="2" t="str">
        <f>ONLINE!G142</f>
        <v/>
      </c>
      <c r="O549" s="5" t="str">
        <f>ONLINE!H142</f>
        <v/>
      </c>
      <c r="P549" s="5" t="str">
        <f>ONLINE!I142</f>
        <v/>
      </c>
      <c r="Q549" s="5" t="str">
        <f>ONLINE!J142</f>
        <v/>
      </c>
      <c r="R549" s="2" t="str">
        <f>ONLINE!K142</f>
        <v/>
      </c>
      <c r="S549" s="2" t="str">
        <f>ONLINE!L142</f>
        <v/>
      </c>
      <c r="T549" s="2" t="str">
        <f>ONLINE!M142</f>
        <v/>
      </c>
      <c r="U549" s="34" t="str">
        <f>ONLINE!N142</f>
        <v/>
      </c>
      <c r="V549" s="34" t="str">
        <f>ONLINE!O142</f>
        <v/>
      </c>
      <c r="W549" s="2" t="str">
        <f>ONLINE!P142</f>
        <v/>
      </c>
      <c r="X549" s="34">
        <f>ONLINE!Q142</f>
        <v>0</v>
      </c>
      <c r="Y549" s="1"/>
      <c r="Z549" s="1"/>
      <c r="AA549" s="1"/>
    </row>
    <row r="550">
      <c r="A550" s="1"/>
      <c r="B550" s="14">
        <f t="shared" si="11"/>
        <v>139</v>
      </c>
      <c r="C550" s="15" t="str">
        <f t="shared" si="1"/>
        <v>diciembre</v>
      </c>
      <c r="D550" s="15">
        <f t="shared" si="2"/>
        <v>52</v>
      </c>
      <c r="E550" s="16" t="str">
        <f t="shared" si="3"/>
        <v>sábado</v>
      </c>
      <c r="F550" s="15">
        <f t="shared" si="4"/>
        <v>30</v>
      </c>
      <c r="G550" s="15" t="s">
        <v>24</v>
      </c>
      <c r="H550" s="3" t="str">
        <f>ONLINE!$G$3</f>
        <v>online</v>
      </c>
      <c r="I550" s="24" t="str">
        <f>ONLINE!B143</f>
        <v/>
      </c>
      <c r="J550" s="2" t="str">
        <f>ONLINE!C143</f>
        <v/>
      </c>
      <c r="K550" s="2" t="str">
        <f>ONLINE!D143</f>
        <v/>
      </c>
      <c r="L550" s="2" t="str">
        <f>ONLINE!E143</f>
        <v/>
      </c>
      <c r="M550" s="2" t="str">
        <f>ONLINE!F143</f>
        <v/>
      </c>
      <c r="N550" s="2" t="str">
        <f>ONLINE!G143</f>
        <v/>
      </c>
      <c r="O550" s="5" t="str">
        <f>ONLINE!H143</f>
        <v/>
      </c>
      <c r="P550" s="5" t="str">
        <f>ONLINE!I143</f>
        <v/>
      </c>
      <c r="Q550" s="5" t="str">
        <f>ONLINE!J143</f>
        <v/>
      </c>
      <c r="R550" s="2" t="str">
        <f>ONLINE!K143</f>
        <v/>
      </c>
      <c r="S550" s="2" t="str">
        <f>ONLINE!L143</f>
        <v/>
      </c>
      <c r="T550" s="2" t="str">
        <f>ONLINE!M143</f>
        <v/>
      </c>
      <c r="U550" s="34" t="str">
        <f>ONLINE!N143</f>
        <v/>
      </c>
      <c r="V550" s="34" t="str">
        <f>ONLINE!O143</f>
        <v/>
      </c>
      <c r="W550" s="2" t="str">
        <f>ONLINE!P143</f>
        <v/>
      </c>
      <c r="X550" s="34">
        <f>ONLINE!Q143</f>
        <v>0</v>
      </c>
      <c r="Y550" s="1"/>
      <c r="Z550" s="1"/>
      <c r="AA550" s="1"/>
    </row>
    <row r="551">
      <c r="A551" s="1"/>
      <c r="B551" s="14">
        <f t="shared" si="11"/>
        <v>140</v>
      </c>
      <c r="C551" s="15" t="str">
        <f t="shared" si="1"/>
        <v>diciembre</v>
      </c>
      <c r="D551" s="15">
        <f t="shared" si="2"/>
        <v>52</v>
      </c>
      <c r="E551" s="16" t="str">
        <f t="shared" si="3"/>
        <v>sábado</v>
      </c>
      <c r="F551" s="15">
        <f t="shared" si="4"/>
        <v>30</v>
      </c>
      <c r="G551" s="15" t="s">
        <v>24</v>
      </c>
      <c r="H551" s="3" t="str">
        <f>ONLINE!$G$3</f>
        <v>online</v>
      </c>
      <c r="I551" s="24" t="str">
        <f>ONLINE!B144</f>
        <v/>
      </c>
      <c r="J551" s="2" t="str">
        <f>ONLINE!C144</f>
        <v/>
      </c>
      <c r="K551" s="2" t="str">
        <f>ONLINE!D144</f>
        <v/>
      </c>
      <c r="L551" s="2" t="str">
        <f>ONLINE!E144</f>
        <v/>
      </c>
      <c r="M551" s="2" t="str">
        <f>ONLINE!F144</f>
        <v/>
      </c>
      <c r="N551" s="2" t="str">
        <f>ONLINE!G144</f>
        <v/>
      </c>
      <c r="O551" s="5" t="str">
        <f>ONLINE!H144</f>
        <v/>
      </c>
      <c r="P551" s="5" t="str">
        <f>ONLINE!I144</f>
        <v/>
      </c>
      <c r="Q551" s="5" t="str">
        <f>ONLINE!J144</f>
        <v/>
      </c>
      <c r="R551" s="2" t="str">
        <f>ONLINE!K144</f>
        <v/>
      </c>
      <c r="S551" s="2" t="str">
        <f>ONLINE!L144</f>
        <v/>
      </c>
      <c r="T551" s="2" t="str">
        <f>ONLINE!M144</f>
        <v/>
      </c>
      <c r="U551" s="34" t="str">
        <f>ONLINE!N144</f>
        <v/>
      </c>
      <c r="V551" s="34" t="str">
        <f>ONLINE!O144</f>
        <v/>
      </c>
      <c r="W551" s="2" t="str">
        <f>ONLINE!P144</f>
        <v/>
      </c>
      <c r="X551" s="34">
        <f>ONLINE!Q144</f>
        <v>0</v>
      </c>
      <c r="Y551" s="1"/>
      <c r="Z551" s="1"/>
      <c r="AA551" s="1"/>
    </row>
    <row r="552">
      <c r="A552" s="1"/>
      <c r="B552" s="14">
        <f t="shared" si="11"/>
        <v>141</v>
      </c>
      <c r="C552" s="15" t="str">
        <f t="shared" si="1"/>
        <v>diciembre</v>
      </c>
      <c r="D552" s="15">
        <f t="shared" si="2"/>
        <v>52</v>
      </c>
      <c r="E552" s="16" t="str">
        <f t="shared" si="3"/>
        <v>sábado</v>
      </c>
      <c r="F552" s="15">
        <f t="shared" si="4"/>
        <v>30</v>
      </c>
      <c r="G552" s="15" t="s">
        <v>24</v>
      </c>
      <c r="H552" s="3" t="str">
        <f>ONLINE!$G$3</f>
        <v>online</v>
      </c>
      <c r="I552" s="24" t="str">
        <f>ONLINE!B145</f>
        <v/>
      </c>
      <c r="J552" s="2" t="str">
        <f>ONLINE!C145</f>
        <v/>
      </c>
      <c r="K552" s="2" t="str">
        <f>ONLINE!D145</f>
        <v/>
      </c>
      <c r="L552" s="2" t="str">
        <f>ONLINE!E145</f>
        <v/>
      </c>
      <c r="M552" s="2" t="str">
        <f>ONLINE!F145</f>
        <v/>
      </c>
      <c r="N552" s="2" t="str">
        <f>ONLINE!G145</f>
        <v/>
      </c>
      <c r="O552" s="5" t="str">
        <f>ONLINE!H145</f>
        <v/>
      </c>
      <c r="P552" s="5" t="str">
        <f>ONLINE!I145</f>
        <v/>
      </c>
      <c r="Q552" s="5" t="str">
        <f>ONLINE!J145</f>
        <v/>
      </c>
      <c r="R552" s="2" t="str">
        <f>ONLINE!K145</f>
        <v/>
      </c>
      <c r="S552" s="2" t="str">
        <f>ONLINE!L145</f>
        <v/>
      </c>
      <c r="T552" s="2" t="str">
        <f>ONLINE!M145</f>
        <v/>
      </c>
      <c r="U552" s="34" t="str">
        <f>ONLINE!N145</f>
        <v/>
      </c>
      <c r="V552" s="34" t="str">
        <f>ONLINE!O145</f>
        <v/>
      </c>
      <c r="W552" s="2" t="str">
        <f>ONLINE!P145</f>
        <v/>
      </c>
      <c r="X552" s="34">
        <f>ONLINE!Q145</f>
        <v>0</v>
      </c>
      <c r="Y552" s="1"/>
      <c r="Z552" s="1"/>
      <c r="AA552" s="1"/>
    </row>
    <row r="553">
      <c r="A553" s="1"/>
      <c r="B553" s="14">
        <f t="shared" si="11"/>
        <v>142</v>
      </c>
      <c r="C553" s="15" t="str">
        <f t="shared" si="1"/>
        <v>diciembre</v>
      </c>
      <c r="D553" s="15">
        <f t="shared" si="2"/>
        <v>52</v>
      </c>
      <c r="E553" s="16" t="str">
        <f t="shared" si="3"/>
        <v>sábado</v>
      </c>
      <c r="F553" s="15">
        <f t="shared" si="4"/>
        <v>30</v>
      </c>
      <c r="G553" s="15" t="s">
        <v>24</v>
      </c>
      <c r="H553" s="3" t="str">
        <f>ONLINE!$G$3</f>
        <v>online</v>
      </c>
      <c r="I553" s="24" t="str">
        <f>ONLINE!B146</f>
        <v/>
      </c>
      <c r="J553" s="2" t="str">
        <f>ONLINE!C146</f>
        <v/>
      </c>
      <c r="K553" s="2" t="str">
        <f>ONLINE!D146</f>
        <v/>
      </c>
      <c r="L553" s="2" t="str">
        <f>ONLINE!E146</f>
        <v/>
      </c>
      <c r="M553" s="2" t="str">
        <f>ONLINE!F146</f>
        <v/>
      </c>
      <c r="N553" s="2" t="str">
        <f>ONLINE!G146</f>
        <v/>
      </c>
      <c r="O553" s="5" t="str">
        <f>ONLINE!H146</f>
        <v/>
      </c>
      <c r="P553" s="5" t="str">
        <f>ONLINE!I146</f>
        <v/>
      </c>
      <c r="Q553" s="5" t="str">
        <f>ONLINE!J146</f>
        <v/>
      </c>
      <c r="R553" s="2" t="str">
        <f>ONLINE!K146</f>
        <v/>
      </c>
      <c r="S553" s="2" t="str">
        <f>ONLINE!L146</f>
        <v/>
      </c>
      <c r="T553" s="2" t="str">
        <f>ONLINE!M146</f>
        <v/>
      </c>
      <c r="U553" s="34" t="str">
        <f>ONLINE!N146</f>
        <v/>
      </c>
      <c r="V553" s="34" t="str">
        <f>ONLINE!O146</f>
        <v/>
      </c>
      <c r="W553" s="2" t="str">
        <f>ONLINE!P146</f>
        <v/>
      </c>
      <c r="X553" s="34">
        <f>ONLINE!Q146</f>
        <v>0</v>
      </c>
      <c r="Y553" s="1"/>
      <c r="Z553" s="1"/>
      <c r="AA553" s="1"/>
    </row>
    <row r="554">
      <c r="A554" s="1"/>
      <c r="B554" s="14">
        <f t="shared" si="11"/>
        <v>143</v>
      </c>
      <c r="C554" s="15" t="str">
        <f t="shared" si="1"/>
        <v>diciembre</v>
      </c>
      <c r="D554" s="15">
        <f t="shared" si="2"/>
        <v>52</v>
      </c>
      <c r="E554" s="16" t="str">
        <f t="shared" si="3"/>
        <v>sábado</v>
      </c>
      <c r="F554" s="15">
        <f t="shared" si="4"/>
        <v>30</v>
      </c>
      <c r="G554" s="15" t="s">
        <v>24</v>
      </c>
      <c r="H554" s="3" t="str">
        <f>ONLINE!$G$3</f>
        <v>online</v>
      </c>
      <c r="I554" s="24" t="str">
        <f>ONLINE!B147</f>
        <v/>
      </c>
      <c r="J554" s="2" t="str">
        <f>ONLINE!C147</f>
        <v/>
      </c>
      <c r="K554" s="2" t="str">
        <f>ONLINE!D147</f>
        <v/>
      </c>
      <c r="L554" s="2" t="str">
        <f>ONLINE!E147</f>
        <v/>
      </c>
      <c r="M554" s="2" t="str">
        <f>ONLINE!F147</f>
        <v/>
      </c>
      <c r="N554" s="2" t="str">
        <f>ONLINE!G147</f>
        <v/>
      </c>
      <c r="O554" s="5" t="str">
        <f>ONLINE!H147</f>
        <v/>
      </c>
      <c r="P554" s="5" t="str">
        <f>ONLINE!I147</f>
        <v/>
      </c>
      <c r="Q554" s="5" t="str">
        <f>ONLINE!J147</f>
        <v/>
      </c>
      <c r="R554" s="2" t="str">
        <f>ONLINE!K147</f>
        <v/>
      </c>
      <c r="S554" s="2" t="str">
        <f>ONLINE!L147</f>
        <v/>
      </c>
      <c r="T554" s="2" t="str">
        <f>ONLINE!M147</f>
        <v/>
      </c>
      <c r="U554" s="34" t="str">
        <f>ONLINE!N147</f>
        <v/>
      </c>
      <c r="V554" s="34" t="str">
        <f>ONLINE!O147</f>
        <v/>
      </c>
      <c r="W554" s="2" t="str">
        <f>ONLINE!P147</f>
        <v/>
      </c>
      <c r="X554" s="34">
        <f>ONLINE!Q147</f>
        <v>0</v>
      </c>
      <c r="Y554" s="1"/>
      <c r="Z554" s="1"/>
      <c r="AA554" s="1"/>
    </row>
    <row r="555">
      <c r="A555" s="1"/>
      <c r="B555" s="14">
        <f t="shared" si="11"/>
        <v>144</v>
      </c>
      <c r="C555" s="15" t="str">
        <f t="shared" si="1"/>
        <v>diciembre</v>
      </c>
      <c r="D555" s="15">
        <f t="shared" si="2"/>
        <v>52</v>
      </c>
      <c r="E555" s="16" t="str">
        <f t="shared" si="3"/>
        <v>sábado</v>
      </c>
      <c r="F555" s="15">
        <f t="shared" si="4"/>
        <v>30</v>
      </c>
      <c r="G555" s="15" t="s">
        <v>24</v>
      </c>
      <c r="H555" s="3" t="str">
        <f>ONLINE!$G$3</f>
        <v>online</v>
      </c>
      <c r="I555" s="24" t="str">
        <f>ONLINE!B148</f>
        <v/>
      </c>
      <c r="J555" s="2" t="str">
        <f>ONLINE!C148</f>
        <v/>
      </c>
      <c r="K555" s="2" t="str">
        <f>ONLINE!D148</f>
        <v/>
      </c>
      <c r="L555" s="2" t="str">
        <f>ONLINE!E148</f>
        <v/>
      </c>
      <c r="M555" s="2" t="str">
        <f>ONLINE!F148</f>
        <v/>
      </c>
      <c r="N555" s="2" t="str">
        <f>ONLINE!G148</f>
        <v/>
      </c>
      <c r="O555" s="5" t="str">
        <f>ONLINE!H148</f>
        <v/>
      </c>
      <c r="P555" s="5" t="str">
        <f>ONLINE!I148</f>
        <v/>
      </c>
      <c r="Q555" s="5" t="str">
        <f>ONLINE!J148</f>
        <v/>
      </c>
      <c r="R555" s="2" t="str">
        <f>ONLINE!K148</f>
        <v/>
      </c>
      <c r="S555" s="2" t="str">
        <f>ONLINE!L148</f>
        <v/>
      </c>
      <c r="T555" s="2" t="str">
        <f>ONLINE!M148</f>
        <v/>
      </c>
      <c r="U555" s="34" t="str">
        <f>ONLINE!N148</f>
        <v/>
      </c>
      <c r="V555" s="34" t="str">
        <f>ONLINE!O148</f>
        <v/>
      </c>
      <c r="W555" s="2" t="str">
        <f>ONLINE!P148</f>
        <v/>
      </c>
      <c r="X555" s="34">
        <f>ONLINE!Q148</f>
        <v>0</v>
      </c>
      <c r="Y555" s="1"/>
      <c r="Z555" s="1"/>
      <c r="AA555" s="1"/>
    </row>
    <row r="556">
      <c r="A556" s="1"/>
      <c r="B556" s="14">
        <f t="shared" si="11"/>
        <v>145</v>
      </c>
      <c r="C556" s="15" t="str">
        <f t="shared" si="1"/>
        <v>diciembre</v>
      </c>
      <c r="D556" s="15">
        <f t="shared" si="2"/>
        <v>52</v>
      </c>
      <c r="E556" s="16" t="str">
        <f t="shared" si="3"/>
        <v>sábado</v>
      </c>
      <c r="F556" s="15">
        <f t="shared" si="4"/>
        <v>30</v>
      </c>
      <c r="G556" s="15" t="s">
        <v>24</v>
      </c>
      <c r="H556" s="3" t="str">
        <f>ONLINE!$G$3</f>
        <v>online</v>
      </c>
      <c r="I556" s="24" t="str">
        <f>ONLINE!B149</f>
        <v/>
      </c>
      <c r="J556" s="2" t="str">
        <f>ONLINE!C149</f>
        <v/>
      </c>
      <c r="K556" s="2" t="str">
        <f>ONLINE!D149</f>
        <v/>
      </c>
      <c r="L556" s="2" t="str">
        <f>ONLINE!E149</f>
        <v/>
      </c>
      <c r="M556" s="2" t="str">
        <f>ONLINE!F149</f>
        <v/>
      </c>
      <c r="N556" s="2" t="str">
        <f>ONLINE!G149</f>
        <v/>
      </c>
      <c r="O556" s="5" t="str">
        <f>ONLINE!H149</f>
        <v/>
      </c>
      <c r="P556" s="5" t="str">
        <f>ONLINE!I149</f>
        <v/>
      </c>
      <c r="Q556" s="5" t="str">
        <f>ONLINE!J149</f>
        <v/>
      </c>
      <c r="R556" s="2" t="str">
        <f>ONLINE!K149</f>
        <v/>
      </c>
      <c r="S556" s="2" t="str">
        <f>ONLINE!L149</f>
        <v/>
      </c>
      <c r="T556" s="2" t="str">
        <f>ONLINE!M149</f>
        <v/>
      </c>
      <c r="U556" s="34" t="str">
        <f>ONLINE!N149</f>
        <v/>
      </c>
      <c r="V556" s="34" t="str">
        <f>ONLINE!O149</f>
        <v/>
      </c>
      <c r="W556" s="2" t="str">
        <f>ONLINE!P149</f>
        <v/>
      </c>
      <c r="X556" s="34">
        <f>ONLINE!Q149</f>
        <v>0</v>
      </c>
      <c r="Y556" s="1"/>
      <c r="Z556" s="1"/>
      <c r="AA556" s="1"/>
    </row>
    <row r="557">
      <c r="A557" s="1"/>
      <c r="B557" s="14">
        <f t="shared" si="11"/>
        <v>146</v>
      </c>
      <c r="C557" s="15" t="str">
        <f t="shared" si="1"/>
        <v>diciembre</v>
      </c>
      <c r="D557" s="15">
        <f t="shared" si="2"/>
        <v>52</v>
      </c>
      <c r="E557" s="16" t="str">
        <f t="shared" si="3"/>
        <v>sábado</v>
      </c>
      <c r="F557" s="15">
        <f t="shared" si="4"/>
        <v>30</v>
      </c>
      <c r="G557" s="15" t="s">
        <v>24</v>
      </c>
      <c r="H557" s="3" t="str">
        <f>ONLINE!$G$3</f>
        <v>online</v>
      </c>
      <c r="I557" s="24" t="str">
        <f>ONLINE!B150</f>
        <v/>
      </c>
      <c r="J557" s="2" t="str">
        <f>ONLINE!C150</f>
        <v/>
      </c>
      <c r="K557" s="2" t="str">
        <f>ONLINE!D150</f>
        <v/>
      </c>
      <c r="L557" s="2" t="str">
        <f>ONLINE!E150</f>
        <v/>
      </c>
      <c r="M557" s="2" t="str">
        <f>ONLINE!F150</f>
        <v/>
      </c>
      <c r="N557" s="2" t="str">
        <f>ONLINE!G150</f>
        <v/>
      </c>
      <c r="O557" s="5" t="str">
        <f>ONLINE!H150</f>
        <v/>
      </c>
      <c r="P557" s="5" t="str">
        <f>ONLINE!I150</f>
        <v/>
      </c>
      <c r="Q557" s="5" t="str">
        <f>ONLINE!J150</f>
        <v/>
      </c>
      <c r="R557" s="2" t="str">
        <f>ONLINE!K150</f>
        <v/>
      </c>
      <c r="S557" s="2" t="str">
        <f>ONLINE!L150</f>
        <v/>
      </c>
      <c r="T557" s="2" t="str">
        <f>ONLINE!M150</f>
        <v/>
      </c>
      <c r="U557" s="34" t="str">
        <f>ONLINE!N150</f>
        <v/>
      </c>
      <c r="V557" s="34" t="str">
        <f>ONLINE!O150</f>
        <v/>
      </c>
      <c r="W557" s="2" t="str">
        <f>ONLINE!P150</f>
        <v/>
      </c>
      <c r="X557" s="34">
        <f>ONLINE!Q150</f>
        <v>0</v>
      </c>
      <c r="Y557" s="1"/>
      <c r="Z557" s="1"/>
      <c r="AA557" s="1"/>
    </row>
    <row r="558">
      <c r="A558" s="1"/>
      <c r="B558" s="14">
        <f t="shared" si="11"/>
        <v>147</v>
      </c>
      <c r="C558" s="15" t="str">
        <f t="shared" si="1"/>
        <v>diciembre</v>
      </c>
      <c r="D558" s="15">
        <f t="shared" si="2"/>
        <v>52</v>
      </c>
      <c r="E558" s="16" t="str">
        <f t="shared" si="3"/>
        <v>sábado</v>
      </c>
      <c r="F558" s="15">
        <f t="shared" si="4"/>
        <v>30</v>
      </c>
      <c r="G558" s="15" t="s">
        <v>24</v>
      </c>
      <c r="H558" s="3" t="str">
        <f>ONLINE!$G$3</f>
        <v>online</v>
      </c>
      <c r="I558" s="24" t="str">
        <f>ONLINE!B151</f>
        <v/>
      </c>
      <c r="J558" s="2" t="str">
        <f>ONLINE!C151</f>
        <v/>
      </c>
      <c r="K558" s="2" t="str">
        <f>ONLINE!D151</f>
        <v/>
      </c>
      <c r="L558" s="2" t="str">
        <f>ONLINE!E151</f>
        <v/>
      </c>
      <c r="M558" s="2" t="str">
        <f>ONLINE!F151</f>
        <v/>
      </c>
      <c r="N558" s="2" t="str">
        <f>ONLINE!G151</f>
        <v/>
      </c>
      <c r="O558" s="5" t="str">
        <f>ONLINE!H151</f>
        <v/>
      </c>
      <c r="P558" s="5" t="str">
        <f>ONLINE!I151</f>
        <v/>
      </c>
      <c r="Q558" s="5" t="str">
        <f>ONLINE!J151</f>
        <v/>
      </c>
      <c r="R558" s="2" t="str">
        <f>ONLINE!K151</f>
        <v/>
      </c>
      <c r="S558" s="2" t="str">
        <f>ONLINE!L151</f>
        <v/>
      </c>
      <c r="T558" s="2" t="str">
        <f>ONLINE!M151</f>
        <v/>
      </c>
      <c r="U558" s="34" t="str">
        <f>ONLINE!N151</f>
        <v/>
      </c>
      <c r="V558" s="34" t="str">
        <f>ONLINE!O151</f>
        <v/>
      </c>
      <c r="W558" s="2" t="str">
        <f>ONLINE!P151</f>
        <v/>
      </c>
      <c r="X558" s="34">
        <f>ONLINE!Q151</f>
        <v>0</v>
      </c>
      <c r="Y558" s="1"/>
      <c r="Z558" s="1"/>
      <c r="AA558" s="1"/>
    </row>
    <row r="559">
      <c r="A559" s="1"/>
      <c r="B559" s="14">
        <f t="shared" si="11"/>
        <v>148</v>
      </c>
      <c r="C559" s="15" t="str">
        <f t="shared" si="1"/>
        <v>diciembre</v>
      </c>
      <c r="D559" s="15">
        <f t="shared" si="2"/>
        <v>52</v>
      </c>
      <c r="E559" s="16" t="str">
        <f t="shared" si="3"/>
        <v>sábado</v>
      </c>
      <c r="F559" s="15">
        <f t="shared" si="4"/>
        <v>30</v>
      </c>
      <c r="G559" s="15" t="s">
        <v>24</v>
      </c>
      <c r="H559" s="3" t="str">
        <f>ONLINE!$G$3</f>
        <v>online</v>
      </c>
      <c r="I559" s="24" t="str">
        <f>ONLINE!B152</f>
        <v/>
      </c>
      <c r="J559" s="2" t="str">
        <f>ONLINE!C152</f>
        <v/>
      </c>
      <c r="K559" s="2" t="str">
        <f>ONLINE!D152</f>
        <v/>
      </c>
      <c r="L559" s="2" t="str">
        <f>ONLINE!E152</f>
        <v/>
      </c>
      <c r="M559" s="2" t="str">
        <f>ONLINE!F152</f>
        <v/>
      </c>
      <c r="N559" s="2" t="str">
        <f>ONLINE!G152</f>
        <v/>
      </c>
      <c r="O559" s="5" t="str">
        <f>ONLINE!H152</f>
        <v/>
      </c>
      <c r="P559" s="5" t="str">
        <f>ONLINE!I152</f>
        <v/>
      </c>
      <c r="Q559" s="5" t="str">
        <f>ONLINE!J152</f>
        <v/>
      </c>
      <c r="R559" s="2" t="str">
        <f>ONLINE!K152</f>
        <v/>
      </c>
      <c r="S559" s="2" t="str">
        <f>ONLINE!L152</f>
        <v/>
      </c>
      <c r="T559" s="2" t="str">
        <f>ONLINE!M152</f>
        <v/>
      </c>
      <c r="U559" s="34" t="str">
        <f>ONLINE!N152</f>
        <v/>
      </c>
      <c r="V559" s="34" t="str">
        <f>ONLINE!O152</f>
        <v/>
      </c>
      <c r="W559" s="2" t="str">
        <f>ONLINE!P152</f>
        <v/>
      </c>
      <c r="X559" s="34">
        <f>ONLINE!Q152</f>
        <v>0</v>
      </c>
      <c r="Y559" s="1"/>
      <c r="Z559" s="1"/>
      <c r="AA559" s="1"/>
    </row>
    <row r="560">
      <c r="A560" s="1"/>
      <c r="B560" s="14">
        <f t="shared" si="11"/>
        <v>149</v>
      </c>
      <c r="C560" s="15" t="str">
        <f t="shared" si="1"/>
        <v>diciembre</v>
      </c>
      <c r="D560" s="15">
        <f t="shared" si="2"/>
        <v>52</v>
      </c>
      <c r="E560" s="16" t="str">
        <f t="shared" si="3"/>
        <v>sábado</v>
      </c>
      <c r="F560" s="15">
        <f t="shared" si="4"/>
        <v>30</v>
      </c>
      <c r="G560" s="15" t="s">
        <v>24</v>
      </c>
      <c r="H560" s="3" t="str">
        <f>ONLINE!$G$3</f>
        <v>online</v>
      </c>
      <c r="I560" s="24" t="str">
        <f>ONLINE!B153</f>
        <v/>
      </c>
      <c r="J560" s="2" t="str">
        <f>ONLINE!C153</f>
        <v/>
      </c>
      <c r="K560" s="2" t="str">
        <f>ONLINE!D153</f>
        <v/>
      </c>
      <c r="L560" s="2" t="str">
        <f>ONLINE!E153</f>
        <v/>
      </c>
      <c r="M560" s="2" t="str">
        <f>ONLINE!F153</f>
        <v/>
      </c>
      <c r="N560" s="2" t="str">
        <f>ONLINE!G153</f>
        <v/>
      </c>
      <c r="O560" s="5" t="str">
        <f>ONLINE!H153</f>
        <v/>
      </c>
      <c r="P560" s="5" t="str">
        <f>ONLINE!I153</f>
        <v/>
      </c>
      <c r="Q560" s="5" t="str">
        <f>ONLINE!J153</f>
        <v/>
      </c>
      <c r="R560" s="2" t="str">
        <f>ONLINE!K153</f>
        <v/>
      </c>
      <c r="S560" s="2" t="str">
        <f>ONLINE!L153</f>
        <v/>
      </c>
      <c r="T560" s="2" t="str">
        <f>ONLINE!M153</f>
        <v/>
      </c>
      <c r="U560" s="34" t="str">
        <f>ONLINE!N153</f>
        <v/>
      </c>
      <c r="V560" s="34" t="str">
        <f>ONLINE!O153</f>
        <v/>
      </c>
      <c r="W560" s="2" t="str">
        <f>ONLINE!P153</f>
        <v/>
      </c>
      <c r="X560" s="34">
        <f>ONLINE!Q153</f>
        <v>0</v>
      </c>
      <c r="Y560" s="1"/>
      <c r="Z560" s="1"/>
      <c r="AA560" s="1"/>
    </row>
    <row r="561">
      <c r="A561" s="1"/>
      <c r="B561" s="14">
        <f t="shared" si="11"/>
        <v>150</v>
      </c>
      <c r="C561" s="15" t="str">
        <f t="shared" si="1"/>
        <v>diciembre</v>
      </c>
      <c r="D561" s="15">
        <f t="shared" si="2"/>
        <v>52</v>
      </c>
      <c r="E561" s="16" t="str">
        <f t="shared" si="3"/>
        <v>sábado</v>
      </c>
      <c r="F561" s="15">
        <f t="shared" si="4"/>
        <v>30</v>
      </c>
      <c r="G561" s="15" t="s">
        <v>24</v>
      </c>
      <c r="H561" s="3" t="str">
        <f>ONLINE!$G$3</f>
        <v>online</v>
      </c>
      <c r="I561" s="24" t="str">
        <f>ONLINE!B154</f>
        <v/>
      </c>
      <c r="J561" s="2" t="str">
        <f>ONLINE!C154</f>
        <v/>
      </c>
      <c r="K561" s="2" t="str">
        <f>ONLINE!D154</f>
        <v/>
      </c>
      <c r="L561" s="2" t="str">
        <f>ONLINE!E154</f>
        <v/>
      </c>
      <c r="M561" s="2" t="str">
        <f>ONLINE!F154</f>
        <v/>
      </c>
      <c r="N561" s="2" t="str">
        <f>ONLINE!G154</f>
        <v/>
      </c>
      <c r="O561" s="5" t="str">
        <f>ONLINE!H154</f>
        <v/>
      </c>
      <c r="P561" s="5" t="str">
        <f>ONLINE!I154</f>
        <v/>
      </c>
      <c r="Q561" s="5" t="str">
        <f>ONLINE!J154</f>
        <v/>
      </c>
      <c r="R561" s="2" t="str">
        <f>ONLINE!K154</f>
        <v/>
      </c>
      <c r="S561" s="2" t="str">
        <f>ONLINE!L154</f>
        <v/>
      </c>
      <c r="T561" s="2" t="str">
        <f>ONLINE!M154</f>
        <v/>
      </c>
      <c r="U561" s="34" t="str">
        <f>ONLINE!N154</f>
        <v/>
      </c>
      <c r="V561" s="34" t="str">
        <f>ONLINE!O154</f>
        <v/>
      </c>
      <c r="W561" s="2" t="str">
        <f>ONLINE!P154</f>
        <v/>
      </c>
      <c r="X561" s="34">
        <f>ONLINE!Q154</f>
        <v>0</v>
      </c>
      <c r="Y561" s="1"/>
      <c r="Z561" s="1"/>
      <c r="AA561" s="1"/>
    </row>
    <row r="562">
      <c r="A562" s="1"/>
      <c r="B562" s="14">
        <f t="shared" si="11"/>
        <v>151</v>
      </c>
      <c r="C562" s="15" t="str">
        <f t="shared" si="1"/>
        <v>diciembre</v>
      </c>
      <c r="D562" s="15">
        <f t="shared" si="2"/>
        <v>52</v>
      </c>
      <c r="E562" s="16" t="str">
        <f t="shared" si="3"/>
        <v>sábado</v>
      </c>
      <c r="F562" s="15">
        <f t="shared" si="4"/>
        <v>30</v>
      </c>
      <c r="G562" s="15" t="s">
        <v>24</v>
      </c>
      <c r="H562" s="3" t="str">
        <f>ONLINE!$G$3</f>
        <v>online</v>
      </c>
      <c r="I562" s="24" t="str">
        <f>ONLINE!B155</f>
        <v/>
      </c>
      <c r="J562" s="2" t="str">
        <f>ONLINE!C155</f>
        <v/>
      </c>
      <c r="K562" s="2" t="str">
        <f>ONLINE!D155</f>
        <v/>
      </c>
      <c r="L562" s="2" t="str">
        <f>ONLINE!E155</f>
        <v/>
      </c>
      <c r="M562" s="2" t="str">
        <f>ONLINE!F155</f>
        <v/>
      </c>
      <c r="N562" s="2" t="str">
        <f>ONLINE!G155</f>
        <v/>
      </c>
      <c r="O562" s="5" t="str">
        <f>ONLINE!H155</f>
        <v/>
      </c>
      <c r="P562" s="5" t="str">
        <f>ONLINE!I155</f>
        <v/>
      </c>
      <c r="Q562" s="5" t="str">
        <f>ONLINE!J155</f>
        <v/>
      </c>
      <c r="R562" s="2" t="str">
        <f>ONLINE!K155</f>
        <v/>
      </c>
      <c r="S562" s="2" t="str">
        <f>ONLINE!L155</f>
        <v/>
      </c>
      <c r="T562" s="2" t="str">
        <f>ONLINE!M155</f>
        <v/>
      </c>
      <c r="U562" s="34" t="str">
        <f>ONLINE!N155</f>
        <v/>
      </c>
      <c r="V562" s="34" t="str">
        <f>ONLINE!O155</f>
        <v/>
      </c>
      <c r="W562" s="2" t="str">
        <f>ONLINE!P155</f>
        <v/>
      </c>
      <c r="X562" s="34">
        <f>ONLINE!Q155</f>
        <v>0</v>
      </c>
      <c r="Y562" s="1"/>
      <c r="Z562" s="1"/>
      <c r="AA562" s="1"/>
    </row>
    <row r="563">
      <c r="A563" s="1"/>
      <c r="B563" s="14">
        <f t="shared" si="11"/>
        <v>152</v>
      </c>
      <c r="C563" s="15" t="str">
        <f t="shared" si="1"/>
        <v>diciembre</v>
      </c>
      <c r="D563" s="15">
        <f t="shared" si="2"/>
        <v>52</v>
      </c>
      <c r="E563" s="16" t="str">
        <f t="shared" si="3"/>
        <v>sábado</v>
      </c>
      <c r="F563" s="15">
        <f t="shared" si="4"/>
        <v>30</v>
      </c>
      <c r="G563" s="15" t="s">
        <v>24</v>
      </c>
      <c r="H563" s="3" t="str">
        <f>ONLINE!$G$3</f>
        <v>online</v>
      </c>
      <c r="I563" s="24" t="str">
        <f>ONLINE!B156</f>
        <v/>
      </c>
      <c r="J563" s="2" t="str">
        <f>ONLINE!C156</f>
        <v/>
      </c>
      <c r="K563" s="2" t="str">
        <f>ONLINE!D156</f>
        <v/>
      </c>
      <c r="L563" s="2" t="str">
        <f>ONLINE!E156</f>
        <v/>
      </c>
      <c r="M563" s="2" t="str">
        <f>ONLINE!F156</f>
        <v/>
      </c>
      <c r="N563" s="2" t="str">
        <f>ONLINE!G156</f>
        <v/>
      </c>
      <c r="O563" s="5" t="str">
        <f>ONLINE!H156</f>
        <v/>
      </c>
      <c r="P563" s="5" t="str">
        <f>ONLINE!I156</f>
        <v/>
      </c>
      <c r="Q563" s="5" t="str">
        <f>ONLINE!J156</f>
        <v/>
      </c>
      <c r="R563" s="2" t="str">
        <f>ONLINE!K156</f>
        <v/>
      </c>
      <c r="S563" s="2" t="str">
        <f>ONLINE!L156</f>
        <v/>
      </c>
      <c r="T563" s="2" t="str">
        <f>ONLINE!M156</f>
        <v/>
      </c>
      <c r="U563" s="34" t="str">
        <f>ONLINE!N156</f>
        <v/>
      </c>
      <c r="V563" s="34" t="str">
        <f>ONLINE!O156</f>
        <v/>
      </c>
      <c r="W563" s="2" t="str">
        <f>ONLINE!P156</f>
        <v/>
      </c>
      <c r="X563" s="34">
        <f>ONLINE!Q156</f>
        <v>0</v>
      </c>
      <c r="Y563" s="1"/>
      <c r="Z563" s="1"/>
      <c r="AA563" s="1"/>
    </row>
    <row r="564">
      <c r="A564" s="1"/>
      <c r="B564" s="14">
        <f t="shared" si="11"/>
        <v>153</v>
      </c>
      <c r="C564" s="15" t="str">
        <f t="shared" si="1"/>
        <v>diciembre</v>
      </c>
      <c r="D564" s="15">
        <f t="shared" si="2"/>
        <v>52</v>
      </c>
      <c r="E564" s="16" t="str">
        <f t="shared" si="3"/>
        <v>sábado</v>
      </c>
      <c r="F564" s="15">
        <f t="shared" si="4"/>
        <v>30</v>
      </c>
      <c r="G564" s="15" t="s">
        <v>24</v>
      </c>
      <c r="H564" s="3" t="str">
        <f>ONLINE!$G$3</f>
        <v>online</v>
      </c>
      <c r="I564" s="24" t="str">
        <f>ONLINE!B157</f>
        <v/>
      </c>
      <c r="J564" s="2" t="str">
        <f>ONLINE!C157</f>
        <v/>
      </c>
      <c r="K564" s="2" t="str">
        <f>ONLINE!D157</f>
        <v/>
      </c>
      <c r="L564" s="2" t="str">
        <f>ONLINE!E157</f>
        <v/>
      </c>
      <c r="M564" s="2" t="str">
        <f>ONLINE!F157</f>
        <v/>
      </c>
      <c r="N564" s="2" t="str">
        <f>ONLINE!G157</f>
        <v/>
      </c>
      <c r="O564" s="5" t="str">
        <f>ONLINE!H157</f>
        <v/>
      </c>
      <c r="P564" s="5" t="str">
        <f>ONLINE!I157</f>
        <v/>
      </c>
      <c r="Q564" s="5" t="str">
        <f>ONLINE!J157</f>
        <v/>
      </c>
      <c r="R564" s="2" t="str">
        <f>ONLINE!K157</f>
        <v/>
      </c>
      <c r="S564" s="2" t="str">
        <f>ONLINE!L157</f>
        <v/>
      </c>
      <c r="T564" s="2" t="str">
        <f>ONLINE!M157</f>
        <v/>
      </c>
      <c r="U564" s="34" t="str">
        <f>ONLINE!N157</f>
        <v/>
      </c>
      <c r="V564" s="34" t="str">
        <f>ONLINE!O157</f>
        <v/>
      </c>
      <c r="W564" s="2" t="str">
        <f>ONLINE!P157</f>
        <v/>
      </c>
      <c r="X564" s="34">
        <f>ONLINE!Q157</f>
        <v>0</v>
      </c>
      <c r="Y564" s="1"/>
      <c r="Z564" s="1"/>
      <c r="AA564" s="1"/>
    </row>
    <row r="565">
      <c r="A565" s="1"/>
      <c r="B565" s="14">
        <f t="shared" si="11"/>
        <v>154</v>
      </c>
      <c r="C565" s="15" t="str">
        <f t="shared" si="1"/>
        <v>diciembre</v>
      </c>
      <c r="D565" s="15">
        <f t="shared" si="2"/>
        <v>52</v>
      </c>
      <c r="E565" s="16" t="str">
        <f t="shared" si="3"/>
        <v>sábado</v>
      </c>
      <c r="F565" s="15">
        <f t="shared" si="4"/>
        <v>30</v>
      </c>
      <c r="G565" s="15" t="s">
        <v>24</v>
      </c>
      <c r="H565" s="3" t="str">
        <f>ONLINE!$G$3</f>
        <v>online</v>
      </c>
      <c r="I565" s="24" t="str">
        <f>ONLINE!B158</f>
        <v/>
      </c>
      <c r="J565" s="2" t="str">
        <f>ONLINE!C158</f>
        <v/>
      </c>
      <c r="K565" s="2" t="str">
        <f>ONLINE!D158</f>
        <v/>
      </c>
      <c r="L565" s="2" t="str">
        <f>ONLINE!E158</f>
        <v/>
      </c>
      <c r="M565" s="2" t="str">
        <f>ONLINE!F158</f>
        <v/>
      </c>
      <c r="N565" s="2" t="str">
        <f>ONLINE!G158</f>
        <v/>
      </c>
      <c r="O565" s="5" t="str">
        <f>ONLINE!H158</f>
        <v/>
      </c>
      <c r="P565" s="5" t="str">
        <f>ONLINE!I158</f>
        <v/>
      </c>
      <c r="Q565" s="5" t="str">
        <f>ONLINE!J158</f>
        <v/>
      </c>
      <c r="R565" s="2" t="str">
        <f>ONLINE!K158</f>
        <v/>
      </c>
      <c r="S565" s="2" t="str">
        <f>ONLINE!L158</f>
        <v/>
      </c>
      <c r="T565" s="2" t="str">
        <f>ONLINE!M158</f>
        <v/>
      </c>
      <c r="U565" s="34" t="str">
        <f>ONLINE!N158</f>
        <v/>
      </c>
      <c r="V565" s="34" t="str">
        <f>ONLINE!O158</f>
        <v/>
      </c>
      <c r="W565" s="2" t="str">
        <f>ONLINE!P158</f>
        <v/>
      </c>
      <c r="X565" s="34">
        <f>ONLINE!Q158</f>
        <v>0</v>
      </c>
      <c r="Y565" s="1"/>
      <c r="Z565" s="1"/>
      <c r="AA565" s="1"/>
    </row>
    <row r="566">
      <c r="A566" s="1"/>
      <c r="B566" s="14">
        <f t="shared" si="11"/>
        <v>155</v>
      </c>
      <c r="C566" s="15" t="str">
        <f t="shared" si="1"/>
        <v>diciembre</v>
      </c>
      <c r="D566" s="15">
        <f t="shared" si="2"/>
        <v>52</v>
      </c>
      <c r="E566" s="16" t="str">
        <f t="shared" si="3"/>
        <v>sábado</v>
      </c>
      <c r="F566" s="15">
        <f t="shared" si="4"/>
        <v>30</v>
      </c>
      <c r="G566" s="15" t="s">
        <v>24</v>
      </c>
      <c r="H566" s="3" t="str">
        <f>ONLINE!$G$3</f>
        <v>online</v>
      </c>
      <c r="I566" s="24" t="str">
        <f>ONLINE!B159</f>
        <v/>
      </c>
      <c r="J566" s="2" t="str">
        <f>ONLINE!C159</f>
        <v/>
      </c>
      <c r="K566" s="2" t="str">
        <f>ONLINE!D159</f>
        <v/>
      </c>
      <c r="L566" s="2" t="str">
        <f>ONLINE!E159</f>
        <v/>
      </c>
      <c r="M566" s="2" t="str">
        <f>ONLINE!F159</f>
        <v/>
      </c>
      <c r="N566" s="2" t="str">
        <f>ONLINE!G159</f>
        <v/>
      </c>
      <c r="O566" s="5" t="str">
        <f>ONLINE!H159</f>
        <v/>
      </c>
      <c r="P566" s="5" t="str">
        <f>ONLINE!I159</f>
        <v/>
      </c>
      <c r="Q566" s="5" t="str">
        <f>ONLINE!J159</f>
        <v/>
      </c>
      <c r="R566" s="2" t="str">
        <f>ONLINE!K159</f>
        <v/>
      </c>
      <c r="S566" s="2" t="str">
        <f>ONLINE!L159</f>
        <v/>
      </c>
      <c r="T566" s="2" t="str">
        <f>ONLINE!M159</f>
        <v/>
      </c>
      <c r="U566" s="34" t="str">
        <f>ONLINE!N159</f>
        <v/>
      </c>
      <c r="V566" s="34" t="str">
        <f>ONLINE!O159</f>
        <v/>
      </c>
      <c r="W566" s="2" t="str">
        <f>ONLINE!P159</f>
        <v/>
      </c>
      <c r="X566" s="34">
        <f>ONLINE!Q159</f>
        <v>0</v>
      </c>
      <c r="Y566" s="1"/>
      <c r="Z566" s="1"/>
      <c r="AA566" s="1"/>
    </row>
    <row r="567">
      <c r="A567" s="1"/>
      <c r="B567" s="14">
        <f t="shared" si="11"/>
        <v>156</v>
      </c>
      <c r="C567" s="15" t="str">
        <f t="shared" si="1"/>
        <v>diciembre</v>
      </c>
      <c r="D567" s="15">
        <f t="shared" si="2"/>
        <v>52</v>
      </c>
      <c r="E567" s="16" t="str">
        <f t="shared" si="3"/>
        <v>sábado</v>
      </c>
      <c r="F567" s="15">
        <f t="shared" si="4"/>
        <v>30</v>
      </c>
      <c r="G567" s="15" t="s">
        <v>24</v>
      </c>
      <c r="H567" s="3" t="str">
        <f>ONLINE!$G$3</f>
        <v>online</v>
      </c>
      <c r="I567" s="24" t="str">
        <f>ONLINE!B160</f>
        <v/>
      </c>
      <c r="J567" s="2" t="str">
        <f>ONLINE!C160</f>
        <v/>
      </c>
      <c r="K567" s="2" t="str">
        <f>ONLINE!D160</f>
        <v/>
      </c>
      <c r="L567" s="2" t="str">
        <f>ONLINE!E160</f>
        <v/>
      </c>
      <c r="M567" s="2" t="str">
        <f>ONLINE!F160</f>
        <v/>
      </c>
      <c r="N567" s="2" t="str">
        <f>ONLINE!G160</f>
        <v/>
      </c>
      <c r="O567" s="5" t="str">
        <f>ONLINE!H160</f>
        <v/>
      </c>
      <c r="P567" s="5" t="str">
        <f>ONLINE!I160</f>
        <v/>
      </c>
      <c r="Q567" s="5" t="str">
        <f>ONLINE!J160</f>
        <v/>
      </c>
      <c r="R567" s="2" t="str">
        <f>ONLINE!K160</f>
        <v/>
      </c>
      <c r="S567" s="2" t="str">
        <f>ONLINE!L160</f>
        <v/>
      </c>
      <c r="T567" s="2" t="str">
        <f>ONLINE!M160</f>
        <v/>
      </c>
      <c r="U567" s="34" t="str">
        <f>ONLINE!N160</f>
        <v/>
      </c>
      <c r="V567" s="34" t="str">
        <f>ONLINE!O160</f>
        <v/>
      </c>
      <c r="W567" s="2" t="str">
        <f>ONLINE!P160</f>
        <v/>
      </c>
      <c r="X567" s="34">
        <f>ONLINE!Q160</f>
        <v>0</v>
      </c>
      <c r="Y567" s="1"/>
      <c r="Z567" s="1"/>
      <c r="AA567" s="1"/>
    </row>
    <row r="568">
      <c r="A568" s="1"/>
      <c r="B568" s="14">
        <f t="shared" si="11"/>
        <v>157</v>
      </c>
      <c r="C568" s="15" t="str">
        <f t="shared" si="1"/>
        <v>diciembre</v>
      </c>
      <c r="D568" s="15">
        <f t="shared" si="2"/>
        <v>52</v>
      </c>
      <c r="E568" s="16" t="str">
        <f t="shared" si="3"/>
        <v>sábado</v>
      </c>
      <c r="F568" s="15">
        <f t="shared" si="4"/>
        <v>30</v>
      </c>
      <c r="G568" s="15" t="s">
        <v>24</v>
      </c>
      <c r="H568" s="3" t="str">
        <f>ONLINE!$G$3</f>
        <v>online</v>
      </c>
      <c r="I568" s="24" t="str">
        <f>ONLINE!B161</f>
        <v/>
      </c>
      <c r="J568" s="2" t="str">
        <f>ONLINE!C161</f>
        <v/>
      </c>
      <c r="K568" s="2" t="str">
        <f>ONLINE!D161</f>
        <v/>
      </c>
      <c r="L568" s="2" t="str">
        <f>ONLINE!E161</f>
        <v/>
      </c>
      <c r="M568" s="2" t="str">
        <f>ONLINE!F161</f>
        <v/>
      </c>
      <c r="N568" s="2" t="str">
        <f>ONLINE!G161</f>
        <v/>
      </c>
      <c r="O568" s="5" t="str">
        <f>ONLINE!H161</f>
        <v/>
      </c>
      <c r="P568" s="5" t="str">
        <f>ONLINE!I161</f>
        <v/>
      </c>
      <c r="Q568" s="5" t="str">
        <f>ONLINE!J161</f>
        <v/>
      </c>
      <c r="R568" s="2" t="str">
        <f>ONLINE!K161</f>
        <v/>
      </c>
      <c r="S568" s="2" t="str">
        <f>ONLINE!L161</f>
        <v/>
      </c>
      <c r="T568" s="2" t="str">
        <f>ONLINE!M161</f>
        <v/>
      </c>
      <c r="U568" s="34" t="str">
        <f>ONLINE!N161</f>
        <v/>
      </c>
      <c r="V568" s="34" t="str">
        <f>ONLINE!O161</f>
        <v/>
      </c>
      <c r="W568" s="2" t="str">
        <f>ONLINE!P161</f>
        <v/>
      </c>
      <c r="X568" s="34">
        <f>ONLINE!Q161</f>
        <v>0</v>
      </c>
      <c r="Y568" s="1"/>
      <c r="Z568" s="1"/>
      <c r="AA568" s="1"/>
    </row>
    <row r="569">
      <c r="A569" s="1"/>
      <c r="B569" s="14">
        <f t="shared" si="11"/>
        <v>158</v>
      </c>
      <c r="C569" s="15" t="str">
        <f t="shared" si="1"/>
        <v>diciembre</v>
      </c>
      <c r="D569" s="15">
        <f t="shared" si="2"/>
        <v>52</v>
      </c>
      <c r="E569" s="16" t="str">
        <f t="shared" si="3"/>
        <v>sábado</v>
      </c>
      <c r="F569" s="15">
        <f t="shared" si="4"/>
        <v>30</v>
      </c>
      <c r="G569" s="15" t="s">
        <v>24</v>
      </c>
      <c r="H569" s="3" t="str">
        <f>ONLINE!$G$3</f>
        <v>online</v>
      </c>
      <c r="I569" s="24" t="str">
        <f>ONLINE!B162</f>
        <v/>
      </c>
      <c r="J569" s="2" t="str">
        <f>ONLINE!C162</f>
        <v/>
      </c>
      <c r="K569" s="2" t="str">
        <f>ONLINE!D162</f>
        <v/>
      </c>
      <c r="L569" s="2" t="str">
        <f>ONLINE!E162</f>
        <v/>
      </c>
      <c r="M569" s="2" t="str">
        <f>ONLINE!F162</f>
        <v/>
      </c>
      <c r="N569" s="2" t="str">
        <f>ONLINE!G162</f>
        <v/>
      </c>
      <c r="O569" s="5" t="str">
        <f>ONLINE!H162</f>
        <v/>
      </c>
      <c r="P569" s="5" t="str">
        <f>ONLINE!I162</f>
        <v/>
      </c>
      <c r="Q569" s="5" t="str">
        <f>ONLINE!J162</f>
        <v/>
      </c>
      <c r="R569" s="2" t="str">
        <f>ONLINE!K162</f>
        <v/>
      </c>
      <c r="S569" s="2" t="str">
        <f>ONLINE!L162</f>
        <v/>
      </c>
      <c r="T569" s="2" t="str">
        <f>ONLINE!M162</f>
        <v/>
      </c>
      <c r="U569" s="34" t="str">
        <f>ONLINE!N162</f>
        <v/>
      </c>
      <c r="V569" s="34" t="str">
        <f>ONLINE!O162</f>
        <v/>
      </c>
      <c r="W569" s="2" t="str">
        <f>ONLINE!P162</f>
        <v/>
      </c>
      <c r="X569" s="34">
        <f>ONLINE!Q162</f>
        <v>0</v>
      </c>
      <c r="Y569" s="1"/>
      <c r="Z569" s="1"/>
      <c r="AA569" s="1"/>
    </row>
    <row r="570">
      <c r="A570" s="1"/>
      <c r="B570" s="14">
        <f t="shared" si="11"/>
        <v>159</v>
      </c>
      <c r="C570" s="15" t="str">
        <f t="shared" si="1"/>
        <v>diciembre</v>
      </c>
      <c r="D570" s="15">
        <f t="shared" si="2"/>
        <v>52</v>
      </c>
      <c r="E570" s="16" t="str">
        <f t="shared" si="3"/>
        <v>sábado</v>
      </c>
      <c r="F570" s="15">
        <f t="shared" si="4"/>
        <v>30</v>
      </c>
      <c r="G570" s="15" t="s">
        <v>24</v>
      </c>
      <c r="H570" s="3" t="str">
        <f>ONLINE!$G$3</f>
        <v>online</v>
      </c>
      <c r="I570" s="24" t="str">
        <f>ONLINE!B163</f>
        <v/>
      </c>
      <c r="J570" s="2" t="str">
        <f>ONLINE!C163</f>
        <v/>
      </c>
      <c r="K570" s="2" t="str">
        <f>ONLINE!D163</f>
        <v/>
      </c>
      <c r="L570" s="2" t="str">
        <f>ONLINE!E163</f>
        <v/>
      </c>
      <c r="M570" s="2" t="str">
        <f>ONLINE!F163</f>
        <v/>
      </c>
      <c r="N570" s="2" t="str">
        <f>ONLINE!G163</f>
        <v/>
      </c>
      <c r="O570" s="5" t="str">
        <f>ONLINE!H163</f>
        <v/>
      </c>
      <c r="P570" s="5" t="str">
        <f>ONLINE!I163</f>
        <v/>
      </c>
      <c r="Q570" s="5" t="str">
        <f>ONLINE!J163</f>
        <v/>
      </c>
      <c r="R570" s="2" t="str">
        <f>ONLINE!K163</f>
        <v/>
      </c>
      <c r="S570" s="2" t="str">
        <f>ONLINE!L163</f>
        <v/>
      </c>
      <c r="T570" s="2" t="str">
        <f>ONLINE!M163</f>
        <v/>
      </c>
      <c r="U570" s="34" t="str">
        <f>ONLINE!N163</f>
        <v/>
      </c>
      <c r="V570" s="34" t="str">
        <f>ONLINE!O163</f>
        <v/>
      </c>
      <c r="W570" s="2" t="str">
        <f>ONLINE!P163</f>
        <v/>
      </c>
      <c r="X570" s="34">
        <f>ONLINE!Q163</f>
        <v>0</v>
      </c>
      <c r="Y570" s="1"/>
      <c r="Z570" s="1"/>
      <c r="AA570" s="1"/>
    </row>
    <row r="571">
      <c r="A571" s="1"/>
      <c r="B571" s="14">
        <f t="shared" si="11"/>
        <v>160</v>
      </c>
      <c r="C571" s="15" t="str">
        <f t="shared" si="1"/>
        <v>diciembre</v>
      </c>
      <c r="D571" s="15">
        <f t="shared" si="2"/>
        <v>52</v>
      </c>
      <c r="E571" s="16" t="str">
        <f t="shared" si="3"/>
        <v>sábado</v>
      </c>
      <c r="F571" s="15">
        <f t="shared" si="4"/>
        <v>30</v>
      </c>
      <c r="G571" s="15" t="s">
        <v>24</v>
      </c>
      <c r="H571" s="3" t="str">
        <f>ONLINE!$G$3</f>
        <v>online</v>
      </c>
      <c r="I571" s="24" t="str">
        <f>ONLINE!B164</f>
        <v/>
      </c>
      <c r="J571" s="2" t="str">
        <f>ONLINE!C164</f>
        <v/>
      </c>
      <c r="K571" s="2" t="str">
        <f>ONLINE!D164</f>
        <v/>
      </c>
      <c r="L571" s="2" t="str">
        <f>ONLINE!E164</f>
        <v/>
      </c>
      <c r="M571" s="2" t="str">
        <f>ONLINE!F164</f>
        <v/>
      </c>
      <c r="N571" s="2" t="str">
        <f>ONLINE!G164</f>
        <v/>
      </c>
      <c r="O571" s="5" t="str">
        <f>ONLINE!H164</f>
        <v/>
      </c>
      <c r="P571" s="5" t="str">
        <f>ONLINE!I164</f>
        <v/>
      </c>
      <c r="Q571" s="5" t="str">
        <f>ONLINE!J164</f>
        <v/>
      </c>
      <c r="R571" s="2" t="str">
        <f>ONLINE!K164</f>
        <v/>
      </c>
      <c r="S571" s="2" t="str">
        <f>ONLINE!L164</f>
        <v/>
      </c>
      <c r="T571" s="2" t="str">
        <f>ONLINE!M164</f>
        <v/>
      </c>
      <c r="U571" s="34" t="str">
        <f>ONLINE!N164</f>
        <v/>
      </c>
      <c r="V571" s="34" t="str">
        <f>ONLINE!O164</f>
        <v/>
      </c>
      <c r="W571" s="2" t="str">
        <f>ONLINE!P164</f>
        <v/>
      </c>
      <c r="X571" s="34">
        <f>ONLINE!Q164</f>
        <v>0</v>
      </c>
      <c r="Y571" s="1"/>
      <c r="Z571" s="1"/>
      <c r="AA571" s="1"/>
    </row>
    <row r="572">
      <c r="A572" s="1"/>
      <c r="B572" s="14">
        <f t="shared" si="11"/>
        <v>161</v>
      </c>
      <c r="C572" s="15" t="str">
        <f t="shared" si="1"/>
        <v>diciembre</v>
      </c>
      <c r="D572" s="15">
        <f t="shared" si="2"/>
        <v>52</v>
      </c>
      <c r="E572" s="16" t="str">
        <f t="shared" si="3"/>
        <v>sábado</v>
      </c>
      <c r="F572" s="15">
        <f t="shared" si="4"/>
        <v>30</v>
      </c>
      <c r="G572" s="15" t="s">
        <v>24</v>
      </c>
      <c r="H572" s="3" t="str">
        <f>ONLINE!$G$3</f>
        <v>online</v>
      </c>
      <c r="I572" s="24" t="str">
        <f>ONLINE!B165</f>
        <v/>
      </c>
      <c r="J572" s="2" t="str">
        <f>ONLINE!C165</f>
        <v/>
      </c>
      <c r="K572" s="2" t="str">
        <f>ONLINE!D165</f>
        <v/>
      </c>
      <c r="L572" s="2" t="str">
        <f>ONLINE!E165</f>
        <v/>
      </c>
      <c r="M572" s="2" t="str">
        <f>ONLINE!F165</f>
        <v/>
      </c>
      <c r="N572" s="2" t="str">
        <f>ONLINE!G165</f>
        <v/>
      </c>
      <c r="O572" s="5" t="str">
        <f>ONLINE!H165</f>
        <v/>
      </c>
      <c r="P572" s="5" t="str">
        <f>ONLINE!I165</f>
        <v/>
      </c>
      <c r="Q572" s="5" t="str">
        <f>ONLINE!J165</f>
        <v/>
      </c>
      <c r="R572" s="2" t="str">
        <f>ONLINE!K165</f>
        <v/>
      </c>
      <c r="S572" s="2" t="str">
        <f>ONLINE!L165</f>
        <v/>
      </c>
      <c r="T572" s="2" t="str">
        <f>ONLINE!M165</f>
        <v/>
      </c>
      <c r="U572" s="34" t="str">
        <f>ONLINE!N165</f>
        <v/>
      </c>
      <c r="V572" s="34" t="str">
        <f>ONLINE!O165</f>
        <v/>
      </c>
      <c r="W572" s="2" t="str">
        <f>ONLINE!P165</f>
        <v/>
      </c>
      <c r="X572" s="34">
        <f>ONLINE!Q165</f>
        <v>0</v>
      </c>
      <c r="Y572" s="1"/>
      <c r="Z572" s="1"/>
      <c r="AA572" s="1"/>
    </row>
    <row r="573">
      <c r="A573" s="1"/>
      <c r="B573" s="14">
        <f t="shared" si="11"/>
        <v>162</v>
      </c>
      <c r="C573" s="15" t="str">
        <f t="shared" si="1"/>
        <v>diciembre</v>
      </c>
      <c r="D573" s="15">
        <f t="shared" si="2"/>
        <v>52</v>
      </c>
      <c r="E573" s="16" t="str">
        <f t="shared" si="3"/>
        <v>sábado</v>
      </c>
      <c r="F573" s="15">
        <f t="shared" si="4"/>
        <v>30</v>
      </c>
      <c r="G573" s="15" t="s">
        <v>24</v>
      </c>
      <c r="H573" s="3" t="str">
        <f>ONLINE!$G$3</f>
        <v>online</v>
      </c>
      <c r="I573" s="24" t="str">
        <f>ONLINE!B166</f>
        <v/>
      </c>
      <c r="J573" s="2" t="str">
        <f>ONLINE!C166</f>
        <v/>
      </c>
      <c r="K573" s="2" t="str">
        <f>ONLINE!D166</f>
        <v/>
      </c>
      <c r="L573" s="2" t="str">
        <f>ONLINE!E166</f>
        <v/>
      </c>
      <c r="M573" s="2" t="str">
        <f>ONLINE!F166</f>
        <v/>
      </c>
      <c r="N573" s="2" t="str">
        <f>ONLINE!G166</f>
        <v/>
      </c>
      <c r="O573" s="5" t="str">
        <f>ONLINE!H166</f>
        <v/>
      </c>
      <c r="P573" s="5" t="str">
        <f>ONLINE!I166</f>
        <v/>
      </c>
      <c r="Q573" s="5" t="str">
        <f>ONLINE!J166</f>
        <v/>
      </c>
      <c r="R573" s="2" t="str">
        <f>ONLINE!K166</f>
        <v/>
      </c>
      <c r="S573" s="2" t="str">
        <f>ONLINE!L166</f>
        <v/>
      </c>
      <c r="T573" s="2" t="str">
        <f>ONLINE!M166</f>
        <v/>
      </c>
      <c r="U573" s="34" t="str">
        <f>ONLINE!N166</f>
        <v/>
      </c>
      <c r="V573" s="34" t="str">
        <f>ONLINE!O166</f>
        <v/>
      </c>
      <c r="W573" s="2" t="str">
        <f>ONLINE!P166</f>
        <v/>
      </c>
      <c r="X573" s="34">
        <f>ONLINE!Q166</f>
        <v>0</v>
      </c>
      <c r="Y573" s="1"/>
      <c r="Z573" s="1"/>
      <c r="AA573" s="1"/>
    </row>
    <row r="574">
      <c r="A574" s="1"/>
      <c r="B574" s="14">
        <f t="shared" si="11"/>
        <v>163</v>
      </c>
      <c r="C574" s="15" t="str">
        <f t="shared" si="1"/>
        <v>diciembre</v>
      </c>
      <c r="D574" s="15">
        <f t="shared" si="2"/>
        <v>52</v>
      </c>
      <c r="E574" s="16" t="str">
        <f t="shared" si="3"/>
        <v>sábado</v>
      </c>
      <c r="F574" s="15">
        <f t="shared" si="4"/>
        <v>30</v>
      </c>
      <c r="G574" s="15" t="s">
        <v>24</v>
      </c>
      <c r="H574" s="3" t="str">
        <f>ONLINE!$G$3</f>
        <v>online</v>
      </c>
      <c r="I574" s="24" t="str">
        <f>ONLINE!B167</f>
        <v/>
      </c>
      <c r="J574" s="2" t="str">
        <f>ONLINE!C167</f>
        <v/>
      </c>
      <c r="K574" s="2" t="str">
        <f>ONLINE!D167</f>
        <v/>
      </c>
      <c r="L574" s="2" t="str">
        <f>ONLINE!E167</f>
        <v/>
      </c>
      <c r="M574" s="2" t="str">
        <f>ONLINE!F167</f>
        <v/>
      </c>
      <c r="N574" s="2" t="str">
        <f>ONLINE!G167</f>
        <v/>
      </c>
      <c r="O574" s="5" t="str">
        <f>ONLINE!H167</f>
        <v/>
      </c>
      <c r="P574" s="5" t="str">
        <f>ONLINE!I167</f>
        <v/>
      </c>
      <c r="Q574" s="5" t="str">
        <f>ONLINE!J167</f>
        <v/>
      </c>
      <c r="R574" s="2" t="str">
        <f>ONLINE!K167</f>
        <v/>
      </c>
      <c r="S574" s="2" t="str">
        <f>ONLINE!L167</f>
        <v/>
      </c>
      <c r="T574" s="2" t="str">
        <f>ONLINE!M167</f>
        <v/>
      </c>
      <c r="U574" s="34" t="str">
        <f>ONLINE!N167</f>
        <v/>
      </c>
      <c r="V574" s="34" t="str">
        <f>ONLINE!O167</f>
        <v/>
      </c>
      <c r="W574" s="2" t="str">
        <f>ONLINE!P167</f>
        <v/>
      </c>
      <c r="X574" s="34">
        <f>ONLINE!Q167</f>
        <v>0</v>
      </c>
      <c r="Y574" s="1"/>
      <c r="Z574" s="1"/>
      <c r="AA574" s="1"/>
    </row>
    <row r="575">
      <c r="A575" s="1"/>
      <c r="B575" s="14">
        <f t="shared" si="11"/>
        <v>164</v>
      </c>
      <c r="C575" s="15" t="str">
        <f t="shared" si="1"/>
        <v>diciembre</v>
      </c>
      <c r="D575" s="15">
        <f t="shared" si="2"/>
        <v>52</v>
      </c>
      <c r="E575" s="16" t="str">
        <f t="shared" si="3"/>
        <v>sábado</v>
      </c>
      <c r="F575" s="15">
        <f t="shared" si="4"/>
        <v>30</v>
      </c>
      <c r="G575" s="15" t="s">
        <v>24</v>
      </c>
      <c r="H575" s="3" t="str">
        <f>ONLINE!$G$3</f>
        <v>online</v>
      </c>
      <c r="I575" s="24" t="str">
        <f>ONLINE!B168</f>
        <v/>
      </c>
      <c r="J575" s="2" t="str">
        <f>ONLINE!C168</f>
        <v/>
      </c>
      <c r="K575" s="2" t="str">
        <f>ONLINE!D168</f>
        <v/>
      </c>
      <c r="L575" s="2" t="str">
        <f>ONLINE!E168</f>
        <v/>
      </c>
      <c r="M575" s="2" t="str">
        <f>ONLINE!F168</f>
        <v/>
      </c>
      <c r="N575" s="2" t="str">
        <f>ONLINE!G168</f>
        <v/>
      </c>
      <c r="O575" s="5" t="str">
        <f>ONLINE!H168</f>
        <v/>
      </c>
      <c r="P575" s="5" t="str">
        <f>ONLINE!I168</f>
        <v/>
      </c>
      <c r="Q575" s="5" t="str">
        <f>ONLINE!J168</f>
        <v/>
      </c>
      <c r="R575" s="2" t="str">
        <f>ONLINE!K168</f>
        <v/>
      </c>
      <c r="S575" s="2" t="str">
        <f>ONLINE!L168</f>
        <v/>
      </c>
      <c r="T575" s="2" t="str">
        <f>ONLINE!M168</f>
        <v/>
      </c>
      <c r="U575" s="34" t="str">
        <f>ONLINE!N168</f>
        <v/>
      </c>
      <c r="V575" s="34" t="str">
        <f>ONLINE!O168</f>
        <v/>
      </c>
      <c r="W575" s="2" t="str">
        <f>ONLINE!P168</f>
        <v/>
      </c>
      <c r="X575" s="34">
        <f>ONLINE!Q168</f>
        <v>0</v>
      </c>
      <c r="Y575" s="1"/>
      <c r="Z575" s="1"/>
      <c r="AA575" s="1"/>
    </row>
    <row r="576">
      <c r="A576" s="1"/>
      <c r="B576" s="14">
        <f t="shared" si="11"/>
        <v>165</v>
      </c>
      <c r="C576" s="15" t="str">
        <f t="shared" si="1"/>
        <v>diciembre</v>
      </c>
      <c r="D576" s="15">
        <f t="shared" si="2"/>
        <v>52</v>
      </c>
      <c r="E576" s="16" t="str">
        <f t="shared" si="3"/>
        <v>sábado</v>
      </c>
      <c r="F576" s="15">
        <f t="shared" si="4"/>
        <v>30</v>
      </c>
      <c r="G576" s="15" t="s">
        <v>24</v>
      </c>
      <c r="H576" s="3" t="str">
        <f>ONLINE!$G$3</f>
        <v>online</v>
      </c>
      <c r="I576" s="24" t="str">
        <f>ONLINE!B169</f>
        <v/>
      </c>
      <c r="J576" s="2" t="str">
        <f>ONLINE!C169</f>
        <v/>
      </c>
      <c r="K576" s="2" t="str">
        <f>ONLINE!D169</f>
        <v/>
      </c>
      <c r="L576" s="2" t="str">
        <f>ONLINE!E169</f>
        <v/>
      </c>
      <c r="M576" s="2" t="str">
        <f>ONLINE!F169</f>
        <v/>
      </c>
      <c r="N576" s="2" t="str">
        <f>ONLINE!G169</f>
        <v/>
      </c>
      <c r="O576" s="5" t="str">
        <f>ONLINE!H169</f>
        <v/>
      </c>
      <c r="P576" s="5" t="str">
        <f>ONLINE!I169</f>
        <v/>
      </c>
      <c r="Q576" s="5" t="str">
        <f>ONLINE!J169</f>
        <v/>
      </c>
      <c r="R576" s="2" t="str">
        <f>ONLINE!K169</f>
        <v/>
      </c>
      <c r="S576" s="2" t="str">
        <f>ONLINE!L169</f>
        <v/>
      </c>
      <c r="T576" s="2" t="str">
        <f>ONLINE!M169</f>
        <v/>
      </c>
      <c r="U576" s="34" t="str">
        <f>ONLINE!N169</f>
        <v/>
      </c>
      <c r="V576" s="34" t="str">
        <f>ONLINE!O169</f>
        <v/>
      </c>
      <c r="W576" s="2" t="str">
        <f>ONLINE!P169</f>
        <v/>
      </c>
      <c r="X576" s="34">
        <f>ONLINE!Q169</f>
        <v>0</v>
      </c>
      <c r="Y576" s="1"/>
      <c r="Z576" s="1"/>
      <c r="AA576" s="1"/>
    </row>
    <row r="577">
      <c r="A577" s="1"/>
      <c r="B577" s="14">
        <f t="shared" si="11"/>
        <v>166</v>
      </c>
      <c r="C577" s="15" t="str">
        <f t="shared" si="1"/>
        <v>diciembre</v>
      </c>
      <c r="D577" s="15">
        <f t="shared" si="2"/>
        <v>52</v>
      </c>
      <c r="E577" s="16" t="str">
        <f t="shared" si="3"/>
        <v>sábado</v>
      </c>
      <c r="F577" s="15">
        <f t="shared" si="4"/>
        <v>30</v>
      </c>
      <c r="G577" s="15" t="s">
        <v>24</v>
      </c>
      <c r="H577" s="3" t="str">
        <f>ONLINE!$G$3</f>
        <v>online</v>
      </c>
      <c r="I577" s="24" t="str">
        <f>ONLINE!B170</f>
        <v/>
      </c>
      <c r="J577" s="2" t="str">
        <f>ONLINE!C170</f>
        <v/>
      </c>
      <c r="K577" s="2" t="str">
        <f>ONLINE!D170</f>
        <v/>
      </c>
      <c r="L577" s="2" t="str">
        <f>ONLINE!E170</f>
        <v/>
      </c>
      <c r="M577" s="2" t="str">
        <f>ONLINE!F170</f>
        <v/>
      </c>
      <c r="N577" s="2" t="str">
        <f>ONLINE!G170</f>
        <v/>
      </c>
      <c r="O577" s="5" t="str">
        <f>ONLINE!H170</f>
        <v/>
      </c>
      <c r="P577" s="5" t="str">
        <f>ONLINE!I170</f>
        <v/>
      </c>
      <c r="Q577" s="5" t="str">
        <f>ONLINE!J170</f>
        <v/>
      </c>
      <c r="R577" s="2" t="str">
        <f>ONLINE!K170</f>
        <v/>
      </c>
      <c r="S577" s="2" t="str">
        <f>ONLINE!L170</f>
        <v/>
      </c>
      <c r="T577" s="2" t="str">
        <f>ONLINE!M170</f>
        <v/>
      </c>
      <c r="U577" s="34" t="str">
        <f>ONLINE!N170</f>
        <v/>
      </c>
      <c r="V577" s="34" t="str">
        <f>ONLINE!O170</f>
        <v/>
      </c>
      <c r="W577" s="2" t="str">
        <f>ONLINE!P170</f>
        <v/>
      </c>
      <c r="X577" s="34">
        <f>ONLINE!Q170</f>
        <v>0</v>
      </c>
      <c r="Y577" s="1"/>
      <c r="Z577" s="1"/>
      <c r="AA577" s="1"/>
    </row>
    <row r="578">
      <c r="A578" s="1"/>
      <c r="B578" s="14">
        <f t="shared" si="11"/>
        <v>167</v>
      </c>
      <c r="C578" s="15" t="str">
        <f t="shared" si="1"/>
        <v>diciembre</v>
      </c>
      <c r="D578" s="15">
        <f t="shared" si="2"/>
        <v>52</v>
      </c>
      <c r="E578" s="16" t="str">
        <f t="shared" si="3"/>
        <v>sábado</v>
      </c>
      <c r="F578" s="15">
        <f t="shared" si="4"/>
        <v>30</v>
      </c>
      <c r="G578" s="15" t="s">
        <v>24</v>
      </c>
      <c r="H578" s="3" t="str">
        <f>ONLINE!$G$3</f>
        <v>online</v>
      </c>
      <c r="I578" s="24" t="str">
        <f>ONLINE!B171</f>
        <v/>
      </c>
      <c r="J578" s="2" t="str">
        <f>ONLINE!C171</f>
        <v/>
      </c>
      <c r="K578" s="2" t="str">
        <f>ONLINE!D171</f>
        <v/>
      </c>
      <c r="L578" s="2" t="str">
        <f>ONLINE!E171</f>
        <v/>
      </c>
      <c r="M578" s="2" t="str">
        <f>ONLINE!F171</f>
        <v/>
      </c>
      <c r="N578" s="2" t="str">
        <f>ONLINE!G171</f>
        <v/>
      </c>
      <c r="O578" s="5" t="str">
        <f>ONLINE!H171</f>
        <v/>
      </c>
      <c r="P578" s="5" t="str">
        <f>ONLINE!I171</f>
        <v/>
      </c>
      <c r="Q578" s="5" t="str">
        <f>ONLINE!J171</f>
        <v/>
      </c>
      <c r="R578" s="2" t="str">
        <f>ONLINE!K171</f>
        <v/>
      </c>
      <c r="S578" s="2" t="str">
        <f>ONLINE!L171</f>
        <v/>
      </c>
      <c r="T578" s="2" t="str">
        <f>ONLINE!M171</f>
        <v/>
      </c>
      <c r="U578" s="34" t="str">
        <f>ONLINE!N171</f>
        <v/>
      </c>
      <c r="V578" s="34" t="str">
        <f>ONLINE!O171</f>
        <v/>
      </c>
      <c r="W578" s="2" t="str">
        <f>ONLINE!P171</f>
        <v/>
      </c>
      <c r="X578" s="34">
        <f>ONLINE!Q171</f>
        <v>0</v>
      </c>
      <c r="Y578" s="1"/>
      <c r="Z578" s="1"/>
      <c r="AA578" s="1"/>
    </row>
    <row r="579">
      <c r="A579" s="1"/>
      <c r="B579" s="14">
        <f t="shared" si="11"/>
        <v>168</v>
      </c>
      <c r="C579" s="15" t="str">
        <f t="shared" si="1"/>
        <v>diciembre</v>
      </c>
      <c r="D579" s="15">
        <f t="shared" si="2"/>
        <v>52</v>
      </c>
      <c r="E579" s="16" t="str">
        <f t="shared" si="3"/>
        <v>sábado</v>
      </c>
      <c r="F579" s="15">
        <f t="shared" si="4"/>
        <v>30</v>
      </c>
      <c r="G579" s="15" t="s">
        <v>24</v>
      </c>
      <c r="H579" s="3" t="str">
        <f>ONLINE!$G$3</f>
        <v>online</v>
      </c>
      <c r="I579" s="24" t="str">
        <f>ONLINE!B172</f>
        <v/>
      </c>
      <c r="J579" s="2" t="str">
        <f>ONLINE!C172</f>
        <v/>
      </c>
      <c r="K579" s="2" t="str">
        <f>ONLINE!D172</f>
        <v/>
      </c>
      <c r="L579" s="2" t="str">
        <f>ONLINE!E172</f>
        <v/>
      </c>
      <c r="M579" s="2" t="str">
        <f>ONLINE!F172</f>
        <v/>
      </c>
      <c r="N579" s="2" t="str">
        <f>ONLINE!G172</f>
        <v/>
      </c>
      <c r="O579" s="5" t="str">
        <f>ONLINE!H172</f>
        <v/>
      </c>
      <c r="P579" s="5" t="str">
        <f>ONLINE!I172</f>
        <v/>
      </c>
      <c r="Q579" s="5" t="str">
        <f>ONLINE!J172</f>
        <v/>
      </c>
      <c r="R579" s="2" t="str">
        <f>ONLINE!K172</f>
        <v/>
      </c>
      <c r="S579" s="2" t="str">
        <f>ONLINE!L172</f>
        <v/>
      </c>
      <c r="T579" s="2" t="str">
        <f>ONLINE!M172</f>
        <v/>
      </c>
      <c r="U579" s="34" t="str">
        <f>ONLINE!N172</f>
        <v/>
      </c>
      <c r="V579" s="34" t="str">
        <f>ONLINE!O172</f>
        <v/>
      </c>
      <c r="W579" s="2" t="str">
        <f>ONLINE!P172</f>
        <v/>
      </c>
      <c r="X579" s="34">
        <f>ONLINE!Q172</f>
        <v>0</v>
      </c>
      <c r="Y579" s="1"/>
      <c r="Z579" s="1"/>
      <c r="AA579" s="1"/>
    </row>
    <row r="580">
      <c r="A580" s="1"/>
      <c r="B580" s="14">
        <f t="shared" si="11"/>
        <v>169</v>
      </c>
      <c r="C580" s="15" t="str">
        <f t="shared" si="1"/>
        <v>diciembre</v>
      </c>
      <c r="D580" s="15">
        <f t="shared" si="2"/>
        <v>52</v>
      </c>
      <c r="E580" s="16" t="str">
        <f t="shared" si="3"/>
        <v>sábado</v>
      </c>
      <c r="F580" s="15">
        <f t="shared" si="4"/>
        <v>30</v>
      </c>
      <c r="G580" s="15" t="s">
        <v>24</v>
      </c>
      <c r="H580" s="3" t="str">
        <f>ONLINE!$G$3</f>
        <v>online</v>
      </c>
      <c r="I580" s="24" t="str">
        <f>ONLINE!B173</f>
        <v/>
      </c>
      <c r="J580" s="2" t="str">
        <f>ONLINE!C173</f>
        <v/>
      </c>
      <c r="K580" s="2" t="str">
        <f>ONLINE!D173</f>
        <v/>
      </c>
      <c r="L580" s="2" t="str">
        <f>ONLINE!E173</f>
        <v/>
      </c>
      <c r="M580" s="2" t="str">
        <f>ONLINE!F173</f>
        <v/>
      </c>
      <c r="N580" s="2" t="str">
        <f>ONLINE!G173</f>
        <v/>
      </c>
      <c r="O580" s="5" t="str">
        <f>ONLINE!H173</f>
        <v/>
      </c>
      <c r="P580" s="5" t="str">
        <f>ONLINE!I173</f>
        <v/>
      </c>
      <c r="Q580" s="5" t="str">
        <f>ONLINE!J173</f>
        <v/>
      </c>
      <c r="R580" s="2" t="str">
        <f>ONLINE!K173</f>
        <v/>
      </c>
      <c r="S580" s="2" t="str">
        <f>ONLINE!L173</f>
        <v/>
      </c>
      <c r="T580" s="2" t="str">
        <f>ONLINE!M173</f>
        <v/>
      </c>
      <c r="U580" s="34" t="str">
        <f>ONLINE!N173</f>
        <v/>
      </c>
      <c r="V580" s="34" t="str">
        <f>ONLINE!O173</f>
        <v/>
      </c>
      <c r="W580" s="2" t="str">
        <f>ONLINE!P173</f>
        <v/>
      </c>
      <c r="X580" s="34">
        <f>ONLINE!Q173</f>
        <v>0</v>
      </c>
      <c r="Y580" s="1"/>
      <c r="Z580" s="1"/>
      <c r="AA580" s="1"/>
    </row>
    <row r="581">
      <c r="A581" s="1"/>
      <c r="B581" s="14">
        <f t="shared" si="11"/>
        <v>170</v>
      </c>
      <c r="C581" s="15" t="str">
        <f t="shared" si="1"/>
        <v>diciembre</v>
      </c>
      <c r="D581" s="15">
        <f t="shared" si="2"/>
        <v>52</v>
      </c>
      <c r="E581" s="16" t="str">
        <f t="shared" si="3"/>
        <v>sábado</v>
      </c>
      <c r="F581" s="15">
        <f t="shared" si="4"/>
        <v>30</v>
      </c>
      <c r="G581" s="15" t="s">
        <v>24</v>
      </c>
      <c r="H581" s="3" t="str">
        <f>ONLINE!$G$3</f>
        <v>online</v>
      </c>
      <c r="I581" s="24" t="str">
        <f>ONLINE!B174</f>
        <v/>
      </c>
      <c r="J581" s="2" t="str">
        <f>ONLINE!C174</f>
        <v/>
      </c>
      <c r="K581" s="2" t="str">
        <f>ONLINE!D174</f>
        <v/>
      </c>
      <c r="L581" s="2" t="str">
        <f>ONLINE!E174</f>
        <v/>
      </c>
      <c r="M581" s="2" t="str">
        <f>ONLINE!F174</f>
        <v/>
      </c>
      <c r="N581" s="2" t="str">
        <f>ONLINE!G174</f>
        <v/>
      </c>
      <c r="O581" s="5" t="str">
        <f>ONLINE!H174</f>
        <v/>
      </c>
      <c r="P581" s="5" t="str">
        <f>ONLINE!I174</f>
        <v/>
      </c>
      <c r="Q581" s="5" t="str">
        <f>ONLINE!J174</f>
        <v/>
      </c>
      <c r="R581" s="2" t="str">
        <f>ONLINE!K174</f>
        <v/>
      </c>
      <c r="S581" s="2" t="str">
        <f>ONLINE!L174</f>
        <v/>
      </c>
      <c r="T581" s="2" t="str">
        <f>ONLINE!M174</f>
        <v/>
      </c>
      <c r="U581" s="34" t="str">
        <f>ONLINE!N174</f>
        <v/>
      </c>
      <c r="V581" s="34" t="str">
        <f>ONLINE!O174</f>
        <v/>
      </c>
      <c r="W581" s="2" t="str">
        <f>ONLINE!P174</f>
        <v/>
      </c>
      <c r="X581" s="34">
        <f>ONLINE!Q174</f>
        <v>0</v>
      </c>
      <c r="Y581" s="1"/>
      <c r="Z581" s="1"/>
      <c r="AA581" s="1"/>
    </row>
    <row r="582">
      <c r="A582" s="1"/>
      <c r="B582" s="14">
        <f t="shared" si="11"/>
        <v>171</v>
      </c>
      <c r="C582" s="15" t="str">
        <f t="shared" si="1"/>
        <v>diciembre</v>
      </c>
      <c r="D582" s="15">
        <f t="shared" si="2"/>
        <v>52</v>
      </c>
      <c r="E582" s="16" t="str">
        <f t="shared" si="3"/>
        <v>sábado</v>
      </c>
      <c r="F582" s="15">
        <f t="shared" si="4"/>
        <v>30</v>
      </c>
      <c r="G582" s="15" t="s">
        <v>24</v>
      </c>
      <c r="H582" s="3" t="str">
        <f>ONLINE!$G$3</f>
        <v>online</v>
      </c>
      <c r="I582" s="24" t="str">
        <f>ONLINE!B175</f>
        <v/>
      </c>
      <c r="J582" s="2" t="str">
        <f>ONLINE!C175</f>
        <v/>
      </c>
      <c r="K582" s="2" t="str">
        <f>ONLINE!D175</f>
        <v/>
      </c>
      <c r="L582" s="2" t="str">
        <f>ONLINE!E175</f>
        <v/>
      </c>
      <c r="M582" s="2" t="str">
        <f>ONLINE!F175</f>
        <v/>
      </c>
      <c r="N582" s="2" t="str">
        <f>ONLINE!G175</f>
        <v/>
      </c>
      <c r="O582" s="5" t="str">
        <f>ONLINE!H175</f>
        <v/>
      </c>
      <c r="P582" s="5" t="str">
        <f>ONLINE!I175</f>
        <v/>
      </c>
      <c r="Q582" s="5" t="str">
        <f>ONLINE!J175</f>
        <v/>
      </c>
      <c r="R582" s="2" t="str">
        <f>ONLINE!K175</f>
        <v/>
      </c>
      <c r="S582" s="2" t="str">
        <f>ONLINE!L175</f>
        <v/>
      </c>
      <c r="T582" s="2" t="str">
        <f>ONLINE!M175</f>
        <v/>
      </c>
      <c r="U582" s="34" t="str">
        <f>ONLINE!N175</f>
        <v/>
      </c>
      <c r="V582" s="34" t="str">
        <f>ONLINE!O175</f>
        <v/>
      </c>
      <c r="W582" s="2" t="str">
        <f>ONLINE!P175</f>
        <v/>
      </c>
      <c r="X582" s="34">
        <f>ONLINE!Q175</f>
        <v>0</v>
      </c>
      <c r="Y582" s="1"/>
      <c r="Z582" s="1"/>
      <c r="AA582" s="1"/>
    </row>
    <row r="583">
      <c r="A583" s="1"/>
      <c r="B583" s="14">
        <f t="shared" si="11"/>
        <v>172</v>
      </c>
      <c r="C583" s="15" t="str">
        <f t="shared" si="1"/>
        <v>diciembre</v>
      </c>
      <c r="D583" s="15">
        <f t="shared" si="2"/>
        <v>52</v>
      </c>
      <c r="E583" s="16" t="str">
        <f t="shared" si="3"/>
        <v>sábado</v>
      </c>
      <c r="F583" s="15">
        <f t="shared" si="4"/>
        <v>30</v>
      </c>
      <c r="G583" s="15" t="s">
        <v>24</v>
      </c>
      <c r="H583" s="3" t="str">
        <f>ONLINE!$G$3</f>
        <v>online</v>
      </c>
      <c r="I583" s="24" t="str">
        <f>ONLINE!B176</f>
        <v/>
      </c>
      <c r="J583" s="2" t="str">
        <f>ONLINE!C176</f>
        <v/>
      </c>
      <c r="K583" s="2" t="str">
        <f>ONLINE!D176</f>
        <v/>
      </c>
      <c r="L583" s="2" t="str">
        <f>ONLINE!E176</f>
        <v/>
      </c>
      <c r="M583" s="2" t="str">
        <f>ONLINE!F176</f>
        <v/>
      </c>
      <c r="N583" s="2" t="str">
        <f>ONLINE!G176</f>
        <v/>
      </c>
      <c r="O583" s="5" t="str">
        <f>ONLINE!H176</f>
        <v/>
      </c>
      <c r="P583" s="5" t="str">
        <f>ONLINE!I176</f>
        <v/>
      </c>
      <c r="Q583" s="5" t="str">
        <f>ONLINE!J176</f>
        <v/>
      </c>
      <c r="R583" s="2" t="str">
        <f>ONLINE!K176</f>
        <v/>
      </c>
      <c r="S583" s="2" t="str">
        <f>ONLINE!L176</f>
        <v/>
      </c>
      <c r="T583" s="2" t="str">
        <f>ONLINE!M176</f>
        <v/>
      </c>
      <c r="U583" s="34" t="str">
        <f>ONLINE!N176</f>
        <v/>
      </c>
      <c r="V583" s="34" t="str">
        <f>ONLINE!O176</f>
        <v/>
      </c>
      <c r="W583" s="2" t="str">
        <f>ONLINE!P176</f>
        <v/>
      </c>
      <c r="X583" s="34">
        <f>ONLINE!Q176</f>
        <v>0</v>
      </c>
      <c r="Y583" s="1"/>
      <c r="Z583" s="1"/>
      <c r="AA583" s="1"/>
    </row>
    <row r="584">
      <c r="A584" s="1"/>
      <c r="B584" s="14">
        <f t="shared" si="11"/>
        <v>173</v>
      </c>
      <c r="C584" s="15" t="str">
        <f t="shared" si="1"/>
        <v>diciembre</v>
      </c>
      <c r="D584" s="15">
        <f t="shared" si="2"/>
        <v>52</v>
      </c>
      <c r="E584" s="16" t="str">
        <f t="shared" si="3"/>
        <v>sábado</v>
      </c>
      <c r="F584" s="15">
        <f t="shared" si="4"/>
        <v>30</v>
      </c>
      <c r="G584" s="15" t="s">
        <v>24</v>
      </c>
      <c r="H584" s="3" t="str">
        <f>ONLINE!$G$3</f>
        <v>online</v>
      </c>
      <c r="I584" s="24" t="str">
        <f>ONLINE!B177</f>
        <v/>
      </c>
      <c r="J584" s="2" t="str">
        <f>ONLINE!C177</f>
        <v/>
      </c>
      <c r="K584" s="2" t="str">
        <f>ONLINE!D177</f>
        <v/>
      </c>
      <c r="L584" s="2" t="str">
        <f>ONLINE!E177</f>
        <v/>
      </c>
      <c r="M584" s="2" t="str">
        <f>ONLINE!F177</f>
        <v/>
      </c>
      <c r="N584" s="2" t="str">
        <f>ONLINE!G177</f>
        <v/>
      </c>
      <c r="O584" s="5" t="str">
        <f>ONLINE!H177</f>
        <v/>
      </c>
      <c r="P584" s="5" t="str">
        <f>ONLINE!I177</f>
        <v/>
      </c>
      <c r="Q584" s="5" t="str">
        <f>ONLINE!J177</f>
        <v/>
      </c>
      <c r="R584" s="2" t="str">
        <f>ONLINE!K177</f>
        <v/>
      </c>
      <c r="S584" s="2" t="str">
        <f>ONLINE!L177</f>
        <v/>
      </c>
      <c r="T584" s="2" t="str">
        <f>ONLINE!M177</f>
        <v/>
      </c>
      <c r="U584" s="34" t="str">
        <f>ONLINE!N177</f>
        <v/>
      </c>
      <c r="V584" s="34" t="str">
        <f>ONLINE!O177</f>
        <v/>
      </c>
      <c r="W584" s="2" t="str">
        <f>ONLINE!P177</f>
        <v/>
      </c>
      <c r="X584" s="34">
        <f>ONLINE!Q177</f>
        <v>0</v>
      </c>
      <c r="Y584" s="1"/>
      <c r="Z584" s="1"/>
      <c r="AA584" s="1"/>
    </row>
    <row r="585">
      <c r="A585" s="1"/>
      <c r="B585" s="14">
        <f t="shared" si="11"/>
        <v>174</v>
      </c>
      <c r="C585" s="15" t="str">
        <f t="shared" si="1"/>
        <v>diciembre</v>
      </c>
      <c r="D585" s="15">
        <f t="shared" si="2"/>
        <v>52</v>
      </c>
      <c r="E585" s="16" t="str">
        <f t="shared" si="3"/>
        <v>sábado</v>
      </c>
      <c r="F585" s="15">
        <f t="shared" si="4"/>
        <v>30</v>
      </c>
      <c r="G585" s="15" t="s">
        <v>24</v>
      </c>
      <c r="H585" s="3" t="str">
        <f>ONLINE!$G$3</f>
        <v>online</v>
      </c>
      <c r="I585" s="24" t="str">
        <f>ONLINE!B178</f>
        <v/>
      </c>
      <c r="J585" s="2" t="str">
        <f>ONLINE!C178</f>
        <v/>
      </c>
      <c r="K585" s="2" t="str">
        <f>ONLINE!D178</f>
        <v/>
      </c>
      <c r="L585" s="2" t="str">
        <f>ONLINE!E178</f>
        <v/>
      </c>
      <c r="M585" s="2" t="str">
        <f>ONLINE!F178</f>
        <v/>
      </c>
      <c r="N585" s="2" t="str">
        <f>ONLINE!G178</f>
        <v/>
      </c>
      <c r="O585" s="5" t="str">
        <f>ONLINE!H178</f>
        <v/>
      </c>
      <c r="P585" s="5" t="str">
        <f>ONLINE!I178</f>
        <v/>
      </c>
      <c r="Q585" s="5" t="str">
        <f>ONLINE!J178</f>
        <v/>
      </c>
      <c r="R585" s="2" t="str">
        <f>ONLINE!K178</f>
        <v/>
      </c>
      <c r="S585" s="2" t="str">
        <f>ONLINE!L178</f>
        <v/>
      </c>
      <c r="T585" s="2" t="str">
        <f>ONLINE!M178</f>
        <v/>
      </c>
      <c r="U585" s="34" t="str">
        <f>ONLINE!N178</f>
        <v/>
      </c>
      <c r="V585" s="34" t="str">
        <f>ONLINE!O178</f>
        <v/>
      </c>
      <c r="W585" s="2" t="str">
        <f>ONLINE!P178</f>
        <v/>
      </c>
      <c r="X585" s="34">
        <f>ONLINE!Q178</f>
        <v>0</v>
      </c>
      <c r="Y585" s="1"/>
      <c r="Z585" s="1"/>
      <c r="AA585" s="1"/>
    </row>
    <row r="586">
      <c r="A586" s="1"/>
      <c r="B586" s="14">
        <f t="shared" si="11"/>
        <v>175</v>
      </c>
      <c r="C586" s="15" t="str">
        <f t="shared" si="1"/>
        <v>diciembre</v>
      </c>
      <c r="D586" s="15">
        <f t="shared" si="2"/>
        <v>52</v>
      </c>
      <c r="E586" s="16" t="str">
        <f t="shared" si="3"/>
        <v>sábado</v>
      </c>
      <c r="F586" s="15">
        <f t="shared" si="4"/>
        <v>30</v>
      </c>
      <c r="G586" s="15" t="s">
        <v>24</v>
      </c>
      <c r="H586" s="3" t="str">
        <f>ONLINE!$G$3</f>
        <v>online</v>
      </c>
      <c r="I586" s="24" t="str">
        <f>ONLINE!B179</f>
        <v/>
      </c>
      <c r="J586" s="2" t="str">
        <f>ONLINE!C179</f>
        <v/>
      </c>
      <c r="K586" s="2" t="str">
        <f>ONLINE!D179</f>
        <v/>
      </c>
      <c r="L586" s="2" t="str">
        <f>ONLINE!E179</f>
        <v/>
      </c>
      <c r="M586" s="2" t="str">
        <f>ONLINE!F179</f>
        <v/>
      </c>
      <c r="N586" s="2" t="str">
        <f>ONLINE!G179</f>
        <v/>
      </c>
      <c r="O586" s="5" t="str">
        <f>ONLINE!H179</f>
        <v/>
      </c>
      <c r="P586" s="5" t="str">
        <f>ONLINE!I179</f>
        <v/>
      </c>
      <c r="Q586" s="5" t="str">
        <f>ONLINE!J179</f>
        <v/>
      </c>
      <c r="R586" s="2" t="str">
        <f>ONLINE!K179</f>
        <v/>
      </c>
      <c r="S586" s="2" t="str">
        <f>ONLINE!L179</f>
        <v/>
      </c>
      <c r="T586" s="2" t="str">
        <f>ONLINE!M179</f>
        <v/>
      </c>
      <c r="U586" s="34" t="str">
        <f>ONLINE!N179</f>
        <v/>
      </c>
      <c r="V586" s="34" t="str">
        <f>ONLINE!O179</f>
        <v/>
      </c>
      <c r="W586" s="2" t="str">
        <f>ONLINE!P179</f>
        <v/>
      </c>
      <c r="X586" s="34">
        <f>ONLINE!Q179</f>
        <v>0</v>
      </c>
      <c r="Y586" s="1"/>
      <c r="Z586" s="1"/>
      <c r="AA586" s="1"/>
    </row>
    <row r="587">
      <c r="A587" s="1"/>
      <c r="B587" s="14">
        <f t="shared" si="11"/>
        <v>176</v>
      </c>
      <c r="C587" s="15" t="str">
        <f t="shared" si="1"/>
        <v>diciembre</v>
      </c>
      <c r="D587" s="15">
        <f t="shared" si="2"/>
        <v>52</v>
      </c>
      <c r="E587" s="16" t="str">
        <f t="shared" si="3"/>
        <v>sábado</v>
      </c>
      <c r="F587" s="15">
        <f t="shared" si="4"/>
        <v>30</v>
      </c>
      <c r="G587" s="15" t="s">
        <v>24</v>
      </c>
      <c r="H587" s="3" t="str">
        <f>ONLINE!$G$3</f>
        <v>online</v>
      </c>
      <c r="I587" s="24" t="str">
        <f>ONLINE!B180</f>
        <v/>
      </c>
      <c r="J587" s="2" t="str">
        <f>ONLINE!C180</f>
        <v/>
      </c>
      <c r="K587" s="2" t="str">
        <f>ONLINE!D180</f>
        <v/>
      </c>
      <c r="L587" s="2" t="str">
        <f>ONLINE!E180</f>
        <v/>
      </c>
      <c r="M587" s="2" t="str">
        <f>ONLINE!F180</f>
        <v/>
      </c>
      <c r="N587" s="2" t="str">
        <f>ONLINE!G180</f>
        <v/>
      </c>
      <c r="O587" s="5" t="str">
        <f>ONLINE!H180</f>
        <v/>
      </c>
      <c r="P587" s="5" t="str">
        <f>ONLINE!I180</f>
        <v/>
      </c>
      <c r="Q587" s="5" t="str">
        <f>ONLINE!J180</f>
        <v/>
      </c>
      <c r="R587" s="2" t="str">
        <f>ONLINE!K180</f>
        <v/>
      </c>
      <c r="S587" s="2" t="str">
        <f>ONLINE!L180</f>
        <v/>
      </c>
      <c r="T587" s="2" t="str">
        <f>ONLINE!M180</f>
        <v/>
      </c>
      <c r="U587" s="34" t="str">
        <f>ONLINE!N180</f>
        <v/>
      </c>
      <c r="V587" s="34" t="str">
        <f>ONLINE!O180</f>
        <v/>
      </c>
      <c r="W587" s="2" t="str">
        <f>ONLINE!P180</f>
        <v/>
      </c>
      <c r="X587" s="34">
        <f>ONLINE!Q180</f>
        <v>0</v>
      </c>
      <c r="Y587" s="1"/>
      <c r="Z587" s="1"/>
      <c r="AA587" s="1"/>
    </row>
    <row r="588">
      <c r="A588" s="1"/>
      <c r="B588" s="14">
        <f t="shared" si="11"/>
        <v>177</v>
      </c>
      <c r="C588" s="15" t="str">
        <f t="shared" si="1"/>
        <v>diciembre</v>
      </c>
      <c r="D588" s="15">
        <f t="shared" si="2"/>
        <v>52</v>
      </c>
      <c r="E588" s="16" t="str">
        <f t="shared" si="3"/>
        <v>sábado</v>
      </c>
      <c r="F588" s="15">
        <f t="shared" si="4"/>
        <v>30</v>
      </c>
      <c r="G588" s="15" t="s">
        <v>24</v>
      </c>
      <c r="H588" s="3" t="str">
        <f>ONLINE!$G$3</f>
        <v>online</v>
      </c>
      <c r="I588" s="24" t="str">
        <f>ONLINE!B181</f>
        <v/>
      </c>
      <c r="J588" s="2" t="str">
        <f>ONLINE!C181</f>
        <v/>
      </c>
      <c r="K588" s="2" t="str">
        <f>ONLINE!D181</f>
        <v/>
      </c>
      <c r="L588" s="2" t="str">
        <f>ONLINE!E181</f>
        <v/>
      </c>
      <c r="M588" s="2" t="str">
        <f>ONLINE!F181</f>
        <v/>
      </c>
      <c r="N588" s="2" t="str">
        <f>ONLINE!G181</f>
        <v/>
      </c>
      <c r="O588" s="5" t="str">
        <f>ONLINE!H181</f>
        <v/>
      </c>
      <c r="P588" s="5" t="str">
        <f>ONLINE!I181</f>
        <v/>
      </c>
      <c r="Q588" s="5" t="str">
        <f>ONLINE!J181</f>
        <v/>
      </c>
      <c r="R588" s="2" t="str">
        <f>ONLINE!K181</f>
        <v/>
      </c>
      <c r="S588" s="2" t="str">
        <f>ONLINE!L181</f>
        <v/>
      </c>
      <c r="T588" s="2" t="str">
        <f>ONLINE!M181</f>
        <v/>
      </c>
      <c r="U588" s="34" t="str">
        <f>ONLINE!N181</f>
        <v/>
      </c>
      <c r="V588" s="34" t="str">
        <f>ONLINE!O181</f>
        <v/>
      </c>
      <c r="W588" s="2" t="str">
        <f>ONLINE!P181</f>
        <v/>
      </c>
      <c r="X588" s="34">
        <f>ONLINE!Q181</f>
        <v>0</v>
      </c>
      <c r="Y588" s="1"/>
      <c r="Z588" s="1"/>
      <c r="AA588" s="1"/>
    </row>
    <row r="589">
      <c r="A589" s="1"/>
      <c r="B589" s="14">
        <f t="shared" si="11"/>
        <v>178</v>
      </c>
      <c r="C589" s="15" t="str">
        <f t="shared" si="1"/>
        <v>diciembre</v>
      </c>
      <c r="D589" s="15">
        <f t="shared" si="2"/>
        <v>52</v>
      </c>
      <c r="E589" s="16" t="str">
        <f t="shared" si="3"/>
        <v>sábado</v>
      </c>
      <c r="F589" s="15">
        <f t="shared" si="4"/>
        <v>30</v>
      </c>
      <c r="G589" s="15" t="s">
        <v>24</v>
      </c>
      <c r="H589" s="3" t="str">
        <f>ONLINE!$G$3</f>
        <v>online</v>
      </c>
      <c r="I589" s="24" t="str">
        <f>ONLINE!B182</f>
        <v/>
      </c>
      <c r="J589" s="2" t="str">
        <f>ONLINE!C182</f>
        <v/>
      </c>
      <c r="K589" s="2" t="str">
        <f>ONLINE!D182</f>
        <v/>
      </c>
      <c r="L589" s="2" t="str">
        <f>ONLINE!E182</f>
        <v/>
      </c>
      <c r="M589" s="2" t="str">
        <f>ONLINE!F182</f>
        <v/>
      </c>
      <c r="N589" s="2" t="str">
        <f>ONLINE!G182</f>
        <v/>
      </c>
      <c r="O589" s="5" t="str">
        <f>ONLINE!H182</f>
        <v/>
      </c>
      <c r="P589" s="5" t="str">
        <f>ONLINE!I182</f>
        <v/>
      </c>
      <c r="Q589" s="5" t="str">
        <f>ONLINE!J182</f>
        <v/>
      </c>
      <c r="R589" s="2" t="str">
        <f>ONLINE!K182</f>
        <v/>
      </c>
      <c r="S589" s="2" t="str">
        <f>ONLINE!L182</f>
        <v/>
      </c>
      <c r="T589" s="2" t="str">
        <f>ONLINE!M182</f>
        <v/>
      </c>
      <c r="U589" s="34" t="str">
        <f>ONLINE!N182</f>
        <v/>
      </c>
      <c r="V589" s="34" t="str">
        <f>ONLINE!O182</f>
        <v/>
      </c>
      <c r="W589" s="2" t="str">
        <f>ONLINE!P182</f>
        <v/>
      </c>
      <c r="X589" s="34">
        <f>ONLINE!Q182</f>
        <v>0</v>
      </c>
      <c r="Y589" s="1"/>
      <c r="Z589" s="1"/>
      <c r="AA589" s="1"/>
    </row>
    <row r="590">
      <c r="A590" s="1"/>
      <c r="B590" s="14">
        <f t="shared" si="11"/>
        <v>179</v>
      </c>
      <c r="C590" s="15" t="str">
        <f t="shared" si="1"/>
        <v>diciembre</v>
      </c>
      <c r="D590" s="15">
        <f t="shared" si="2"/>
        <v>52</v>
      </c>
      <c r="E590" s="16" t="str">
        <f t="shared" si="3"/>
        <v>sábado</v>
      </c>
      <c r="F590" s="15">
        <f t="shared" si="4"/>
        <v>30</v>
      </c>
      <c r="G590" s="15" t="s">
        <v>24</v>
      </c>
      <c r="H590" s="3" t="str">
        <f>ONLINE!$G$3</f>
        <v>online</v>
      </c>
      <c r="I590" s="24" t="str">
        <f>ONLINE!B183</f>
        <v/>
      </c>
      <c r="J590" s="2" t="str">
        <f>ONLINE!C183</f>
        <v/>
      </c>
      <c r="K590" s="2" t="str">
        <f>ONLINE!D183</f>
        <v/>
      </c>
      <c r="L590" s="2" t="str">
        <f>ONLINE!E183</f>
        <v/>
      </c>
      <c r="M590" s="2" t="str">
        <f>ONLINE!F183</f>
        <v/>
      </c>
      <c r="N590" s="2" t="str">
        <f>ONLINE!G183</f>
        <v/>
      </c>
      <c r="O590" s="5" t="str">
        <f>ONLINE!H183</f>
        <v/>
      </c>
      <c r="P590" s="5" t="str">
        <f>ONLINE!I183</f>
        <v/>
      </c>
      <c r="Q590" s="5" t="str">
        <f>ONLINE!J183</f>
        <v/>
      </c>
      <c r="R590" s="2" t="str">
        <f>ONLINE!K183</f>
        <v/>
      </c>
      <c r="S590" s="2" t="str">
        <f>ONLINE!L183</f>
        <v/>
      </c>
      <c r="T590" s="2" t="str">
        <f>ONLINE!M183</f>
        <v/>
      </c>
      <c r="U590" s="34" t="str">
        <f>ONLINE!N183</f>
        <v/>
      </c>
      <c r="V590" s="34" t="str">
        <f>ONLINE!O183</f>
        <v/>
      </c>
      <c r="W590" s="2" t="str">
        <f>ONLINE!P183</f>
        <v/>
      </c>
      <c r="X590" s="34">
        <f>ONLINE!Q183</f>
        <v>0</v>
      </c>
      <c r="Y590" s="1"/>
      <c r="Z590" s="1"/>
      <c r="AA590" s="1"/>
    </row>
    <row r="591">
      <c r="A591" s="1"/>
      <c r="B591" s="14">
        <f t="shared" si="11"/>
        <v>180</v>
      </c>
      <c r="C591" s="15" t="str">
        <f t="shared" si="1"/>
        <v>diciembre</v>
      </c>
      <c r="D591" s="15">
        <f t="shared" si="2"/>
        <v>52</v>
      </c>
      <c r="E591" s="16" t="str">
        <f t="shared" si="3"/>
        <v>sábado</v>
      </c>
      <c r="F591" s="15">
        <f t="shared" si="4"/>
        <v>30</v>
      </c>
      <c r="G591" s="15" t="s">
        <v>24</v>
      </c>
      <c r="H591" s="3" t="str">
        <f>ONLINE!$G$3</f>
        <v>online</v>
      </c>
      <c r="I591" s="24" t="str">
        <f>ONLINE!B184</f>
        <v/>
      </c>
      <c r="J591" s="2" t="str">
        <f>ONLINE!C184</f>
        <v/>
      </c>
      <c r="K591" s="2" t="str">
        <f>ONLINE!D184</f>
        <v/>
      </c>
      <c r="L591" s="2" t="str">
        <f>ONLINE!E184</f>
        <v/>
      </c>
      <c r="M591" s="2" t="str">
        <f>ONLINE!F184</f>
        <v/>
      </c>
      <c r="N591" s="2" t="str">
        <f>ONLINE!G184</f>
        <v/>
      </c>
      <c r="O591" s="5" t="str">
        <f>ONLINE!H184</f>
        <v/>
      </c>
      <c r="P591" s="5" t="str">
        <f>ONLINE!I184</f>
        <v/>
      </c>
      <c r="Q591" s="5" t="str">
        <f>ONLINE!J184</f>
        <v/>
      </c>
      <c r="R591" s="2" t="str">
        <f>ONLINE!K184</f>
        <v/>
      </c>
      <c r="S591" s="2" t="str">
        <f>ONLINE!L184</f>
        <v/>
      </c>
      <c r="T591" s="2" t="str">
        <f>ONLINE!M184</f>
        <v/>
      </c>
      <c r="U591" s="34" t="str">
        <f>ONLINE!N184</f>
        <v/>
      </c>
      <c r="V591" s="34" t="str">
        <f>ONLINE!O184</f>
        <v/>
      </c>
      <c r="W591" s="2" t="str">
        <f>ONLINE!P184</f>
        <v/>
      </c>
      <c r="X591" s="34">
        <f>ONLINE!Q184</f>
        <v>0</v>
      </c>
      <c r="Y591" s="1"/>
      <c r="Z591" s="1"/>
      <c r="AA591" s="1"/>
    </row>
    <row r="592">
      <c r="A592" s="1"/>
      <c r="B592" s="14">
        <f t="shared" si="11"/>
        <v>181</v>
      </c>
      <c r="C592" s="15" t="str">
        <f t="shared" si="1"/>
        <v>diciembre</v>
      </c>
      <c r="D592" s="15">
        <f t="shared" si="2"/>
        <v>52</v>
      </c>
      <c r="E592" s="16" t="str">
        <f t="shared" si="3"/>
        <v>sábado</v>
      </c>
      <c r="F592" s="15">
        <f t="shared" si="4"/>
        <v>30</v>
      </c>
      <c r="G592" s="15" t="s">
        <v>24</v>
      </c>
      <c r="H592" s="3" t="str">
        <f>ONLINE!$G$3</f>
        <v>online</v>
      </c>
      <c r="I592" s="24" t="str">
        <f>ONLINE!B185</f>
        <v/>
      </c>
      <c r="J592" s="2" t="str">
        <f>ONLINE!C185</f>
        <v/>
      </c>
      <c r="K592" s="2" t="str">
        <f>ONLINE!D185</f>
        <v/>
      </c>
      <c r="L592" s="2" t="str">
        <f>ONLINE!E185</f>
        <v/>
      </c>
      <c r="M592" s="2" t="str">
        <f>ONLINE!F185</f>
        <v/>
      </c>
      <c r="N592" s="2" t="str">
        <f>ONLINE!G185</f>
        <v/>
      </c>
      <c r="O592" s="5" t="str">
        <f>ONLINE!H185</f>
        <v/>
      </c>
      <c r="P592" s="5" t="str">
        <f>ONLINE!I185</f>
        <v/>
      </c>
      <c r="Q592" s="5" t="str">
        <f>ONLINE!J185</f>
        <v/>
      </c>
      <c r="R592" s="2" t="str">
        <f>ONLINE!K185</f>
        <v/>
      </c>
      <c r="S592" s="2" t="str">
        <f>ONLINE!L185</f>
        <v/>
      </c>
      <c r="T592" s="2" t="str">
        <f>ONLINE!M185</f>
        <v/>
      </c>
      <c r="U592" s="34" t="str">
        <f>ONLINE!N185</f>
        <v/>
      </c>
      <c r="V592" s="34" t="str">
        <f>ONLINE!O185</f>
        <v/>
      </c>
      <c r="W592" s="2" t="str">
        <f>ONLINE!P185</f>
        <v/>
      </c>
      <c r="X592" s="34">
        <f>ONLINE!Q185</f>
        <v>0</v>
      </c>
      <c r="Y592" s="1"/>
      <c r="Z592" s="1"/>
      <c r="AA592" s="1"/>
    </row>
    <row r="593">
      <c r="A593" s="1"/>
      <c r="B593" s="14">
        <f t="shared" si="11"/>
        <v>182</v>
      </c>
      <c r="C593" s="15" t="str">
        <f t="shared" si="1"/>
        <v>diciembre</v>
      </c>
      <c r="D593" s="15">
        <f t="shared" si="2"/>
        <v>52</v>
      </c>
      <c r="E593" s="16" t="str">
        <f t="shared" si="3"/>
        <v>sábado</v>
      </c>
      <c r="F593" s="15">
        <f t="shared" si="4"/>
        <v>30</v>
      </c>
      <c r="G593" s="15" t="s">
        <v>24</v>
      </c>
      <c r="H593" s="3" t="str">
        <f>ONLINE!$G$3</f>
        <v>online</v>
      </c>
      <c r="I593" s="24" t="str">
        <f>ONLINE!B186</f>
        <v/>
      </c>
      <c r="J593" s="2" t="str">
        <f>ONLINE!C186</f>
        <v/>
      </c>
      <c r="K593" s="2" t="str">
        <f>ONLINE!D186</f>
        <v/>
      </c>
      <c r="L593" s="2" t="str">
        <f>ONLINE!E186</f>
        <v/>
      </c>
      <c r="M593" s="2" t="str">
        <f>ONLINE!F186</f>
        <v/>
      </c>
      <c r="N593" s="2" t="str">
        <f>ONLINE!G186</f>
        <v/>
      </c>
      <c r="O593" s="5" t="str">
        <f>ONLINE!H186</f>
        <v/>
      </c>
      <c r="P593" s="5" t="str">
        <f>ONLINE!I186</f>
        <v/>
      </c>
      <c r="Q593" s="5" t="str">
        <f>ONLINE!J186</f>
        <v/>
      </c>
      <c r="R593" s="2" t="str">
        <f>ONLINE!K186</f>
        <v/>
      </c>
      <c r="S593" s="2" t="str">
        <f>ONLINE!L186</f>
        <v/>
      </c>
      <c r="T593" s="2" t="str">
        <f>ONLINE!M186</f>
        <v/>
      </c>
      <c r="U593" s="34" t="str">
        <f>ONLINE!N186</f>
        <v/>
      </c>
      <c r="V593" s="34" t="str">
        <f>ONLINE!O186</f>
        <v/>
      </c>
      <c r="W593" s="2" t="str">
        <f>ONLINE!P186</f>
        <v/>
      </c>
      <c r="X593" s="34">
        <f>ONLINE!Q186</f>
        <v>0</v>
      </c>
      <c r="Y593" s="1"/>
      <c r="Z593" s="1"/>
      <c r="AA593" s="1"/>
    </row>
    <row r="594">
      <c r="A594" s="1"/>
      <c r="B594" s="14">
        <f t="shared" si="11"/>
        <v>183</v>
      </c>
      <c r="C594" s="15" t="str">
        <f t="shared" si="1"/>
        <v>diciembre</v>
      </c>
      <c r="D594" s="15">
        <f t="shared" si="2"/>
        <v>52</v>
      </c>
      <c r="E594" s="16" t="str">
        <f t="shared" si="3"/>
        <v>sábado</v>
      </c>
      <c r="F594" s="15">
        <f t="shared" si="4"/>
        <v>30</v>
      </c>
      <c r="G594" s="15" t="s">
        <v>24</v>
      </c>
      <c r="H594" s="3" t="str">
        <f>ONLINE!$G$3</f>
        <v>online</v>
      </c>
      <c r="I594" s="24" t="str">
        <f>ONLINE!B187</f>
        <v/>
      </c>
      <c r="J594" s="2" t="str">
        <f>ONLINE!C187</f>
        <v/>
      </c>
      <c r="K594" s="2" t="str">
        <f>ONLINE!D187</f>
        <v/>
      </c>
      <c r="L594" s="2" t="str">
        <f>ONLINE!E187</f>
        <v/>
      </c>
      <c r="M594" s="2" t="str">
        <f>ONLINE!F187</f>
        <v/>
      </c>
      <c r="N594" s="2" t="str">
        <f>ONLINE!G187</f>
        <v/>
      </c>
      <c r="O594" s="5" t="str">
        <f>ONLINE!H187</f>
        <v/>
      </c>
      <c r="P594" s="5" t="str">
        <f>ONLINE!I187</f>
        <v/>
      </c>
      <c r="Q594" s="5" t="str">
        <f>ONLINE!J187</f>
        <v/>
      </c>
      <c r="R594" s="2" t="str">
        <f>ONLINE!K187</f>
        <v/>
      </c>
      <c r="S594" s="2" t="str">
        <f>ONLINE!L187</f>
        <v/>
      </c>
      <c r="T594" s="2" t="str">
        <f>ONLINE!M187</f>
        <v/>
      </c>
      <c r="U594" s="34" t="str">
        <f>ONLINE!N187</f>
        <v/>
      </c>
      <c r="V594" s="34" t="str">
        <f>ONLINE!O187</f>
        <v/>
      </c>
      <c r="W594" s="2" t="str">
        <f>ONLINE!P187</f>
        <v/>
      </c>
      <c r="X594" s="34">
        <f>ONLINE!Q187</f>
        <v>0</v>
      </c>
      <c r="Y594" s="1"/>
      <c r="Z594" s="1"/>
      <c r="AA594" s="1"/>
    </row>
    <row r="595">
      <c r="A595" s="1"/>
      <c r="B595" s="14">
        <f t="shared" si="11"/>
        <v>184</v>
      </c>
      <c r="C595" s="15" t="str">
        <f t="shared" si="1"/>
        <v>diciembre</v>
      </c>
      <c r="D595" s="15">
        <f t="shared" si="2"/>
        <v>52</v>
      </c>
      <c r="E595" s="16" t="str">
        <f t="shared" si="3"/>
        <v>sábado</v>
      </c>
      <c r="F595" s="15">
        <f t="shared" si="4"/>
        <v>30</v>
      </c>
      <c r="G595" s="15" t="s">
        <v>24</v>
      </c>
      <c r="H595" s="3" t="str">
        <f>ONLINE!$G$3</f>
        <v>online</v>
      </c>
      <c r="I595" s="24" t="str">
        <f>ONLINE!B188</f>
        <v/>
      </c>
      <c r="J595" s="2" t="str">
        <f>ONLINE!C188</f>
        <v/>
      </c>
      <c r="K595" s="2" t="str">
        <f>ONLINE!D188</f>
        <v/>
      </c>
      <c r="L595" s="2" t="str">
        <f>ONLINE!E188</f>
        <v/>
      </c>
      <c r="M595" s="2" t="str">
        <f>ONLINE!F188</f>
        <v/>
      </c>
      <c r="N595" s="2" t="str">
        <f>ONLINE!G188</f>
        <v/>
      </c>
      <c r="O595" s="5" t="str">
        <f>ONLINE!H188</f>
        <v/>
      </c>
      <c r="P595" s="5" t="str">
        <f>ONLINE!I188</f>
        <v/>
      </c>
      <c r="Q595" s="5" t="str">
        <f>ONLINE!J188</f>
        <v/>
      </c>
      <c r="R595" s="2" t="str">
        <f>ONLINE!K188</f>
        <v/>
      </c>
      <c r="S595" s="2" t="str">
        <f>ONLINE!L188</f>
        <v/>
      </c>
      <c r="T595" s="2" t="str">
        <f>ONLINE!M188</f>
        <v/>
      </c>
      <c r="U595" s="34" t="str">
        <f>ONLINE!N188</f>
        <v/>
      </c>
      <c r="V595" s="34" t="str">
        <f>ONLINE!O188</f>
        <v/>
      </c>
      <c r="W595" s="2" t="str">
        <f>ONLINE!P188</f>
        <v/>
      </c>
      <c r="X595" s="34">
        <f>ONLINE!Q188</f>
        <v>0</v>
      </c>
      <c r="Y595" s="1"/>
      <c r="Z595" s="1"/>
      <c r="AA595" s="1"/>
    </row>
    <row r="596">
      <c r="A596" s="1"/>
      <c r="B596" s="14">
        <f t="shared" si="11"/>
        <v>185</v>
      </c>
      <c r="C596" s="15" t="str">
        <f t="shared" si="1"/>
        <v>diciembre</v>
      </c>
      <c r="D596" s="15">
        <f t="shared" si="2"/>
        <v>52</v>
      </c>
      <c r="E596" s="16" t="str">
        <f t="shared" si="3"/>
        <v>sábado</v>
      </c>
      <c r="F596" s="15">
        <f t="shared" si="4"/>
        <v>30</v>
      </c>
      <c r="G596" s="15" t="s">
        <v>24</v>
      </c>
      <c r="H596" s="3" t="str">
        <f>ONLINE!$G$3</f>
        <v>online</v>
      </c>
      <c r="I596" s="24" t="str">
        <f>ONLINE!B189</f>
        <v/>
      </c>
      <c r="J596" s="2" t="str">
        <f>ONLINE!C189</f>
        <v/>
      </c>
      <c r="K596" s="2" t="str">
        <f>ONLINE!D189</f>
        <v/>
      </c>
      <c r="L596" s="2" t="str">
        <f>ONLINE!E189</f>
        <v/>
      </c>
      <c r="M596" s="2" t="str">
        <f>ONLINE!F189</f>
        <v/>
      </c>
      <c r="N596" s="2" t="str">
        <f>ONLINE!G189</f>
        <v/>
      </c>
      <c r="O596" s="5" t="str">
        <f>ONLINE!H189</f>
        <v/>
      </c>
      <c r="P596" s="5" t="str">
        <f>ONLINE!I189</f>
        <v/>
      </c>
      <c r="Q596" s="5" t="str">
        <f>ONLINE!J189</f>
        <v/>
      </c>
      <c r="R596" s="2" t="str">
        <f>ONLINE!K189</f>
        <v/>
      </c>
      <c r="S596" s="2" t="str">
        <f>ONLINE!L189</f>
        <v/>
      </c>
      <c r="T596" s="2" t="str">
        <f>ONLINE!M189</f>
        <v/>
      </c>
      <c r="U596" s="34" t="str">
        <f>ONLINE!N189</f>
        <v/>
      </c>
      <c r="V596" s="34" t="str">
        <f>ONLINE!O189</f>
        <v/>
      </c>
      <c r="W596" s="2" t="str">
        <f>ONLINE!P189</f>
        <v/>
      </c>
      <c r="X596" s="34">
        <f>ONLINE!Q189</f>
        <v>0</v>
      </c>
      <c r="Y596" s="1"/>
      <c r="Z596" s="1"/>
      <c r="AA596" s="1"/>
    </row>
    <row r="597">
      <c r="A597" s="1"/>
      <c r="B597" s="14">
        <f t="shared" si="11"/>
        <v>186</v>
      </c>
      <c r="C597" s="15" t="str">
        <f t="shared" si="1"/>
        <v>diciembre</v>
      </c>
      <c r="D597" s="15">
        <f t="shared" si="2"/>
        <v>52</v>
      </c>
      <c r="E597" s="16" t="str">
        <f t="shared" si="3"/>
        <v>sábado</v>
      </c>
      <c r="F597" s="15">
        <f t="shared" si="4"/>
        <v>30</v>
      </c>
      <c r="G597" s="15" t="s">
        <v>24</v>
      </c>
      <c r="H597" s="3" t="str">
        <f>ONLINE!$G$3</f>
        <v>online</v>
      </c>
      <c r="I597" s="24" t="str">
        <f>ONLINE!B190</f>
        <v/>
      </c>
      <c r="J597" s="2" t="str">
        <f>ONLINE!C190</f>
        <v/>
      </c>
      <c r="K597" s="2" t="str">
        <f>ONLINE!D190</f>
        <v/>
      </c>
      <c r="L597" s="2" t="str">
        <f>ONLINE!E190</f>
        <v/>
      </c>
      <c r="M597" s="2" t="str">
        <f>ONLINE!F190</f>
        <v/>
      </c>
      <c r="N597" s="2" t="str">
        <f>ONLINE!G190</f>
        <v/>
      </c>
      <c r="O597" s="5" t="str">
        <f>ONLINE!H190</f>
        <v/>
      </c>
      <c r="P597" s="5" t="str">
        <f>ONLINE!I190</f>
        <v/>
      </c>
      <c r="Q597" s="5" t="str">
        <f>ONLINE!J190</f>
        <v/>
      </c>
      <c r="R597" s="2" t="str">
        <f>ONLINE!K190</f>
        <v/>
      </c>
      <c r="S597" s="2" t="str">
        <f>ONLINE!L190</f>
        <v/>
      </c>
      <c r="T597" s="2" t="str">
        <f>ONLINE!M190</f>
        <v/>
      </c>
      <c r="U597" s="34" t="str">
        <f>ONLINE!N190</f>
        <v/>
      </c>
      <c r="V597" s="34" t="str">
        <f>ONLINE!O190</f>
        <v/>
      </c>
      <c r="W597" s="2" t="str">
        <f>ONLINE!P190</f>
        <v/>
      </c>
      <c r="X597" s="34">
        <f>ONLINE!Q190</f>
        <v>0</v>
      </c>
      <c r="Y597" s="1"/>
      <c r="Z597" s="1"/>
      <c r="AA597" s="1"/>
    </row>
    <row r="598">
      <c r="A598" s="1"/>
      <c r="B598" s="14">
        <f t="shared" si="11"/>
        <v>187</v>
      </c>
      <c r="C598" s="15" t="str">
        <f t="shared" si="1"/>
        <v>diciembre</v>
      </c>
      <c r="D598" s="15">
        <f t="shared" si="2"/>
        <v>52</v>
      </c>
      <c r="E598" s="16" t="str">
        <f t="shared" si="3"/>
        <v>sábado</v>
      </c>
      <c r="F598" s="15">
        <f t="shared" si="4"/>
        <v>30</v>
      </c>
      <c r="G598" s="15" t="s">
        <v>24</v>
      </c>
      <c r="H598" s="3" t="str">
        <f>ONLINE!$G$3</f>
        <v>online</v>
      </c>
      <c r="I598" s="24" t="str">
        <f>ONLINE!B191</f>
        <v/>
      </c>
      <c r="J598" s="2" t="str">
        <f>ONLINE!C191</f>
        <v/>
      </c>
      <c r="K598" s="2" t="str">
        <f>ONLINE!D191</f>
        <v/>
      </c>
      <c r="L598" s="2" t="str">
        <f>ONLINE!E191</f>
        <v/>
      </c>
      <c r="M598" s="2" t="str">
        <f>ONLINE!F191</f>
        <v/>
      </c>
      <c r="N598" s="2" t="str">
        <f>ONLINE!G191</f>
        <v/>
      </c>
      <c r="O598" s="5" t="str">
        <f>ONLINE!H191</f>
        <v/>
      </c>
      <c r="P598" s="5" t="str">
        <f>ONLINE!I191</f>
        <v/>
      </c>
      <c r="Q598" s="5" t="str">
        <f>ONLINE!J191</f>
        <v/>
      </c>
      <c r="R598" s="2" t="str">
        <f>ONLINE!K191</f>
        <v/>
      </c>
      <c r="S598" s="2" t="str">
        <f>ONLINE!L191</f>
        <v/>
      </c>
      <c r="T598" s="2" t="str">
        <f>ONLINE!M191</f>
        <v/>
      </c>
      <c r="U598" s="34" t="str">
        <f>ONLINE!N191</f>
        <v/>
      </c>
      <c r="V598" s="34" t="str">
        <f>ONLINE!O191</f>
        <v/>
      </c>
      <c r="W598" s="2" t="str">
        <f>ONLINE!P191</f>
        <v/>
      </c>
      <c r="X598" s="34">
        <f>ONLINE!Q191</f>
        <v>0</v>
      </c>
      <c r="Y598" s="1"/>
      <c r="Z598" s="1"/>
      <c r="AA598" s="1"/>
    </row>
    <row r="599">
      <c r="A599" s="1"/>
      <c r="B599" s="14">
        <f t="shared" si="11"/>
        <v>188</v>
      </c>
      <c r="C599" s="15" t="str">
        <f t="shared" si="1"/>
        <v>diciembre</v>
      </c>
      <c r="D599" s="15">
        <f t="shared" si="2"/>
        <v>52</v>
      </c>
      <c r="E599" s="16" t="str">
        <f t="shared" si="3"/>
        <v>sábado</v>
      </c>
      <c r="F599" s="15">
        <f t="shared" si="4"/>
        <v>30</v>
      </c>
      <c r="G599" s="15" t="s">
        <v>24</v>
      </c>
      <c r="H599" s="3" t="str">
        <f>ONLINE!$G$3</f>
        <v>online</v>
      </c>
      <c r="I599" s="24" t="str">
        <f>ONLINE!B192</f>
        <v/>
      </c>
      <c r="J599" s="2" t="str">
        <f>ONLINE!C192</f>
        <v/>
      </c>
      <c r="K599" s="2" t="str">
        <f>ONLINE!D192</f>
        <v/>
      </c>
      <c r="L599" s="2" t="str">
        <f>ONLINE!E192</f>
        <v/>
      </c>
      <c r="M599" s="2" t="str">
        <f>ONLINE!F192</f>
        <v/>
      </c>
      <c r="N599" s="2" t="str">
        <f>ONLINE!G192</f>
        <v/>
      </c>
      <c r="O599" s="5" t="str">
        <f>ONLINE!H192</f>
        <v/>
      </c>
      <c r="P599" s="5" t="str">
        <f>ONLINE!I192</f>
        <v/>
      </c>
      <c r="Q599" s="5" t="str">
        <f>ONLINE!J192</f>
        <v/>
      </c>
      <c r="R599" s="2" t="str">
        <f>ONLINE!K192</f>
        <v/>
      </c>
      <c r="S599" s="2" t="str">
        <f>ONLINE!L192</f>
        <v/>
      </c>
      <c r="T599" s="2" t="str">
        <f>ONLINE!M192</f>
        <v/>
      </c>
      <c r="U599" s="34" t="str">
        <f>ONLINE!N192</f>
        <v/>
      </c>
      <c r="V599" s="34" t="str">
        <f>ONLINE!O192</f>
        <v/>
      </c>
      <c r="W599" s="2" t="str">
        <f>ONLINE!P192</f>
        <v/>
      </c>
      <c r="X599" s="34">
        <f>ONLINE!Q192</f>
        <v>0</v>
      </c>
      <c r="Y599" s="1"/>
      <c r="Z599" s="1"/>
      <c r="AA599" s="1"/>
    </row>
    <row r="600">
      <c r="A600" s="1"/>
      <c r="B600" s="14">
        <f t="shared" si="11"/>
        <v>189</v>
      </c>
      <c r="C600" s="15" t="str">
        <f t="shared" si="1"/>
        <v>diciembre</v>
      </c>
      <c r="D600" s="15">
        <f t="shared" si="2"/>
        <v>52</v>
      </c>
      <c r="E600" s="16" t="str">
        <f t="shared" si="3"/>
        <v>sábado</v>
      </c>
      <c r="F600" s="15">
        <f t="shared" si="4"/>
        <v>30</v>
      </c>
      <c r="G600" s="15" t="s">
        <v>24</v>
      </c>
      <c r="H600" s="3" t="str">
        <f>ONLINE!$G$3</f>
        <v>online</v>
      </c>
      <c r="I600" s="24" t="str">
        <f>ONLINE!B193</f>
        <v/>
      </c>
      <c r="J600" s="2" t="str">
        <f>ONLINE!C193</f>
        <v/>
      </c>
      <c r="K600" s="2" t="str">
        <f>ONLINE!D193</f>
        <v/>
      </c>
      <c r="L600" s="2" t="str">
        <f>ONLINE!E193</f>
        <v/>
      </c>
      <c r="M600" s="2" t="str">
        <f>ONLINE!F193</f>
        <v/>
      </c>
      <c r="N600" s="2" t="str">
        <f>ONLINE!G193</f>
        <v/>
      </c>
      <c r="O600" s="5" t="str">
        <f>ONLINE!H193</f>
        <v/>
      </c>
      <c r="P600" s="5" t="str">
        <f>ONLINE!I193</f>
        <v/>
      </c>
      <c r="Q600" s="5" t="str">
        <f>ONLINE!J193</f>
        <v/>
      </c>
      <c r="R600" s="2" t="str">
        <f>ONLINE!K193</f>
        <v/>
      </c>
      <c r="S600" s="2" t="str">
        <f>ONLINE!L193</f>
        <v/>
      </c>
      <c r="T600" s="2" t="str">
        <f>ONLINE!M193</f>
        <v/>
      </c>
      <c r="U600" s="34" t="str">
        <f>ONLINE!N193</f>
        <v/>
      </c>
      <c r="V600" s="34" t="str">
        <f>ONLINE!O193</f>
        <v/>
      </c>
      <c r="W600" s="2" t="str">
        <f>ONLINE!P193</f>
        <v/>
      </c>
      <c r="X600" s="34">
        <f>ONLINE!Q193</f>
        <v>0</v>
      </c>
      <c r="Y600" s="1"/>
      <c r="Z600" s="1"/>
      <c r="AA600" s="1"/>
    </row>
    <row r="601">
      <c r="A601" s="1"/>
      <c r="B601" s="14">
        <f t="shared" si="11"/>
        <v>190</v>
      </c>
      <c r="C601" s="15" t="str">
        <f t="shared" si="1"/>
        <v>diciembre</v>
      </c>
      <c r="D601" s="15">
        <f t="shared" si="2"/>
        <v>52</v>
      </c>
      <c r="E601" s="16" t="str">
        <f t="shared" si="3"/>
        <v>sábado</v>
      </c>
      <c r="F601" s="15">
        <f t="shared" si="4"/>
        <v>30</v>
      </c>
      <c r="G601" s="15" t="s">
        <v>24</v>
      </c>
      <c r="H601" s="3" t="str">
        <f>ONLINE!$G$3</f>
        <v>online</v>
      </c>
      <c r="I601" s="24" t="str">
        <f>ONLINE!B194</f>
        <v/>
      </c>
      <c r="J601" s="2" t="str">
        <f>ONLINE!C194</f>
        <v/>
      </c>
      <c r="K601" s="2" t="str">
        <f>ONLINE!D194</f>
        <v/>
      </c>
      <c r="L601" s="2" t="str">
        <f>ONLINE!E194</f>
        <v/>
      </c>
      <c r="M601" s="2" t="str">
        <f>ONLINE!F194</f>
        <v/>
      </c>
      <c r="N601" s="2" t="str">
        <f>ONLINE!G194</f>
        <v/>
      </c>
      <c r="O601" s="5" t="str">
        <f>ONLINE!H194</f>
        <v/>
      </c>
      <c r="P601" s="5" t="str">
        <f>ONLINE!I194</f>
        <v/>
      </c>
      <c r="Q601" s="5" t="str">
        <f>ONLINE!J194</f>
        <v/>
      </c>
      <c r="R601" s="2" t="str">
        <f>ONLINE!K194</f>
        <v/>
      </c>
      <c r="S601" s="2" t="str">
        <f>ONLINE!L194</f>
        <v/>
      </c>
      <c r="T601" s="2" t="str">
        <f>ONLINE!M194</f>
        <v/>
      </c>
      <c r="U601" s="34" t="str">
        <f>ONLINE!N194</f>
        <v/>
      </c>
      <c r="V601" s="34" t="str">
        <f>ONLINE!O194</f>
        <v/>
      </c>
      <c r="W601" s="2" t="str">
        <f>ONLINE!P194</f>
        <v/>
      </c>
      <c r="X601" s="34">
        <f>ONLINE!Q194</f>
        <v>0</v>
      </c>
      <c r="Y601" s="1"/>
      <c r="Z601" s="1"/>
      <c r="AA601" s="1"/>
    </row>
    <row r="602">
      <c r="A602" s="1"/>
      <c r="B602" s="14">
        <f t="shared" si="11"/>
        <v>191</v>
      </c>
      <c r="C602" s="15" t="str">
        <f t="shared" si="1"/>
        <v>diciembre</v>
      </c>
      <c r="D602" s="15">
        <f t="shared" si="2"/>
        <v>52</v>
      </c>
      <c r="E602" s="16" t="str">
        <f t="shared" si="3"/>
        <v>sábado</v>
      </c>
      <c r="F602" s="15">
        <f t="shared" si="4"/>
        <v>30</v>
      </c>
      <c r="G602" s="15" t="s">
        <v>24</v>
      </c>
      <c r="H602" s="3" t="str">
        <f>ONLINE!$G$3</f>
        <v>online</v>
      </c>
      <c r="I602" s="24" t="str">
        <f>ONLINE!B195</f>
        <v/>
      </c>
      <c r="J602" s="2" t="str">
        <f>ONLINE!C195</f>
        <v/>
      </c>
      <c r="K602" s="2" t="str">
        <f>ONLINE!D195</f>
        <v/>
      </c>
      <c r="L602" s="2" t="str">
        <f>ONLINE!E195</f>
        <v/>
      </c>
      <c r="M602" s="2" t="str">
        <f>ONLINE!F195</f>
        <v/>
      </c>
      <c r="N602" s="2" t="str">
        <f>ONLINE!G195</f>
        <v/>
      </c>
      <c r="O602" s="5" t="str">
        <f>ONLINE!H195</f>
        <v/>
      </c>
      <c r="P602" s="5" t="str">
        <f>ONLINE!I195</f>
        <v/>
      </c>
      <c r="Q602" s="5" t="str">
        <f>ONLINE!J195</f>
        <v/>
      </c>
      <c r="R602" s="2" t="str">
        <f>ONLINE!K195</f>
        <v/>
      </c>
      <c r="S602" s="2" t="str">
        <f>ONLINE!L195</f>
        <v/>
      </c>
      <c r="T602" s="2" t="str">
        <f>ONLINE!M195</f>
        <v/>
      </c>
      <c r="U602" s="34" t="str">
        <f>ONLINE!N195</f>
        <v/>
      </c>
      <c r="V602" s="34" t="str">
        <f>ONLINE!O195</f>
        <v/>
      </c>
      <c r="W602" s="2" t="str">
        <f>ONLINE!P195</f>
        <v/>
      </c>
      <c r="X602" s="34">
        <f>ONLINE!Q195</f>
        <v>0</v>
      </c>
      <c r="Y602" s="1"/>
      <c r="Z602" s="1"/>
      <c r="AA602" s="1"/>
    </row>
    <row r="603">
      <c r="A603" s="1"/>
      <c r="B603" s="14">
        <f t="shared" si="11"/>
        <v>192</v>
      </c>
      <c r="C603" s="15" t="str">
        <f t="shared" si="1"/>
        <v>diciembre</v>
      </c>
      <c r="D603" s="15">
        <f t="shared" si="2"/>
        <v>52</v>
      </c>
      <c r="E603" s="16" t="str">
        <f t="shared" si="3"/>
        <v>sábado</v>
      </c>
      <c r="F603" s="15">
        <f t="shared" si="4"/>
        <v>30</v>
      </c>
      <c r="G603" s="15" t="s">
        <v>24</v>
      </c>
      <c r="H603" s="3" t="str">
        <f>ONLINE!$G$3</f>
        <v>online</v>
      </c>
      <c r="I603" s="24" t="str">
        <f>ONLINE!B196</f>
        <v/>
      </c>
      <c r="J603" s="2" t="str">
        <f>ONLINE!C196</f>
        <v/>
      </c>
      <c r="K603" s="2" t="str">
        <f>ONLINE!D196</f>
        <v/>
      </c>
      <c r="L603" s="2" t="str">
        <f>ONLINE!E196</f>
        <v/>
      </c>
      <c r="M603" s="2" t="str">
        <f>ONLINE!F196</f>
        <v/>
      </c>
      <c r="N603" s="2" t="str">
        <f>ONLINE!G196</f>
        <v/>
      </c>
      <c r="O603" s="5" t="str">
        <f>ONLINE!H196</f>
        <v/>
      </c>
      <c r="P603" s="5" t="str">
        <f>ONLINE!I196</f>
        <v/>
      </c>
      <c r="Q603" s="5" t="str">
        <f>ONLINE!J196</f>
        <v/>
      </c>
      <c r="R603" s="2" t="str">
        <f>ONLINE!K196</f>
        <v/>
      </c>
      <c r="S603" s="2" t="str">
        <f>ONLINE!L196</f>
        <v/>
      </c>
      <c r="T603" s="2" t="str">
        <f>ONLINE!M196</f>
        <v/>
      </c>
      <c r="U603" s="34" t="str">
        <f>ONLINE!N196</f>
        <v/>
      </c>
      <c r="V603" s="34" t="str">
        <f>ONLINE!O196</f>
        <v/>
      </c>
      <c r="W603" s="2" t="str">
        <f>ONLINE!P196</f>
        <v/>
      </c>
      <c r="X603" s="34">
        <f>ONLINE!Q196</f>
        <v>0</v>
      </c>
      <c r="Y603" s="1"/>
      <c r="Z603" s="1"/>
      <c r="AA603" s="1"/>
    </row>
    <row r="604">
      <c r="A604" s="1"/>
      <c r="B604" s="14">
        <f t="shared" si="11"/>
        <v>193</v>
      </c>
      <c r="C604" s="15" t="str">
        <f t="shared" si="1"/>
        <v>diciembre</v>
      </c>
      <c r="D604" s="15">
        <f t="shared" si="2"/>
        <v>52</v>
      </c>
      <c r="E604" s="16" t="str">
        <f t="shared" si="3"/>
        <v>sábado</v>
      </c>
      <c r="F604" s="15">
        <f t="shared" si="4"/>
        <v>30</v>
      </c>
      <c r="G604" s="15" t="s">
        <v>24</v>
      </c>
      <c r="H604" s="3" t="str">
        <f>ONLINE!$G$3</f>
        <v>online</v>
      </c>
      <c r="I604" s="24" t="str">
        <f>ONLINE!B197</f>
        <v/>
      </c>
      <c r="J604" s="2" t="str">
        <f>ONLINE!C197</f>
        <v/>
      </c>
      <c r="K604" s="2" t="str">
        <f>ONLINE!D197</f>
        <v/>
      </c>
      <c r="L604" s="2" t="str">
        <f>ONLINE!E197</f>
        <v/>
      </c>
      <c r="M604" s="2" t="str">
        <f>ONLINE!F197</f>
        <v/>
      </c>
      <c r="N604" s="2" t="str">
        <f>ONLINE!G197</f>
        <v/>
      </c>
      <c r="O604" s="5" t="str">
        <f>ONLINE!H197</f>
        <v/>
      </c>
      <c r="P604" s="5" t="str">
        <f>ONLINE!I197</f>
        <v/>
      </c>
      <c r="Q604" s="5" t="str">
        <f>ONLINE!J197</f>
        <v/>
      </c>
      <c r="R604" s="2" t="str">
        <f>ONLINE!K197</f>
        <v/>
      </c>
      <c r="S604" s="2" t="str">
        <f>ONLINE!L197</f>
        <v/>
      </c>
      <c r="T604" s="2" t="str">
        <f>ONLINE!M197</f>
        <v/>
      </c>
      <c r="U604" s="34" t="str">
        <f>ONLINE!N197</f>
        <v/>
      </c>
      <c r="V604" s="34" t="str">
        <f>ONLINE!O197</f>
        <v/>
      </c>
      <c r="W604" s="2" t="str">
        <f>ONLINE!P197</f>
        <v/>
      </c>
      <c r="X604" s="34">
        <f>ONLINE!Q197</f>
        <v>0</v>
      </c>
      <c r="Y604" s="1"/>
      <c r="Z604" s="1"/>
      <c r="AA604" s="1"/>
    </row>
    <row r="605">
      <c r="A605" s="1"/>
      <c r="B605" s="14">
        <f t="shared" si="11"/>
        <v>194</v>
      </c>
      <c r="C605" s="15" t="str">
        <f t="shared" si="1"/>
        <v>diciembre</v>
      </c>
      <c r="D605" s="15">
        <f t="shared" si="2"/>
        <v>52</v>
      </c>
      <c r="E605" s="16" t="str">
        <f t="shared" si="3"/>
        <v>sábado</v>
      </c>
      <c r="F605" s="15">
        <f t="shared" si="4"/>
        <v>30</v>
      </c>
      <c r="G605" s="15" t="s">
        <v>24</v>
      </c>
      <c r="H605" s="3" t="str">
        <f>ONLINE!$G$3</f>
        <v>online</v>
      </c>
      <c r="I605" s="24" t="str">
        <f>ONLINE!B198</f>
        <v/>
      </c>
      <c r="J605" s="2" t="str">
        <f>ONLINE!C198</f>
        <v/>
      </c>
      <c r="K605" s="2" t="str">
        <f>ONLINE!D198</f>
        <v/>
      </c>
      <c r="L605" s="2" t="str">
        <f>ONLINE!E198</f>
        <v/>
      </c>
      <c r="M605" s="2" t="str">
        <f>ONLINE!F198</f>
        <v/>
      </c>
      <c r="N605" s="2" t="str">
        <f>ONLINE!G198</f>
        <v/>
      </c>
      <c r="O605" s="5" t="str">
        <f>ONLINE!H198</f>
        <v/>
      </c>
      <c r="P605" s="5" t="str">
        <f>ONLINE!I198</f>
        <v/>
      </c>
      <c r="Q605" s="5" t="str">
        <f>ONLINE!J198</f>
        <v/>
      </c>
      <c r="R605" s="2" t="str">
        <f>ONLINE!K198</f>
        <v/>
      </c>
      <c r="S605" s="2" t="str">
        <f>ONLINE!L198</f>
        <v/>
      </c>
      <c r="T605" s="2" t="str">
        <f>ONLINE!M198</f>
        <v/>
      </c>
      <c r="U605" s="34" t="str">
        <f>ONLINE!N198</f>
        <v/>
      </c>
      <c r="V605" s="34" t="str">
        <f>ONLINE!O198</f>
        <v/>
      </c>
      <c r="W605" s="2" t="str">
        <f>ONLINE!P198</f>
        <v/>
      </c>
      <c r="X605" s="34">
        <f>ONLINE!Q198</f>
        <v>0</v>
      </c>
      <c r="Y605" s="1"/>
      <c r="Z605" s="1"/>
      <c r="AA605" s="1"/>
    </row>
    <row r="606">
      <c r="A606" s="1"/>
      <c r="B606" s="14">
        <f t="shared" si="11"/>
        <v>195</v>
      </c>
      <c r="C606" s="15" t="str">
        <f t="shared" si="1"/>
        <v>diciembre</v>
      </c>
      <c r="D606" s="15">
        <f t="shared" si="2"/>
        <v>52</v>
      </c>
      <c r="E606" s="16" t="str">
        <f t="shared" si="3"/>
        <v>sábado</v>
      </c>
      <c r="F606" s="15">
        <f t="shared" si="4"/>
        <v>30</v>
      </c>
      <c r="G606" s="15" t="s">
        <v>24</v>
      </c>
      <c r="H606" s="3" t="str">
        <f>ONLINE!$G$3</f>
        <v>online</v>
      </c>
      <c r="I606" s="24" t="str">
        <f>ONLINE!B199</f>
        <v/>
      </c>
      <c r="J606" s="2" t="str">
        <f>ONLINE!C199</f>
        <v/>
      </c>
      <c r="K606" s="2" t="str">
        <f>ONLINE!D199</f>
        <v/>
      </c>
      <c r="L606" s="2" t="str">
        <f>ONLINE!E199</f>
        <v/>
      </c>
      <c r="M606" s="2" t="str">
        <f>ONLINE!F199</f>
        <v/>
      </c>
      <c r="N606" s="2" t="str">
        <f>ONLINE!G199</f>
        <v/>
      </c>
      <c r="O606" s="5" t="str">
        <f>ONLINE!H199</f>
        <v/>
      </c>
      <c r="P606" s="5" t="str">
        <f>ONLINE!I199</f>
        <v/>
      </c>
      <c r="Q606" s="5" t="str">
        <f>ONLINE!J199</f>
        <v/>
      </c>
      <c r="R606" s="2" t="str">
        <f>ONLINE!K199</f>
        <v/>
      </c>
      <c r="S606" s="2" t="str">
        <f>ONLINE!L199</f>
        <v/>
      </c>
      <c r="T606" s="2" t="str">
        <f>ONLINE!M199</f>
        <v/>
      </c>
      <c r="U606" s="34" t="str">
        <f>ONLINE!N199</f>
        <v/>
      </c>
      <c r="V606" s="34" t="str">
        <f>ONLINE!O199</f>
        <v/>
      </c>
      <c r="W606" s="2" t="str">
        <f>ONLINE!P199</f>
        <v/>
      </c>
      <c r="X606" s="34">
        <f>ONLINE!Q199</f>
        <v>0</v>
      </c>
      <c r="Y606" s="1"/>
      <c r="Z606" s="1"/>
      <c r="AA606" s="1"/>
    </row>
    <row r="607">
      <c r="A607" s="1"/>
      <c r="B607" s="14">
        <f t="shared" si="11"/>
        <v>196</v>
      </c>
      <c r="C607" s="15" t="str">
        <f t="shared" si="1"/>
        <v>diciembre</v>
      </c>
      <c r="D607" s="15">
        <f t="shared" si="2"/>
        <v>52</v>
      </c>
      <c r="E607" s="16" t="str">
        <f t="shared" si="3"/>
        <v>sábado</v>
      </c>
      <c r="F607" s="15">
        <f t="shared" si="4"/>
        <v>30</v>
      </c>
      <c r="G607" s="15" t="s">
        <v>24</v>
      </c>
      <c r="H607" s="3" t="str">
        <f>ONLINE!$G$3</f>
        <v>online</v>
      </c>
      <c r="I607" s="24" t="str">
        <f>ONLINE!B200</f>
        <v/>
      </c>
      <c r="J607" s="2" t="str">
        <f>ONLINE!C200</f>
        <v/>
      </c>
      <c r="K607" s="2" t="str">
        <f>ONLINE!D200</f>
        <v/>
      </c>
      <c r="L607" s="2" t="str">
        <f>ONLINE!E200</f>
        <v/>
      </c>
      <c r="M607" s="2" t="str">
        <f>ONLINE!F200</f>
        <v/>
      </c>
      <c r="N607" s="2" t="str">
        <f>ONLINE!G200</f>
        <v/>
      </c>
      <c r="O607" s="5" t="str">
        <f>ONLINE!H200</f>
        <v/>
      </c>
      <c r="P607" s="5" t="str">
        <f>ONLINE!I200</f>
        <v/>
      </c>
      <c r="Q607" s="5" t="str">
        <f>ONLINE!J200</f>
        <v/>
      </c>
      <c r="R607" s="2" t="str">
        <f>ONLINE!K200</f>
        <v/>
      </c>
      <c r="S607" s="2" t="str">
        <f>ONLINE!L200</f>
        <v/>
      </c>
      <c r="T607" s="2" t="str">
        <f>ONLINE!M200</f>
        <v/>
      </c>
      <c r="U607" s="34" t="str">
        <f>ONLINE!N200</f>
        <v/>
      </c>
      <c r="V607" s="34" t="str">
        <f>ONLINE!O200</f>
        <v/>
      </c>
      <c r="W607" s="2" t="str">
        <f>ONLINE!P200</f>
        <v/>
      </c>
      <c r="X607" s="34">
        <f>ONLINE!Q200</f>
        <v>0</v>
      </c>
      <c r="Y607" s="1"/>
      <c r="Z607" s="1"/>
      <c r="AA607" s="1"/>
    </row>
    <row r="608">
      <c r="A608" s="1"/>
      <c r="B608" s="14">
        <f t="shared" si="11"/>
        <v>197</v>
      </c>
      <c r="C608" s="15" t="str">
        <f t="shared" si="1"/>
        <v>diciembre</v>
      </c>
      <c r="D608" s="15">
        <f t="shared" si="2"/>
        <v>52</v>
      </c>
      <c r="E608" s="16" t="str">
        <f t="shared" si="3"/>
        <v>sábado</v>
      </c>
      <c r="F608" s="15">
        <f t="shared" si="4"/>
        <v>30</v>
      </c>
      <c r="G608" s="15" t="s">
        <v>24</v>
      </c>
      <c r="H608" s="3" t="str">
        <f>ONLINE!$G$3</f>
        <v>online</v>
      </c>
      <c r="I608" s="24" t="str">
        <f>ONLINE!B201</f>
        <v/>
      </c>
      <c r="J608" s="2" t="str">
        <f>ONLINE!C201</f>
        <v/>
      </c>
      <c r="K608" s="2" t="str">
        <f>ONLINE!D201</f>
        <v/>
      </c>
      <c r="L608" s="2" t="str">
        <f>ONLINE!E201</f>
        <v/>
      </c>
      <c r="M608" s="2" t="str">
        <f>ONLINE!F201</f>
        <v/>
      </c>
      <c r="N608" s="2" t="str">
        <f>ONLINE!G201</f>
        <v/>
      </c>
      <c r="O608" s="5" t="str">
        <f>ONLINE!H201</f>
        <v/>
      </c>
      <c r="P608" s="5" t="str">
        <f>ONLINE!I201</f>
        <v/>
      </c>
      <c r="Q608" s="5" t="str">
        <f>ONLINE!J201</f>
        <v/>
      </c>
      <c r="R608" s="2" t="str">
        <f>ONLINE!K201</f>
        <v/>
      </c>
      <c r="S608" s="2" t="str">
        <f>ONLINE!L201</f>
        <v/>
      </c>
      <c r="T608" s="2" t="str">
        <f>ONLINE!M201</f>
        <v/>
      </c>
      <c r="U608" s="34" t="str">
        <f>ONLINE!N201</f>
        <v/>
      </c>
      <c r="V608" s="34" t="str">
        <f>ONLINE!O201</f>
        <v/>
      </c>
      <c r="W608" s="2" t="str">
        <f>ONLINE!P201</f>
        <v/>
      </c>
      <c r="X608" s="34">
        <f>ONLINE!Q201</f>
        <v>0</v>
      </c>
      <c r="Y608" s="1"/>
      <c r="Z608" s="1"/>
      <c r="AA608" s="1"/>
    </row>
    <row r="609">
      <c r="A609" s="1"/>
      <c r="B609" s="14">
        <f t="shared" si="11"/>
        <v>198</v>
      </c>
      <c r="C609" s="15" t="str">
        <f t="shared" si="1"/>
        <v>diciembre</v>
      </c>
      <c r="D609" s="15">
        <f t="shared" si="2"/>
        <v>52</v>
      </c>
      <c r="E609" s="16" t="str">
        <f t="shared" si="3"/>
        <v>sábado</v>
      </c>
      <c r="F609" s="15">
        <f t="shared" si="4"/>
        <v>30</v>
      </c>
      <c r="G609" s="15" t="s">
        <v>24</v>
      </c>
      <c r="H609" s="3" t="str">
        <f>ONLINE!$G$3</f>
        <v>online</v>
      </c>
      <c r="I609" s="24" t="str">
        <f>ONLINE!B202</f>
        <v/>
      </c>
      <c r="J609" s="2" t="str">
        <f>ONLINE!C202</f>
        <v/>
      </c>
      <c r="K609" s="2" t="str">
        <f>ONLINE!D202</f>
        <v/>
      </c>
      <c r="L609" s="2" t="str">
        <f>ONLINE!E202</f>
        <v/>
      </c>
      <c r="M609" s="2" t="str">
        <f>ONLINE!F202</f>
        <v/>
      </c>
      <c r="N609" s="2" t="str">
        <f>ONLINE!G202</f>
        <v/>
      </c>
      <c r="O609" s="5" t="str">
        <f>ONLINE!H202</f>
        <v/>
      </c>
      <c r="P609" s="5" t="str">
        <f>ONLINE!I202</f>
        <v/>
      </c>
      <c r="Q609" s="5" t="str">
        <f>ONLINE!J202</f>
        <v/>
      </c>
      <c r="R609" s="2" t="str">
        <f>ONLINE!K202</f>
        <v/>
      </c>
      <c r="S609" s="2" t="str">
        <f>ONLINE!L202</f>
        <v/>
      </c>
      <c r="T609" s="2" t="str">
        <f>ONLINE!M202</f>
        <v/>
      </c>
      <c r="U609" s="34" t="str">
        <f>ONLINE!N202</f>
        <v/>
      </c>
      <c r="V609" s="34" t="str">
        <f>ONLINE!O202</f>
        <v/>
      </c>
      <c r="W609" s="2" t="str">
        <f>ONLINE!P202</f>
        <v/>
      </c>
      <c r="X609" s="34">
        <f>ONLINE!Q202</f>
        <v>0</v>
      </c>
      <c r="Y609" s="1"/>
      <c r="Z609" s="1"/>
      <c r="AA609" s="1"/>
    </row>
    <row r="610">
      <c r="A610" s="1"/>
      <c r="B610" s="14">
        <f t="shared" si="11"/>
        <v>199</v>
      </c>
      <c r="C610" s="15" t="str">
        <f t="shared" si="1"/>
        <v>diciembre</v>
      </c>
      <c r="D610" s="15">
        <f t="shared" si="2"/>
        <v>52</v>
      </c>
      <c r="E610" s="16" t="str">
        <f t="shared" si="3"/>
        <v>sábado</v>
      </c>
      <c r="F610" s="15">
        <f t="shared" si="4"/>
        <v>30</v>
      </c>
      <c r="G610" s="15" t="s">
        <v>24</v>
      </c>
      <c r="H610" s="3" t="str">
        <f>ONLINE!$G$3</f>
        <v>online</v>
      </c>
      <c r="I610" s="24" t="str">
        <f>ONLINE!B203</f>
        <v/>
      </c>
      <c r="J610" s="2" t="str">
        <f>ONLINE!C203</f>
        <v/>
      </c>
      <c r="K610" s="2" t="str">
        <f>ONLINE!D203</f>
        <v/>
      </c>
      <c r="L610" s="2" t="str">
        <f>ONLINE!E203</f>
        <v/>
      </c>
      <c r="M610" s="2" t="str">
        <f>ONLINE!F203</f>
        <v/>
      </c>
      <c r="N610" s="2" t="str">
        <f>ONLINE!G203</f>
        <v/>
      </c>
      <c r="O610" s="5" t="str">
        <f>ONLINE!H203</f>
        <v/>
      </c>
      <c r="P610" s="5" t="str">
        <f>ONLINE!I203</f>
        <v/>
      </c>
      <c r="Q610" s="5" t="str">
        <f>ONLINE!J203</f>
        <v/>
      </c>
      <c r="R610" s="2" t="str">
        <f>ONLINE!K203</f>
        <v/>
      </c>
      <c r="S610" s="2" t="str">
        <f>ONLINE!L203</f>
        <v/>
      </c>
      <c r="T610" s="2" t="str">
        <f>ONLINE!M203</f>
        <v/>
      </c>
      <c r="U610" s="34" t="str">
        <f>ONLINE!N203</f>
        <v/>
      </c>
      <c r="V610" s="34" t="str">
        <f>ONLINE!O203</f>
        <v/>
      </c>
      <c r="W610" s="2" t="str">
        <f>ONLINE!P203</f>
        <v/>
      </c>
      <c r="X610" s="34">
        <f>ONLINE!Q203</f>
        <v>0</v>
      </c>
      <c r="Y610" s="1"/>
      <c r="Z610" s="1"/>
      <c r="AA610" s="1"/>
    </row>
    <row r="611">
      <c r="A611" s="1"/>
      <c r="B611" s="14">
        <f t="shared" si="11"/>
        <v>200</v>
      </c>
      <c r="C611" s="15" t="str">
        <f t="shared" si="1"/>
        <v>diciembre</v>
      </c>
      <c r="D611" s="15">
        <f t="shared" si="2"/>
        <v>52</v>
      </c>
      <c r="E611" s="16" t="str">
        <f t="shared" si="3"/>
        <v>sábado</v>
      </c>
      <c r="F611" s="15">
        <f t="shared" si="4"/>
        <v>30</v>
      </c>
      <c r="G611" s="15" t="s">
        <v>24</v>
      </c>
      <c r="H611" s="3" t="str">
        <f>ONLINE!$G$3</f>
        <v>online</v>
      </c>
      <c r="I611" s="24" t="str">
        <f>ONLINE!B204</f>
        <v/>
      </c>
      <c r="J611" s="2" t="str">
        <f>ONLINE!C204</f>
        <v/>
      </c>
      <c r="K611" s="2" t="str">
        <f>ONLINE!D204</f>
        <v/>
      </c>
      <c r="L611" s="2" t="str">
        <f>ONLINE!E204</f>
        <v/>
      </c>
      <c r="M611" s="2" t="str">
        <f>ONLINE!F204</f>
        <v/>
      </c>
      <c r="N611" s="2" t="str">
        <f>ONLINE!G204</f>
        <v/>
      </c>
      <c r="O611" s="2" t="str">
        <f>ONLINE!H204</f>
        <v/>
      </c>
      <c r="P611" s="2" t="str">
        <f>ONLINE!I204</f>
        <v/>
      </c>
      <c r="Q611" s="2" t="str">
        <f>ONLINE!J204</f>
        <v/>
      </c>
      <c r="R611" s="2" t="str">
        <f>ONLINE!K204</f>
        <v/>
      </c>
      <c r="S611" s="2" t="str">
        <f>ONLINE!L204</f>
        <v/>
      </c>
      <c r="T611" s="2" t="str">
        <f>ONLINE!M204</f>
        <v/>
      </c>
      <c r="U611" s="2" t="str">
        <f>ONLINE!N204</f>
        <v/>
      </c>
      <c r="V611" s="2" t="str">
        <f>ONLINE!O204</f>
        <v/>
      </c>
      <c r="W611" s="2" t="str">
        <f>ONLINE!P204</f>
        <v/>
      </c>
      <c r="X611" s="34">
        <f>ONLINE!Q204</f>
        <v>0</v>
      </c>
      <c r="Y611" s="1"/>
      <c r="Z611" s="1"/>
      <c r="AA611" s="1"/>
    </row>
    <row r="612">
      <c r="A612" s="1"/>
      <c r="B612" s="14">
        <v>1.0</v>
      </c>
      <c r="C612" s="22" t="str">
        <f t="shared" si="1"/>
        <v>diciembre</v>
      </c>
      <c r="D612" s="22">
        <f t="shared" si="2"/>
        <v>52</v>
      </c>
      <c r="E612" s="23" t="str">
        <f t="shared" si="3"/>
        <v>lunes</v>
      </c>
      <c r="F612" s="22">
        <f t="shared" si="4"/>
        <v>22</v>
      </c>
      <c r="G612" s="22" t="s">
        <v>25</v>
      </c>
      <c r="H612" s="3" t="str">
        <f>'Burger-F7-F8'!$G$3</f>
        <v>                                       burger</v>
      </c>
      <c r="I612" s="35">
        <f>'Burger-F7-F8'!B5</f>
        <v>46013</v>
      </c>
      <c r="J612" s="35">
        <f>'Burger-F7-F8'!C5</f>
        <v>10619586</v>
      </c>
      <c r="K612" s="35" t="str">
        <f>'Burger-F7-F8'!D5</f>
        <v>Marleny Juipa Quiñónez </v>
      </c>
      <c r="L612" s="35" t="str">
        <f>'Burger-F7-F8'!E5</f>
        <v> ma46ju@gmail.com</v>
      </c>
      <c r="M612" s="35" t="str">
        <f>'Burger-F7-F8'!F5</f>
        <v>SMP</v>
      </c>
      <c r="N612" s="35" t="str">
        <f>'Burger-F7-F8'!G5</f>
        <v>922 835 447</v>
      </c>
      <c r="O612" s="35" t="str">
        <f>'Burger-F7-F8'!H5</f>
        <v>x</v>
      </c>
      <c r="P612" s="35" t="str">
        <f>'Burger-F7-F8'!I5</f>
        <v/>
      </c>
      <c r="Q612" s="35">
        <f>'Burger-F7-F8'!J5</f>
        <v>0</v>
      </c>
      <c r="R612" s="35">
        <f>'Burger-F7-F8'!K5</f>
        <v>75</v>
      </c>
      <c r="S612" s="35" t="str">
        <f>'Burger-F7-F8'!L5</f>
        <v>COBR</v>
      </c>
      <c r="T612" s="35" t="str">
        <f>'Burger-F7-F8'!M5</f>
        <v>YAPE JL</v>
      </c>
      <c r="U612" s="35">
        <f>'Burger-F7-F8'!N5</f>
        <v>0</v>
      </c>
      <c r="V612" s="35" t="str">
        <f>'Burger-F7-F8'!O5</f>
        <v/>
      </c>
      <c r="W612" s="35" t="str">
        <f>'Burger-F7-F8'!P5</f>
        <v>Yadhira</v>
      </c>
      <c r="X612" s="35">
        <f>'Burger-F7-F8'!Q5</f>
        <v>0</v>
      </c>
      <c r="Y612" s="1"/>
      <c r="Z612" s="1"/>
      <c r="AA612" s="1"/>
    </row>
    <row r="613">
      <c r="A613" s="1"/>
      <c r="B613" s="14">
        <f t="shared" ref="B613:B673" si="12">B612+1</f>
        <v>2</v>
      </c>
      <c r="C613" s="22" t="str">
        <f t="shared" si="1"/>
        <v>diciembre</v>
      </c>
      <c r="D613" s="22">
        <f t="shared" si="2"/>
        <v>52</v>
      </c>
      <c r="E613" s="23" t="str">
        <f t="shared" si="3"/>
        <v>miércoles</v>
      </c>
      <c r="F613" s="22">
        <f t="shared" si="4"/>
        <v>24</v>
      </c>
      <c r="G613" s="22" t="s">
        <v>25</v>
      </c>
      <c r="H613" s="3" t="str">
        <f>'Burger-F7-F8'!$G$3</f>
        <v>                                       burger</v>
      </c>
      <c r="I613" s="35">
        <f>'Burger-F7-F8'!B6</f>
        <v>46015</v>
      </c>
      <c r="J613" s="35" t="str">
        <f>'Burger-F7-F8'!C6</f>
        <v/>
      </c>
      <c r="K613" s="35" t="str">
        <f>'Burger-F7-F8'!D6</f>
        <v>Eddy Dumler Lazo</v>
      </c>
      <c r="L613" s="35" t="str">
        <f>'Burger-F7-F8'!E6</f>
        <v>renzo.dumler@gmail.com</v>
      </c>
      <c r="M613" s="35" t="str">
        <f>'Burger-F7-F8'!F6</f>
        <v/>
      </c>
      <c r="N613" s="35" t="str">
        <f>'Burger-F7-F8'!G6</f>
        <v/>
      </c>
      <c r="O613" s="35" t="str">
        <f>'Burger-F7-F8'!H6</f>
        <v>x</v>
      </c>
      <c r="P613" s="35" t="str">
        <f>'Burger-F7-F8'!I6</f>
        <v/>
      </c>
      <c r="Q613" s="35">
        <f>'Burger-F7-F8'!J6</f>
        <v>140</v>
      </c>
      <c r="R613" s="35" t="str">
        <f>'Burger-F7-F8'!K6</f>
        <v/>
      </c>
      <c r="S613" s="35" t="str">
        <f>'Burger-F7-F8'!L6</f>
        <v>PAGO</v>
      </c>
      <c r="T613" s="35" t="str">
        <f>'Burger-F7-F8'!M6</f>
        <v>YAPE JL</v>
      </c>
      <c r="U613" s="35">
        <f>'Burger-F7-F8'!N6</f>
        <v>140</v>
      </c>
      <c r="V613" s="35" t="str">
        <f>'Burger-F7-F8'!O6</f>
        <v/>
      </c>
      <c r="W613" s="35" t="str">
        <f>'Burger-F7-F8'!P6</f>
        <v>Katherine</v>
      </c>
      <c r="X613" s="35">
        <f>'Burger-F7-F8'!Q6</f>
        <v>140</v>
      </c>
      <c r="Y613" s="1"/>
      <c r="Z613" s="1"/>
      <c r="AA613" s="1"/>
    </row>
    <row r="614">
      <c r="A614" s="1"/>
      <c r="B614" s="14">
        <f t="shared" si="12"/>
        <v>3</v>
      </c>
      <c r="C614" s="22" t="str">
        <f t="shared" si="1"/>
        <v>diciembre</v>
      </c>
      <c r="D614" s="22">
        <f t="shared" si="2"/>
        <v>52</v>
      </c>
      <c r="E614" s="23" t="str">
        <f t="shared" si="3"/>
        <v>miércoles</v>
      </c>
      <c r="F614" s="22">
        <f t="shared" si="4"/>
        <v>24</v>
      </c>
      <c r="G614" s="22" t="s">
        <v>25</v>
      </c>
      <c r="H614" s="3" t="str">
        <f>'Burger-F7-F8'!$G$3</f>
        <v>                                       burger</v>
      </c>
      <c r="I614" s="35">
        <f>'Burger-F7-F8'!B7</f>
        <v>46015</v>
      </c>
      <c r="J614" s="35" t="str">
        <f>'Burger-F7-F8'!C7</f>
        <v/>
      </c>
      <c r="K614" s="35" t="str">
        <f>'Burger-F7-F8'!D7</f>
        <v>Antonio Javier García Marocho</v>
      </c>
      <c r="L614" s="35" t="str">
        <f>'Burger-F7-F8'!E7</f>
        <v>aj.garciamarocho@gmail.com</v>
      </c>
      <c r="M614" s="35" t="str">
        <f>'Burger-F7-F8'!F7</f>
        <v/>
      </c>
      <c r="N614" s="35" t="str">
        <f>'Burger-F7-F8'!G7</f>
        <v/>
      </c>
      <c r="O614" s="35" t="str">
        <f>'Burger-F7-F8'!H7</f>
        <v>x</v>
      </c>
      <c r="P614" s="35" t="str">
        <f>'Burger-F7-F8'!I7</f>
        <v/>
      </c>
      <c r="Q614" s="35">
        <f>'Burger-F7-F8'!J7</f>
        <v>140</v>
      </c>
      <c r="R614" s="35" t="str">
        <f>'Burger-F7-F8'!K7</f>
        <v/>
      </c>
      <c r="S614" s="35" t="str">
        <f>'Burger-F7-F8'!L7</f>
        <v>PAGO</v>
      </c>
      <c r="T614" s="35" t="str">
        <f>'Burger-F7-F8'!M7</f>
        <v>YAPE JL</v>
      </c>
      <c r="U614" s="35">
        <f>'Burger-F7-F8'!N7</f>
        <v>140</v>
      </c>
      <c r="V614" s="35" t="str">
        <f>'Burger-F7-F8'!O7</f>
        <v/>
      </c>
      <c r="W614" s="35" t="str">
        <f>'Burger-F7-F8'!P7</f>
        <v>Katherine</v>
      </c>
      <c r="X614" s="35">
        <f>'Burger-F7-F8'!Q7</f>
        <v>140</v>
      </c>
      <c r="Y614" s="1"/>
      <c r="Z614" s="1"/>
      <c r="AA614" s="1"/>
    </row>
    <row r="615">
      <c r="A615" s="1"/>
      <c r="B615" s="14">
        <f t="shared" si="12"/>
        <v>4</v>
      </c>
      <c r="C615" s="22" t="str">
        <f t="shared" si="1"/>
        <v>diciembre</v>
      </c>
      <c r="D615" s="22">
        <f t="shared" si="2"/>
        <v>52</v>
      </c>
      <c r="E615" s="23" t="str">
        <f t="shared" si="3"/>
        <v>miércoles</v>
      </c>
      <c r="F615" s="22">
        <f t="shared" si="4"/>
        <v>24</v>
      </c>
      <c r="G615" s="22" t="s">
        <v>25</v>
      </c>
      <c r="H615" s="3" t="str">
        <f>'Burger-F7-F8'!$G$3</f>
        <v>                                       burger</v>
      </c>
      <c r="I615" s="35">
        <f>'Burger-F7-F8'!B8</f>
        <v>46015</v>
      </c>
      <c r="J615" s="35">
        <f>'Burger-F7-F8'!C8</f>
        <v>76324543</v>
      </c>
      <c r="K615" s="35" t="str">
        <f>'Burger-F7-F8'!D8</f>
        <v>Maggio Fabricio Yañez Carrion</v>
      </c>
      <c r="L615" s="35" t="str">
        <f>'Burger-F7-F8'!E8</f>
        <v/>
      </c>
      <c r="M615" s="35" t="str">
        <f>'Burger-F7-F8'!F8</f>
        <v/>
      </c>
      <c r="N615" s="35" t="str">
        <f>'Burger-F7-F8'!G8</f>
        <v/>
      </c>
      <c r="O615" s="35" t="str">
        <f>'Burger-F7-F8'!H8</f>
        <v>x</v>
      </c>
      <c r="P615" s="35" t="str">
        <f>'Burger-F7-F8'!I8</f>
        <v/>
      </c>
      <c r="Q615" s="35">
        <f>'Burger-F7-F8'!J8</f>
        <v>150</v>
      </c>
      <c r="R615" s="35" t="str">
        <f>'Burger-F7-F8'!K8</f>
        <v/>
      </c>
      <c r="S615" s="35" t="str">
        <f>'Burger-F7-F8'!L8</f>
        <v>PAGO</v>
      </c>
      <c r="T615" s="35" t="str">
        <f>'Burger-F7-F8'!M8</f>
        <v>YAPE JL</v>
      </c>
      <c r="U615" s="35">
        <f>'Burger-F7-F8'!N8</f>
        <v>150</v>
      </c>
      <c r="V615" s="35" t="str">
        <f>'Burger-F7-F8'!O8</f>
        <v/>
      </c>
      <c r="W615" s="35" t="str">
        <f>'Burger-F7-F8'!P8</f>
        <v>Katherine</v>
      </c>
      <c r="X615" s="35">
        <f>'Burger-F7-F8'!Q8</f>
        <v>150</v>
      </c>
      <c r="Y615" s="1"/>
      <c r="Z615" s="1"/>
      <c r="AA615" s="1"/>
    </row>
    <row r="616">
      <c r="A616" s="1"/>
      <c r="B616" s="14">
        <f t="shared" si="12"/>
        <v>5</v>
      </c>
      <c r="C616" s="22" t="str">
        <f t="shared" si="1"/>
        <v>diciembre</v>
      </c>
      <c r="D616" s="22">
        <f t="shared" si="2"/>
        <v>53</v>
      </c>
      <c r="E616" s="23" t="str">
        <f t="shared" si="3"/>
        <v>martes</v>
      </c>
      <c r="F616" s="22">
        <f t="shared" si="4"/>
        <v>30</v>
      </c>
      <c r="G616" s="22" t="s">
        <v>25</v>
      </c>
      <c r="H616" s="3" t="str">
        <f>'Burger-F7-F8'!$G$3</f>
        <v>                                       burger</v>
      </c>
      <c r="I616" s="35">
        <f>'Burger-F7-F8'!B9</f>
        <v>46021</v>
      </c>
      <c r="J616" s="35" t="str">
        <f>'Burger-F7-F8'!C9</f>
        <v/>
      </c>
      <c r="K616" s="35" t="str">
        <f>'Burger-F7-F8'!D9</f>
        <v>Gonzalo Aponte</v>
      </c>
      <c r="L616" s="35" t="str">
        <f>'Burger-F7-F8'!E9</f>
        <v/>
      </c>
      <c r="M616" s="35" t="str">
        <f>'Burger-F7-F8'!F9</f>
        <v/>
      </c>
      <c r="N616" s="35" t="str">
        <f>'Burger-F7-F8'!G9</f>
        <v/>
      </c>
      <c r="O616" s="35" t="str">
        <f>'Burger-F7-F8'!H9</f>
        <v>x</v>
      </c>
      <c r="P616" s="35" t="str">
        <f>'Burger-F7-F8'!I9</f>
        <v/>
      </c>
      <c r="Q616" s="35">
        <f>'Burger-F7-F8'!J9</f>
        <v>150</v>
      </c>
      <c r="R616" s="35" t="str">
        <f>'Burger-F7-F8'!K9</f>
        <v/>
      </c>
      <c r="S616" s="35" t="str">
        <f>'Burger-F7-F8'!L9</f>
        <v>PAGO</v>
      </c>
      <c r="T616" s="35" t="str">
        <f>'Burger-F7-F8'!M9</f>
        <v>YAPE JL</v>
      </c>
      <c r="U616" s="35">
        <f>'Burger-F7-F8'!N9</f>
        <v>150</v>
      </c>
      <c r="V616" s="35" t="str">
        <f>'Burger-F7-F8'!O9</f>
        <v/>
      </c>
      <c r="W616" s="35" t="str">
        <f>'Burger-F7-F8'!P9</f>
        <v>Sofia</v>
      </c>
      <c r="X616" s="35">
        <f>'Burger-F7-F8'!Q9</f>
        <v>150</v>
      </c>
      <c r="Y616" s="1"/>
      <c r="Z616" s="1"/>
      <c r="AA616" s="1"/>
    </row>
    <row r="617">
      <c r="A617" s="1"/>
      <c r="B617" s="14">
        <f t="shared" si="12"/>
        <v>6</v>
      </c>
      <c r="C617" s="22" t="str">
        <f t="shared" si="1"/>
        <v>diciembre</v>
      </c>
      <c r="D617" s="22">
        <f t="shared" si="2"/>
        <v>53</v>
      </c>
      <c r="E617" s="23" t="str">
        <f t="shared" si="3"/>
        <v>martes</v>
      </c>
      <c r="F617" s="22">
        <f t="shared" si="4"/>
        <v>30</v>
      </c>
      <c r="G617" s="22" t="s">
        <v>25</v>
      </c>
      <c r="H617" s="3" t="str">
        <f>'Burger-F7-F8'!$G$3</f>
        <v>                                       burger</v>
      </c>
      <c r="I617" s="35">
        <f>'Burger-F7-F8'!B10</f>
        <v>46021</v>
      </c>
      <c r="J617" s="35">
        <f>'Burger-F7-F8'!C10</f>
        <v>47618556</v>
      </c>
      <c r="K617" s="35" t="str">
        <f>'Burger-F7-F8'!D10</f>
        <v>Jeanfranco Ruiz Suarez</v>
      </c>
      <c r="L617" s="35" t="str">
        <f>'Burger-F7-F8'!E10</f>
        <v>Jeanfranco.Suarez507@gmail.com</v>
      </c>
      <c r="M617" s="35" t="str">
        <f>'Burger-F7-F8'!F10</f>
        <v>SMP</v>
      </c>
      <c r="N617" s="35">
        <f>'Burger-F7-F8'!G10</f>
        <v>962956122</v>
      </c>
      <c r="O617" s="35" t="str">
        <f>'Burger-F7-F8'!H10</f>
        <v>x</v>
      </c>
      <c r="P617" s="35" t="str">
        <f>'Burger-F7-F8'!I10</f>
        <v/>
      </c>
      <c r="Q617" s="35">
        <f>'Burger-F7-F8'!J10</f>
        <v>150</v>
      </c>
      <c r="R617" s="35" t="str">
        <f>'Burger-F7-F8'!K10</f>
        <v/>
      </c>
      <c r="S617" s="35" t="str">
        <f>'Burger-F7-F8'!L10</f>
        <v>PAGO</v>
      </c>
      <c r="T617" s="35" t="str">
        <f>'Burger-F7-F8'!M10</f>
        <v>MERC-PAG</v>
      </c>
      <c r="U617" s="35">
        <f>'Burger-F7-F8'!N10</f>
        <v>142.64</v>
      </c>
      <c r="V617" s="35" t="str">
        <f>'Burger-F7-F8'!O10</f>
        <v/>
      </c>
      <c r="W617" s="35" t="str">
        <f>'Burger-F7-F8'!P10</f>
        <v>Greici</v>
      </c>
      <c r="X617" s="35">
        <f>'Burger-F7-F8'!Q10</f>
        <v>142.64</v>
      </c>
      <c r="Y617" s="1"/>
      <c r="Z617" s="1"/>
      <c r="AA617" s="1"/>
    </row>
    <row r="618">
      <c r="A618" s="1"/>
      <c r="B618" s="14">
        <f t="shared" si="12"/>
        <v>7</v>
      </c>
      <c r="C618" s="22" t="str">
        <f t="shared" si="1"/>
        <v>enero</v>
      </c>
      <c r="D618" s="22">
        <f t="shared" si="2"/>
        <v>2</v>
      </c>
      <c r="E618" s="23" t="str">
        <f t="shared" si="3"/>
        <v>lunes</v>
      </c>
      <c r="F618" s="22">
        <f t="shared" si="4"/>
        <v>5</v>
      </c>
      <c r="G618" s="22" t="s">
        <v>25</v>
      </c>
      <c r="H618" s="3" t="str">
        <f>'Burger-F7-F8'!$G$3</f>
        <v>                                       burger</v>
      </c>
      <c r="I618" s="35">
        <f>'Burger-F7-F8'!B11</f>
        <v>46027</v>
      </c>
      <c r="J618" s="35">
        <f>'Burger-F7-F8'!C11</f>
        <v>41925594</v>
      </c>
      <c r="K618" s="35" t="str">
        <f>'Burger-F7-F8'!D11</f>
        <v>Piero Velarde</v>
      </c>
      <c r="L618" s="35" t="str">
        <f>'Burger-F7-F8'!E11</f>
        <v/>
      </c>
      <c r="M618" s="35" t="str">
        <f>'Burger-F7-F8'!F11</f>
        <v/>
      </c>
      <c r="N618" s="35" t="str">
        <f>'Burger-F7-F8'!G11</f>
        <v/>
      </c>
      <c r="O618" s="35" t="str">
        <f>'Burger-F7-F8'!H11</f>
        <v>x</v>
      </c>
      <c r="P618" s="35" t="str">
        <f>'Burger-F7-F8'!I11</f>
        <v/>
      </c>
      <c r="Q618" s="35">
        <f>'Burger-F7-F8'!J11</f>
        <v>150</v>
      </c>
      <c r="R618" s="35" t="str">
        <f>'Burger-F7-F8'!K11</f>
        <v/>
      </c>
      <c r="S618" s="35" t="str">
        <f>'Burger-F7-F8'!L11</f>
        <v>PAGO</v>
      </c>
      <c r="T618" s="35" t="str">
        <f>'Burger-F7-F8'!M11</f>
        <v>BCP JL</v>
      </c>
      <c r="U618" s="35">
        <f>'Burger-F7-F8'!N11</f>
        <v>150</v>
      </c>
      <c r="V618" s="35" t="str">
        <f>'Burger-F7-F8'!O11</f>
        <v/>
      </c>
      <c r="W618" s="35" t="str">
        <f>'Burger-F7-F8'!P11</f>
        <v>Katherine</v>
      </c>
      <c r="X618" s="35">
        <f>'Burger-F7-F8'!Q11</f>
        <v>150</v>
      </c>
      <c r="Y618" s="1"/>
      <c r="Z618" s="1"/>
      <c r="AA618" s="1"/>
    </row>
    <row r="619">
      <c r="A619" s="1"/>
      <c r="B619" s="14">
        <f t="shared" si="12"/>
        <v>8</v>
      </c>
      <c r="C619" s="22" t="str">
        <f t="shared" si="1"/>
        <v>enero</v>
      </c>
      <c r="D619" s="22">
        <f t="shared" si="2"/>
        <v>2</v>
      </c>
      <c r="E619" s="23" t="str">
        <f t="shared" si="3"/>
        <v>martes</v>
      </c>
      <c r="F619" s="22">
        <f t="shared" si="4"/>
        <v>6</v>
      </c>
      <c r="G619" s="22" t="s">
        <v>25</v>
      </c>
      <c r="H619" s="3" t="str">
        <f>'Burger-F7-F8'!$G$3</f>
        <v>                                       burger</v>
      </c>
      <c r="I619" s="35">
        <f>'Burger-F7-F8'!B12</f>
        <v>46028</v>
      </c>
      <c r="J619" s="35" t="str">
        <f>'Burger-F7-F8'!C12</f>
        <v/>
      </c>
      <c r="K619" s="35" t="str">
        <f>'Burger-F7-F8'!D12</f>
        <v>Jessy Barrenachea</v>
      </c>
      <c r="L619" s="35" t="str">
        <f>'Burger-F7-F8'!E12</f>
        <v/>
      </c>
      <c r="M619" s="35" t="str">
        <f>'Burger-F7-F8'!F12</f>
        <v/>
      </c>
      <c r="N619" s="35" t="str">
        <f>'Burger-F7-F8'!G12</f>
        <v/>
      </c>
      <c r="O619" s="35" t="str">
        <f>'Burger-F7-F8'!H12</f>
        <v>x</v>
      </c>
      <c r="P619" s="35" t="str">
        <f>'Burger-F7-F8'!I12</f>
        <v/>
      </c>
      <c r="Q619" s="35">
        <f>'Burger-F7-F8'!J12</f>
        <v>125</v>
      </c>
      <c r="R619" s="35" t="str">
        <f>'Burger-F7-F8'!K12</f>
        <v/>
      </c>
      <c r="S619" s="35" t="str">
        <f>'Burger-F7-F8'!L12</f>
        <v>PAGO</v>
      </c>
      <c r="T619" s="35" t="str">
        <f>'Burger-F7-F8'!M12</f>
        <v>BCP JL</v>
      </c>
      <c r="U619" s="35">
        <f>'Burger-F7-F8'!N12</f>
        <v>125</v>
      </c>
      <c r="V619" s="35" t="str">
        <f>'Burger-F7-F8'!O12</f>
        <v/>
      </c>
      <c r="W619" s="35" t="str">
        <f>'Burger-F7-F8'!P12</f>
        <v>Katherine</v>
      </c>
      <c r="X619" s="35">
        <f>'Burger-F7-F8'!Q12</f>
        <v>125</v>
      </c>
      <c r="Y619" s="1"/>
      <c r="Z619" s="1"/>
      <c r="AA619" s="1"/>
    </row>
    <row r="620">
      <c r="A620" s="1"/>
      <c r="B620" s="14">
        <f t="shared" si="12"/>
        <v>9</v>
      </c>
      <c r="C620" s="22" t="str">
        <f t="shared" si="1"/>
        <v>enero</v>
      </c>
      <c r="D620" s="22">
        <f t="shared" si="2"/>
        <v>2</v>
      </c>
      <c r="E620" s="23" t="str">
        <f t="shared" si="3"/>
        <v>martes</v>
      </c>
      <c r="F620" s="22">
        <f t="shared" si="4"/>
        <v>6</v>
      </c>
      <c r="G620" s="22" t="s">
        <v>25</v>
      </c>
      <c r="H620" s="3" t="str">
        <f>'Burger-F7-F8'!$G$3</f>
        <v>                                       burger</v>
      </c>
      <c r="I620" s="35">
        <f>'Burger-F7-F8'!B13</f>
        <v>46028</v>
      </c>
      <c r="J620" s="35" t="str">
        <f>'Burger-F7-F8'!C13</f>
        <v/>
      </c>
      <c r="K620" s="35" t="str">
        <f>'Burger-F7-F8'!D13</f>
        <v>Elizabeth Álvarez</v>
      </c>
      <c r="L620" s="35" t="str">
        <f>'Burger-F7-F8'!E13</f>
        <v/>
      </c>
      <c r="M620" s="35" t="str">
        <f>'Burger-F7-F8'!F13</f>
        <v/>
      </c>
      <c r="N620" s="35" t="str">
        <f>'Burger-F7-F8'!G13</f>
        <v/>
      </c>
      <c r="O620" s="35" t="str">
        <f>'Burger-F7-F8'!H13</f>
        <v>x</v>
      </c>
      <c r="P620" s="35" t="str">
        <f>'Burger-F7-F8'!I13</f>
        <v/>
      </c>
      <c r="Q620" s="35">
        <f>'Burger-F7-F8'!J13</f>
        <v>125</v>
      </c>
      <c r="R620" s="35" t="str">
        <f>'Burger-F7-F8'!K13</f>
        <v/>
      </c>
      <c r="S620" s="35" t="str">
        <f>'Burger-F7-F8'!L13</f>
        <v>PAGO</v>
      </c>
      <c r="T620" s="35" t="str">
        <f>'Burger-F7-F8'!M13</f>
        <v>BCP JL</v>
      </c>
      <c r="U620" s="35">
        <f>'Burger-F7-F8'!N13</f>
        <v>125</v>
      </c>
      <c r="V620" s="35" t="str">
        <f>'Burger-F7-F8'!O13</f>
        <v/>
      </c>
      <c r="W620" s="35" t="str">
        <f>'Burger-F7-F8'!P13</f>
        <v>Katherine</v>
      </c>
      <c r="X620" s="35">
        <f>'Burger-F7-F8'!Q13</f>
        <v>125</v>
      </c>
      <c r="Y620" s="1"/>
      <c r="Z620" s="1"/>
      <c r="AA620" s="1"/>
    </row>
    <row r="621">
      <c r="A621" s="1"/>
      <c r="B621" s="14">
        <f t="shared" si="12"/>
        <v>10</v>
      </c>
      <c r="C621" s="22" t="str">
        <f t="shared" si="1"/>
        <v>enero</v>
      </c>
      <c r="D621" s="22" t="str">
        <f t="shared" si="2"/>
        <v>#NUM!</v>
      </c>
      <c r="E621" s="23" t="str">
        <f t="shared" si="3"/>
        <v>martes</v>
      </c>
      <c r="F621" s="22">
        <f t="shared" si="4"/>
        <v>7</v>
      </c>
      <c r="G621" s="22" t="s">
        <v>25</v>
      </c>
      <c r="H621" s="3" t="str">
        <f>'Burger-F7-F8'!$G$3</f>
        <v>                                       burger</v>
      </c>
      <c r="I621" s="35">
        <f>'Burger-F7-F8'!B14</f>
        <v>6686137</v>
      </c>
      <c r="J621" s="35">
        <f>'Burger-F7-F8'!C14</f>
        <v>42492557</v>
      </c>
      <c r="K621" s="35" t="str">
        <f>'Burger-F7-F8'!D14</f>
        <v>Carlos Adolfo Cano Aquino</v>
      </c>
      <c r="L621" s="35" t="str">
        <f>'Burger-F7-F8'!E14</f>
        <v>Nijachi28681@gmail.com</v>
      </c>
      <c r="M621" s="35" t="str">
        <f>'Burger-F7-F8'!F14</f>
        <v>Comas</v>
      </c>
      <c r="N621" s="35">
        <f>'Burger-F7-F8'!G14</f>
        <v>944646368</v>
      </c>
      <c r="O621" s="35" t="str">
        <f>'Burger-F7-F8'!H14</f>
        <v>x</v>
      </c>
      <c r="P621" s="35" t="str">
        <f>'Burger-F7-F8'!I14</f>
        <v/>
      </c>
      <c r="Q621" s="35">
        <f>'Burger-F7-F8'!J14</f>
        <v>150</v>
      </c>
      <c r="R621" s="35" t="str">
        <f>'Burger-F7-F8'!K14</f>
        <v/>
      </c>
      <c r="S621" s="35" t="str">
        <f>'Burger-F7-F8'!L14</f>
        <v>PAGO</v>
      </c>
      <c r="T621" s="35" t="str">
        <f>'Burger-F7-F8'!M14</f>
        <v>YAPE JL</v>
      </c>
      <c r="U621" s="35">
        <f>'Burger-F7-F8'!N14</f>
        <v>150</v>
      </c>
      <c r="V621" s="35" t="str">
        <f>'Burger-F7-F8'!O14</f>
        <v/>
      </c>
      <c r="W621" s="35" t="str">
        <f>'Burger-F7-F8'!P14</f>
        <v>Gabriela</v>
      </c>
      <c r="X621" s="35">
        <f>'Burger-F7-F8'!Q14</f>
        <v>150</v>
      </c>
      <c r="Y621" s="1"/>
      <c r="Z621" s="1"/>
      <c r="AA621" s="1"/>
    </row>
    <row r="622">
      <c r="A622" s="1"/>
      <c r="B622" s="14">
        <f t="shared" si="12"/>
        <v>11</v>
      </c>
      <c r="C622" s="22" t="str">
        <f t="shared" si="1"/>
        <v>enero</v>
      </c>
      <c r="D622" s="22">
        <f t="shared" si="2"/>
        <v>2</v>
      </c>
      <c r="E622" s="23" t="str">
        <f t="shared" si="3"/>
        <v>miércoles</v>
      </c>
      <c r="F622" s="22">
        <f t="shared" si="4"/>
        <v>7</v>
      </c>
      <c r="G622" s="22" t="s">
        <v>25</v>
      </c>
      <c r="H622" s="3" t="str">
        <f>'Burger-F7-F8'!$G$3</f>
        <v>                                       burger</v>
      </c>
      <c r="I622" s="35">
        <f>'Burger-F7-F8'!B15</f>
        <v>46029</v>
      </c>
      <c r="J622" s="35">
        <f>'Burger-F7-F8'!C15</f>
        <v>30422127</v>
      </c>
      <c r="K622" s="35" t="str">
        <f>'Burger-F7-F8'!D15</f>
        <v>Ynes Mendoza Justo</v>
      </c>
      <c r="L622" s="35" t="str">
        <f>'Burger-F7-F8'!E15</f>
        <v/>
      </c>
      <c r="M622" s="35" t="str">
        <f>'Burger-F7-F8'!F15</f>
        <v/>
      </c>
      <c r="N622" s="35" t="str">
        <f>'Burger-F7-F8'!G15</f>
        <v/>
      </c>
      <c r="O622" s="35" t="str">
        <f>'Burger-F7-F8'!H15</f>
        <v>x</v>
      </c>
      <c r="P622" s="35" t="str">
        <f>'Burger-F7-F8'!I15</f>
        <v/>
      </c>
      <c r="Q622" s="35">
        <f>'Burger-F7-F8'!J15</f>
        <v>140</v>
      </c>
      <c r="R622" s="35" t="str">
        <f>'Burger-F7-F8'!K15</f>
        <v/>
      </c>
      <c r="S622" s="35" t="str">
        <f>'Burger-F7-F8'!L15</f>
        <v>PAGO</v>
      </c>
      <c r="T622" s="35" t="str">
        <f>'Burger-F7-F8'!M15</f>
        <v>YAPE JL</v>
      </c>
      <c r="U622" s="35">
        <f>'Burger-F7-F8'!N15</f>
        <v>140</v>
      </c>
      <c r="V622" s="35" t="str">
        <f>'Burger-F7-F8'!O15</f>
        <v/>
      </c>
      <c r="W622" s="35" t="str">
        <f>'Burger-F7-F8'!P15</f>
        <v>Katherine</v>
      </c>
      <c r="X622" s="35">
        <f>'Burger-F7-F8'!Q15</f>
        <v>140</v>
      </c>
      <c r="Y622" s="1"/>
      <c r="Z622" s="1"/>
      <c r="AA622" s="1"/>
    </row>
    <row r="623">
      <c r="A623" s="1"/>
      <c r="B623" s="14">
        <f t="shared" si="12"/>
        <v>12</v>
      </c>
      <c r="C623" s="22" t="str">
        <f t="shared" si="1"/>
        <v>enero</v>
      </c>
      <c r="D623" s="22">
        <f t="shared" si="2"/>
        <v>2</v>
      </c>
      <c r="E623" s="23" t="str">
        <f t="shared" si="3"/>
        <v>miércoles</v>
      </c>
      <c r="F623" s="22">
        <f t="shared" si="4"/>
        <v>7</v>
      </c>
      <c r="G623" s="22" t="s">
        <v>25</v>
      </c>
      <c r="H623" s="3" t="str">
        <f>'Burger-F7-F8'!$G$3</f>
        <v>                                       burger</v>
      </c>
      <c r="I623" s="35">
        <f>'Burger-F7-F8'!B16</f>
        <v>46029</v>
      </c>
      <c r="J623" s="35">
        <f>'Burger-F7-F8'!C16</f>
        <v>40249280</v>
      </c>
      <c r="K623" s="35" t="str">
        <f>'Burger-F7-F8'!D16</f>
        <v>Cynthian Milagros Lazo Chauca</v>
      </c>
      <c r="L623" s="35" t="str">
        <f>'Burger-F7-F8'!E16</f>
        <v>sharmony047@gmail.com</v>
      </c>
      <c r="M623" s="35" t="str">
        <f>'Burger-F7-F8'!F16</f>
        <v>Callao</v>
      </c>
      <c r="N623" s="35" t="str">
        <f>'Burger-F7-F8'!G16</f>
        <v>938 121 803</v>
      </c>
      <c r="O623" s="35" t="str">
        <f>'Burger-F7-F8'!H16</f>
        <v>x</v>
      </c>
      <c r="P623" s="35" t="str">
        <f>'Burger-F7-F8'!I16</f>
        <v/>
      </c>
      <c r="Q623" s="35">
        <f>'Burger-F7-F8'!J16</f>
        <v>140</v>
      </c>
      <c r="R623" s="35" t="str">
        <f>'Burger-F7-F8'!K16</f>
        <v/>
      </c>
      <c r="S623" s="35" t="str">
        <f>'Burger-F7-F8'!L16</f>
        <v>PAGO</v>
      </c>
      <c r="T623" s="35" t="str">
        <f>'Burger-F7-F8'!M16</f>
        <v>YAPE JL</v>
      </c>
      <c r="U623" s="35">
        <f>'Burger-F7-F8'!N16</f>
        <v>140</v>
      </c>
      <c r="V623" s="35" t="str">
        <f>'Burger-F7-F8'!O16</f>
        <v/>
      </c>
      <c r="W623" s="35" t="str">
        <f>'Burger-F7-F8'!P16</f>
        <v>Gabriela</v>
      </c>
      <c r="X623" s="35">
        <f>'Burger-F7-F8'!Q16</f>
        <v>140</v>
      </c>
      <c r="Y623" s="1"/>
      <c r="Z623" s="1"/>
      <c r="AA623" s="1"/>
    </row>
    <row r="624">
      <c r="A624" s="1"/>
      <c r="B624" s="14">
        <f t="shared" si="12"/>
        <v>13</v>
      </c>
      <c r="C624" s="22" t="str">
        <f t="shared" si="1"/>
        <v>enero</v>
      </c>
      <c r="D624" s="22">
        <f t="shared" si="2"/>
        <v>2</v>
      </c>
      <c r="E624" s="23" t="str">
        <f t="shared" si="3"/>
        <v>miércoles</v>
      </c>
      <c r="F624" s="22">
        <f t="shared" si="4"/>
        <v>7</v>
      </c>
      <c r="G624" s="22" t="s">
        <v>25</v>
      </c>
      <c r="H624" s="3" t="str">
        <f>'Burger-F7-F8'!$G$3</f>
        <v>                                       burger</v>
      </c>
      <c r="I624" s="35">
        <f>'Burger-F7-F8'!B17</f>
        <v>46029</v>
      </c>
      <c r="J624" s="35">
        <f>'Burger-F7-F8'!C17</f>
        <v>71434270</v>
      </c>
      <c r="K624" s="35" t="str">
        <f>'Burger-F7-F8'!D17</f>
        <v>Diego Sebastián Aranda Lazo</v>
      </c>
      <c r="L624" s="35" t="str">
        <f>'Burger-F7-F8'!E17</f>
        <v>sharmony047@gmail.com</v>
      </c>
      <c r="M624" s="35" t="str">
        <f>'Burger-F7-F8'!F17</f>
        <v>Callao</v>
      </c>
      <c r="N624" s="35" t="str">
        <f>'Burger-F7-F8'!G17</f>
        <v>938 121 803</v>
      </c>
      <c r="O624" s="35" t="str">
        <f>'Burger-F7-F8'!H17</f>
        <v>x</v>
      </c>
      <c r="P624" s="35" t="str">
        <f>'Burger-F7-F8'!I17</f>
        <v/>
      </c>
      <c r="Q624" s="35">
        <f>'Burger-F7-F8'!J17</f>
        <v>140</v>
      </c>
      <c r="R624" s="35" t="str">
        <f>'Burger-F7-F8'!K17</f>
        <v/>
      </c>
      <c r="S624" s="35" t="str">
        <f>'Burger-F7-F8'!L17</f>
        <v>PAGO</v>
      </c>
      <c r="T624" s="35" t="str">
        <f>'Burger-F7-F8'!M17</f>
        <v>YAPE JL</v>
      </c>
      <c r="U624" s="35">
        <f>'Burger-F7-F8'!N17</f>
        <v>140</v>
      </c>
      <c r="V624" s="35" t="str">
        <f>'Burger-F7-F8'!O17</f>
        <v/>
      </c>
      <c r="W624" s="35" t="str">
        <f>'Burger-F7-F8'!P17</f>
        <v>Gabriela</v>
      </c>
      <c r="X624" s="35">
        <f>'Burger-F7-F8'!Q17</f>
        <v>140</v>
      </c>
      <c r="Y624" s="1"/>
      <c r="Z624" s="1"/>
      <c r="AA624" s="1"/>
    </row>
    <row r="625">
      <c r="A625" s="1"/>
      <c r="B625" s="14">
        <f t="shared" si="12"/>
        <v>14</v>
      </c>
      <c r="C625" s="22" t="str">
        <f t="shared" si="1"/>
        <v>enero</v>
      </c>
      <c r="D625" s="22">
        <f t="shared" si="2"/>
        <v>2</v>
      </c>
      <c r="E625" s="23" t="str">
        <f t="shared" si="3"/>
        <v>martes</v>
      </c>
      <c r="F625" s="22">
        <f t="shared" si="4"/>
        <v>6</v>
      </c>
      <c r="G625" s="22" t="s">
        <v>25</v>
      </c>
      <c r="H625" s="3" t="str">
        <f>'Burger-F7-F8'!$G$3</f>
        <v>                                       burger</v>
      </c>
      <c r="I625" s="35">
        <f>'Burger-F7-F8'!B18</f>
        <v>46028</v>
      </c>
      <c r="J625" s="35" t="str">
        <f>'Burger-F7-F8'!C18</f>
        <v>´03663755</v>
      </c>
      <c r="K625" s="35" t="str">
        <f>'Burger-F7-F8'!D18</f>
        <v>LUPITA QUINTANA SILVA</v>
      </c>
      <c r="L625" s="35" t="str">
        <f>'Burger-F7-F8'!E18</f>
        <v/>
      </c>
      <c r="M625" s="35" t="str">
        <f>'Burger-F7-F8'!F18</f>
        <v>CALLAO</v>
      </c>
      <c r="N625" s="35" t="str">
        <f>'Burger-F7-F8'!G18</f>
        <v>933 070 617</v>
      </c>
      <c r="O625" s="35" t="str">
        <f>'Burger-F7-F8'!H18</f>
        <v>X</v>
      </c>
      <c r="P625" s="35" t="str">
        <f>'Burger-F7-F8'!I18</f>
        <v/>
      </c>
      <c r="Q625" s="35">
        <f>'Burger-F7-F8'!J18</f>
        <v>50</v>
      </c>
      <c r="R625" s="35">
        <f>'Burger-F7-F8'!K18</f>
        <v>100</v>
      </c>
      <c r="S625" s="35" t="str">
        <f>'Burger-F7-F8'!L18</f>
        <v>COBR</v>
      </c>
      <c r="T625" s="35" t="str">
        <f>'Burger-F7-F8'!M18</f>
        <v>YAPE JL</v>
      </c>
      <c r="U625" s="35">
        <f>'Burger-F7-F8'!N18</f>
        <v>50</v>
      </c>
      <c r="V625" s="35">
        <f>'Burger-F7-F8'!O18</f>
        <v>100</v>
      </c>
      <c r="W625" s="35" t="str">
        <f>'Burger-F7-F8'!P18</f>
        <v>Greici</v>
      </c>
      <c r="X625" s="35">
        <f>'Burger-F7-F8'!Q18</f>
        <v>150</v>
      </c>
      <c r="Y625" s="1"/>
      <c r="Z625" s="1"/>
      <c r="AA625" s="1"/>
    </row>
    <row r="626">
      <c r="A626" s="1"/>
      <c r="B626" s="14">
        <f t="shared" si="12"/>
        <v>15</v>
      </c>
      <c r="C626" s="22" t="str">
        <f t="shared" si="1"/>
        <v>enero</v>
      </c>
      <c r="D626" s="22">
        <f t="shared" si="2"/>
        <v>2</v>
      </c>
      <c r="E626" s="23" t="str">
        <f t="shared" si="3"/>
        <v>martes</v>
      </c>
      <c r="F626" s="22">
        <f t="shared" si="4"/>
        <v>6</v>
      </c>
      <c r="G626" s="22" t="s">
        <v>25</v>
      </c>
      <c r="H626" s="3" t="str">
        <f>'Burger-F7-F8'!$G$3</f>
        <v>                                       burger</v>
      </c>
      <c r="I626" s="35">
        <f>'Burger-F7-F8'!B19</f>
        <v>46028</v>
      </c>
      <c r="J626" s="35" t="str">
        <f>'Burger-F7-F8'!C19</f>
        <v>000326987</v>
      </c>
      <c r="K626" s="35" t="str">
        <f>'Burger-F7-F8'!D19</f>
        <v>Dalia Del. Socorro Carvajal.  </v>
      </c>
      <c r="L626" s="35" t="str">
        <f>'Burger-F7-F8'!E19</f>
        <v/>
      </c>
      <c r="M626" s="35" t="str">
        <f>'Burger-F7-F8'!F19</f>
        <v>RIMAC</v>
      </c>
      <c r="N626" s="35" t="str">
        <f>'Burger-F7-F8'!G19</f>
        <v>965 713 303</v>
      </c>
      <c r="O626" s="35" t="str">
        <f>'Burger-F7-F8'!H19</f>
        <v>X</v>
      </c>
      <c r="P626" s="35" t="str">
        <f>'Burger-F7-F8'!I19</f>
        <v/>
      </c>
      <c r="Q626" s="35">
        <f>'Burger-F7-F8'!J19</f>
        <v>80</v>
      </c>
      <c r="R626" s="35">
        <f>'Burger-F7-F8'!K19</f>
        <v>80</v>
      </c>
      <c r="S626" s="35" t="str">
        <f>'Burger-F7-F8'!L19</f>
        <v>COBR</v>
      </c>
      <c r="T626" s="35" t="str">
        <f>'Burger-F7-F8'!M19</f>
        <v>YAPE JL</v>
      </c>
      <c r="U626" s="35">
        <f>'Burger-F7-F8'!N19</f>
        <v>80</v>
      </c>
      <c r="V626" s="35">
        <f>'Burger-F7-F8'!O19</f>
        <v>80</v>
      </c>
      <c r="W626" s="35" t="str">
        <f>'Burger-F7-F8'!P19</f>
        <v>Greici</v>
      </c>
      <c r="X626" s="35">
        <f>'Burger-F7-F8'!Q19</f>
        <v>160</v>
      </c>
      <c r="Y626" s="1"/>
      <c r="Z626" s="1"/>
      <c r="AA626" s="1"/>
    </row>
    <row r="627">
      <c r="A627" s="1"/>
      <c r="B627" s="14">
        <f t="shared" si="12"/>
        <v>16</v>
      </c>
      <c r="C627" s="22" t="str">
        <f t="shared" si="1"/>
        <v>enero</v>
      </c>
      <c r="D627" s="22">
        <f t="shared" si="2"/>
        <v>2</v>
      </c>
      <c r="E627" s="23" t="str">
        <f t="shared" si="3"/>
        <v>miércoles</v>
      </c>
      <c r="F627" s="22">
        <f t="shared" si="4"/>
        <v>7</v>
      </c>
      <c r="G627" s="22" t="s">
        <v>25</v>
      </c>
      <c r="H627" s="3" t="str">
        <f>'Burger-F7-F8'!$G$3</f>
        <v>                                       burger</v>
      </c>
      <c r="I627" s="35">
        <f>'Burger-F7-F8'!B20</f>
        <v>46029</v>
      </c>
      <c r="J627" s="35">
        <f>'Burger-F7-F8'!C20</f>
        <v>45484567</v>
      </c>
      <c r="K627" s="35" t="str">
        <f>'Burger-F7-F8'!D20</f>
        <v>Alfredo reza Matos</v>
      </c>
      <c r="L627" s="36" t="str">
        <f>'Burger-F7-F8'!E20</f>
        <v>Alfredorezamatos@gmail.com</v>
      </c>
      <c r="M627" s="35" t="str">
        <f>'Burger-F7-F8'!F20</f>
        <v>SJL</v>
      </c>
      <c r="N627" s="35" t="str">
        <f>'Burger-F7-F8'!G20</f>
        <v> 999 084 715</v>
      </c>
      <c r="O627" s="35" t="str">
        <f>'Burger-F7-F8'!H20</f>
        <v>X</v>
      </c>
      <c r="P627" s="35" t="str">
        <f>'Burger-F7-F8'!I20</f>
        <v/>
      </c>
      <c r="Q627" s="35">
        <f>'Burger-F7-F8'!J20</f>
        <v>125</v>
      </c>
      <c r="R627" s="35" t="str">
        <f>'Burger-F7-F8'!K20</f>
        <v/>
      </c>
      <c r="S627" s="35" t="str">
        <f>'Burger-F7-F8'!L20</f>
        <v>PAGO</v>
      </c>
      <c r="T627" s="35" t="str">
        <f>'Burger-F7-F8'!M20</f>
        <v>BCP EPP</v>
      </c>
      <c r="U627" s="35">
        <f>'Burger-F7-F8'!N20</f>
        <v>125</v>
      </c>
      <c r="V627" s="35" t="str">
        <f>'Burger-F7-F8'!O20</f>
        <v/>
      </c>
      <c r="W627" s="35" t="str">
        <f>'Burger-F7-F8'!P20</f>
        <v>Yadhira</v>
      </c>
      <c r="X627" s="35">
        <f>'Burger-F7-F8'!Q20</f>
        <v>125</v>
      </c>
      <c r="Y627" s="1"/>
      <c r="Z627" s="1"/>
      <c r="AA627" s="1"/>
    </row>
    <row r="628">
      <c r="A628" s="1"/>
      <c r="B628" s="14">
        <f t="shared" si="12"/>
        <v>17</v>
      </c>
      <c r="C628" s="22" t="str">
        <f t="shared" si="1"/>
        <v>enero</v>
      </c>
      <c r="D628" s="22">
        <f t="shared" si="2"/>
        <v>2</v>
      </c>
      <c r="E628" s="23" t="str">
        <f t="shared" si="3"/>
        <v>miércoles</v>
      </c>
      <c r="F628" s="22">
        <f t="shared" si="4"/>
        <v>7</v>
      </c>
      <c r="G628" s="22" t="s">
        <v>25</v>
      </c>
      <c r="H628" s="3" t="str">
        <f>'Burger-F7-F8'!$G$3</f>
        <v>                                       burger</v>
      </c>
      <c r="I628" s="35">
        <f>'Burger-F7-F8'!B21</f>
        <v>46029</v>
      </c>
      <c r="J628" s="35">
        <f>'Burger-F7-F8'!C21</f>
        <v>46988012</v>
      </c>
      <c r="K628" s="35" t="str">
        <f>'Burger-F7-F8'!D21</f>
        <v>Elizabeth condori de la Peña
</v>
      </c>
      <c r="L628" s="35" t="str">
        <f>'Burger-F7-F8'!E21</f>
        <v>Nathaly.2305.3@gmail.com</v>
      </c>
      <c r="M628" s="35" t="str">
        <f>'Burger-F7-F8'!F21</f>
        <v>SJL</v>
      </c>
      <c r="N628" s="35" t="str">
        <f>'Burger-F7-F8'!G21</f>
        <v> 999 084 715</v>
      </c>
      <c r="O628" s="35" t="str">
        <f>'Burger-F7-F8'!H21</f>
        <v>X</v>
      </c>
      <c r="P628" s="35" t="str">
        <f>'Burger-F7-F8'!I21</f>
        <v/>
      </c>
      <c r="Q628" s="35">
        <f>'Burger-F7-F8'!J21</f>
        <v>125</v>
      </c>
      <c r="R628" s="35" t="str">
        <f>'Burger-F7-F8'!K21</f>
        <v/>
      </c>
      <c r="S628" s="35" t="str">
        <f>'Burger-F7-F8'!L21</f>
        <v>PAGO</v>
      </c>
      <c r="T628" s="35" t="str">
        <f>'Burger-F7-F8'!M21</f>
        <v>BCP EPP</v>
      </c>
      <c r="U628" s="35">
        <f>'Burger-F7-F8'!N21</f>
        <v>125</v>
      </c>
      <c r="V628" s="35" t="str">
        <f>'Burger-F7-F8'!O21</f>
        <v/>
      </c>
      <c r="W628" s="35" t="str">
        <f>'Burger-F7-F8'!P21</f>
        <v>Yadhira</v>
      </c>
      <c r="X628" s="35">
        <f>'Burger-F7-F8'!Q21</f>
        <v>125</v>
      </c>
      <c r="Y628" s="1"/>
      <c r="Z628" s="1"/>
      <c r="AA628" s="1"/>
    </row>
    <row r="629">
      <c r="A629" s="1"/>
      <c r="B629" s="14">
        <f t="shared" si="12"/>
        <v>18</v>
      </c>
      <c r="C629" s="22" t="str">
        <f t="shared" si="1"/>
        <v>enero</v>
      </c>
      <c r="D629" s="22">
        <f t="shared" si="2"/>
        <v>2</v>
      </c>
      <c r="E629" s="23" t="str">
        <f t="shared" si="3"/>
        <v>miércoles</v>
      </c>
      <c r="F629" s="22">
        <f t="shared" si="4"/>
        <v>7</v>
      </c>
      <c r="G629" s="22" t="s">
        <v>25</v>
      </c>
      <c r="H629" s="3" t="str">
        <f>'Burger-F7-F8'!$G$3</f>
        <v>                                       burger</v>
      </c>
      <c r="I629" s="35">
        <f>'Burger-F7-F8'!B22</f>
        <v>46029</v>
      </c>
      <c r="J629" s="35">
        <f>'Burger-F7-F8'!C22</f>
        <v>73563073</v>
      </c>
      <c r="K629" s="35" t="str">
        <f>'Burger-F7-F8'!D22</f>
        <v>Jesús Amir Huaccho Hidalgo
</v>
      </c>
      <c r="L629" s="36" t="str">
        <f>'Burger-F7-F8'!E22</f>
        <v>ruthm_hidalgo@hotmail.com</v>
      </c>
      <c r="M629" s="35" t="str">
        <f>'Burger-F7-F8'!F22</f>
        <v>SURCO</v>
      </c>
      <c r="N629" s="35" t="str">
        <f>'Burger-F7-F8'!G22</f>
        <v>996 757 353</v>
      </c>
      <c r="O629" s="35" t="str">
        <f>'Burger-F7-F8'!H22</f>
        <v>X</v>
      </c>
      <c r="P629" s="35" t="str">
        <f>'Burger-F7-F8'!I22</f>
        <v/>
      </c>
      <c r="Q629" s="35">
        <f>'Burger-F7-F8'!J22</f>
        <v>150</v>
      </c>
      <c r="R629" s="35" t="str">
        <f>'Burger-F7-F8'!K22</f>
        <v/>
      </c>
      <c r="S629" s="35" t="str">
        <f>'Burger-F7-F8'!L22</f>
        <v>PAGO</v>
      </c>
      <c r="T629" s="35" t="str">
        <f>'Burger-F7-F8'!M22</f>
        <v>YAPE JL</v>
      </c>
      <c r="U629" s="35">
        <f>'Burger-F7-F8'!N22</f>
        <v>150</v>
      </c>
      <c r="V629" s="35" t="str">
        <f>'Burger-F7-F8'!O22</f>
        <v/>
      </c>
      <c r="W629" s="35" t="str">
        <f>'Burger-F7-F8'!P22</f>
        <v>Yadhira</v>
      </c>
      <c r="X629" s="35">
        <f>'Burger-F7-F8'!Q22</f>
        <v>150</v>
      </c>
      <c r="Y629" s="1"/>
      <c r="Z629" s="1"/>
      <c r="AA629" s="1"/>
    </row>
    <row r="630">
      <c r="A630" s="1"/>
      <c r="B630" s="14">
        <f t="shared" si="12"/>
        <v>19</v>
      </c>
      <c r="C630" s="22" t="str">
        <f t="shared" si="1"/>
        <v>enero</v>
      </c>
      <c r="D630" s="22">
        <f t="shared" si="2"/>
        <v>2</v>
      </c>
      <c r="E630" s="23" t="str">
        <f t="shared" si="3"/>
        <v>martes</v>
      </c>
      <c r="F630" s="22">
        <f t="shared" si="4"/>
        <v>6</v>
      </c>
      <c r="G630" s="22" t="s">
        <v>25</v>
      </c>
      <c r="H630" s="3" t="str">
        <f>'Burger-F7-F8'!$G$3</f>
        <v>                                       burger</v>
      </c>
      <c r="I630" s="35">
        <f>'Burger-F7-F8'!B23</f>
        <v>46028</v>
      </c>
      <c r="J630" s="35">
        <f>'Burger-F7-F8'!C23</f>
        <v>48550749</v>
      </c>
      <c r="K630" s="35" t="str">
        <f>'Burger-F7-F8'!D23</f>
        <v> Brandon Barros Vizano</v>
      </c>
      <c r="L630" s="35" t="str">
        <f>'Burger-F7-F8'!E23</f>
        <v>brandon_honor2@outlook.com</v>
      </c>
      <c r="M630" s="35" t="str">
        <f>'Burger-F7-F8'!F23</f>
        <v>LOS OLIVOS</v>
      </c>
      <c r="N630" s="35" t="str">
        <f>'Burger-F7-F8'!G23</f>
        <v/>
      </c>
      <c r="O630" s="35" t="str">
        <f>'Burger-F7-F8'!H23</f>
        <v>X</v>
      </c>
      <c r="P630" s="35" t="str">
        <f>'Burger-F7-F8'!I23</f>
        <v/>
      </c>
      <c r="Q630" s="35">
        <f>'Burger-F7-F8'!J23</f>
        <v>50</v>
      </c>
      <c r="R630" s="35">
        <f>'Burger-F7-F8'!K23</f>
        <v>100</v>
      </c>
      <c r="S630" s="35" t="str">
        <f>'Burger-F7-F8'!L23</f>
        <v>COBR</v>
      </c>
      <c r="T630" s="35" t="str">
        <f>'Burger-F7-F8'!M23</f>
        <v>YAPE JL</v>
      </c>
      <c r="U630" s="35">
        <f>'Burger-F7-F8'!N23</f>
        <v>50</v>
      </c>
      <c r="V630" s="35">
        <f>'Burger-F7-F8'!O23</f>
        <v>100</v>
      </c>
      <c r="W630" s="35" t="str">
        <f>'Burger-F7-F8'!P23</f>
        <v>Greici</v>
      </c>
      <c r="X630" s="35">
        <f>'Burger-F7-F8'!Q23</f>
        <v>150</v>
      </c>
      <c r="Y630" s="1"/>
      <c r="Z630" s="1"/>
      <c r="AA630" s="1"/>
    </row>
    <row r="631">
      <c r="A631" s="1"/>
      <c r="B631" s="14">
        <f t="shared" si="12"/>
        <v>20</v>
      </c>
      <c r="C631" s="22" t="str">
        <f t="shared" si="1"/>
        <v>enero</v>
      </c>
      <c r="D631" s="22">
        <f t="shared" si="2"/>
        <v>2</v>
      </c>
      <c r="E631" s="23" t="str">
        <f t="shared" si="3"/>
        <v>viernes</v>
      </c>
      <c r="F631" s="22">
        <f t="shared" si="4"/>
        <v>9</v>
      </c>
      <c r="G631" s="22" t="s">
        <v>25</v>
      </c>
      <c r="H631" s="3" t="str">
        <f>'Burger-F7-F8'!$G$3</f>
        <v>                                       burger</v>
      </c>
      <c r="I631" s="35">
        <f>'Burger-F7-F8'!B24</f>
        <v>46031</v>
      </c>
      <c r="J631" s="35">
        <f>'Burger-F7-F8'!C24</f>
        <v>41914080</v>
      </c>
      <c r="K631" s="35" t="str">
        <f>'Burger-F7-F8'!D24</f>
        <v>Yulisa Quispe Cuba  </v>
      </c>
      <c r="L631" s="35" t="str">
        <f>'Burger-F7-F8'!E24</f>
        <v/>
      </c>
      <c r="M631" s="35" t="str">
        <f>'Burger-F7-F8'!F24</f>
        <v>EL AGUSTINO</v>
      </c>
      <c r="N631" s="35" t="str">
        <f>'Burger-F7-F8'!G24</f>
        <v>968 148 037</v>
      </c>
      <c r="O631" s="35" t="str">
        <f>'Burger-F7-F8'!H24</f>
        <v>X</v>
      </c>
      <c r="P631" s="35" t="str">
        <f>'Burger-F7-F8'!I24</f>
        <v/>
      </c>
      <c r="Q631" s="35">
        <f>'Burger-F7-F8'!J24</f>
        <v>50</v>
      </c>
      <c r="R631" s="35">
        <f>'Burger-F7-F8'!K24</f>
        <v>90</v>
      </c>
      <c r="S631" s="35" t="str">
        <f>'Burger-F7-F8'!L24</f>
        <v>COBR</v>
      </c>
      <c r="T631" s="35" t="str">
        <f>'Burger-F7-F8'!M24</f>
        <v>YAPE JL</v>
      </c>
      <c r="U631" s="35">
        <f>'Burger-F7-F8'!N24</f>
        <v>50</v>
      </c>
      <c r="V631" s="35">
        <f>'Burger-F7-F8'!O24</f>
        <v>90</v>
      </c>
      <c r="W631" s="35" t="str">
        <f>'Burger-F7-F8'!P24</f>
        <v>Greici</v>
      </c>
      <c r="X631" s="35">
        <f>'Burger-F7-F8'!Q24</f>
        <v>140</v>
      </c>
      <c r="Y631" s="1"/>
      <c r="Z631" s="1"/>
      <c r="AA631" s="1"/>
    </row>
    <row r="632">
      <c r="A632" s="1"/>
      <c r="B632" s="14">
        <f t="shared" si="12"/>
        <v>21</v>
      </c>
      <c r="C632" s="22" t="str">
        <f t="shared" si="1"/>
        <v>enero</v>
      </c>
      <c r="D632" s="22">
        <f t="shared" si="2"/>
        <v>2</v>
      </c>
      <c r="E632" s="23" t="str">
        <f t="shared" si="3"/>
        <v>viernes</v>
      </c>
      <c r="F632" s="22">
        <f t="shared" si="4"/>
        <v>9</v>
      </c>
      <c r="G632" s="22" t="s">
        <v>25</v>
      </c>
      <c r="H632" s="3" t="str">
        <f>'Burger-F7-F8'!$G$3</f>
        <v>                                       burger</v>
      </c>
      <c r="I632" s="35">
        <f>'Burger-F7-F8'!B25</f>
        <v>46031</v>
      </c>
      <c r="J632" s="35">
        <f>'Burger-F7-F8'!C25</f>
        <v>47915079</v>
      </c>
      <c r="K632" s="35" t="str">
        <f>'Burger-F7-F8'!D25</f>
        <v>Juan Carlos borja</v>
      </c>
      <c r="L632" s="35" t="str">
        <f>'Burger-F7-F8'!E25</f>
        <v>Jcarlos.borjah@gmail.com</v>
      </c>
      <c r="M632" s="35" t="str">
        <f>'Burger-F7-F8'!F25</f>
        <v>Villa el salvador</v>
      </c>
      <c r="N632" s="35" t="str">
        <f>'Burger-F7-F8'!G25</f>
        <v>976 057 552</v>
      </c>
      <c r="O632" s="35" t="str">
        <f>'Burger-F7-F8'!H25</f>
        <v>X</v>
      </c>
      <c r="P632" s="35" t="str">
        <f>'Burger-F7-F8'!I25</f>
        <v/>
      </c>
      <c r="Q632" s="35">
        <f>'Burger-F7-F8'!J25</f>
        <v>100</v>
      </c>
      <c r="R632" s="35">
        <f>'Burger-F7-F8'!K25</f>
        <v>350</v>
      </c>
      <c r="S632" s="35" t="str">
        <f>'Burger-F7-F8'!L25</f>
        <v>COBR</v>
      </c>
      <c r="T632" s="35" t="str">
        <f>'Burger-F7-F8'!M25</f>
        <v>YAPE JL</v>
      </c>
      <c r="U632" s="35">
        <f>'Burger-F7-F8'!N25</f>
        <v>100</v>
      </c>
      <c r="V632" s="35">
        <f>'Burger-F7-F8'!O25</f>
        <v>0</v>
      </c>
      <c r="W632" s="35" t="str">
        <f>'Burger-F7-F8'!P25</f>
        <v>Greici</v>
      </c>
      <c r="X632" s="35">
        <f>'Burger-F7-F8'!Q25</f>
        <v>100</v>
      </c>
      <c r="Y632" s="1"/>
      <c r="Z632" s="1"/>
      <c r="AA632" s="1"/>
    </row>
    <row r="633">
      <c r="A633" s="1"/>
      <c r="B633" s="14">
        <f t="shared" si="12"/>
        <v>22</v>
      </c>
      <c r="C633" s="22" t="str">
        <f t="shared" si="1"/>
        <v>enero</v>
      </c>
      <c r="D633" s="22">
        <f t="shared" si="2"/>
        <v>2</v>
      </c>
      <c r="E633" s="23" t="str">
        <f t="shared" si="3"/>
        <v>viernes</v>
      </c>
      <c r="F633" s="22">
        <f t="shared" si="4"/>
        <v>9</v>
      </c>
      <c r="G633" s="22" t="s">
        <v>25</v>
      </c>
      <c r="H633" s="3" t="str">
        <f>'Burger-F7-F8'!$G$3</f>
        <v>                                       burger</v>
      </c>
      <c r="I633" s="35">
        <f>'Burger-F7-F8'!B26</f>
        <v>46031</v>
      </c>
      <c r="J633" s="35" t="str">
        <f>'Burger-F7-F8'!C26</f>
        <v/>
      </c>
      <c r="K633" s="35" t="str">
        <f>'Burger-F7-F8'!D26</f>
        <v>Helen llanos </v>
      </c>
      <c r="L633" s="35" t="str">
        <f>'Burger-F7-F8'!E26</f>
        <v/>
      </c>
      <c r="M633" s="35" t="str">
        <f>'Burger-F7-F8'!F26</f>
        <v/>
      </c>
      <c r="N633" s="35" t="str">
        <f>'Burger-F7-F8'!G26</f>
        <v> </v>
      </c>
      <c r="O633" s="35" t="str">
        <f>'Burger-F7-F8'!H26</f>
        <v>x</v>
      </c>
      <c r="P633" s="35" t="str">
        <f>'Burger-F7-F8'!I26</f>
        <v/>
      </c>
      <c r="Q633" s="35">
        <f>'Burger-F7-F8'!J26</f>
        <v>125</v>
      </c>
      <c r="R633" s="35" t="str">
        <f>'Burger-F7-F8'!K26</f>
        <v/>
      </c>
      <c r="S633" s="35" t="str">
        <f>'Burger-F7-F8'!L26</f>
        <v>PAGO</v>
      </c>
      <c r="T633" s="35" t="str">
        <f>'Burger-F7-F8'!M26</f>
        <v>YAPE JL</v>
      </c>
      <c r="U633" s="35">
        <f>'Burger-F7-F8'!N26</f>
        <v>125</v>
      </c>
      <c r="V633" s="35" t="str">
        <f>'Burger-F7-F8'!O26</f>
        <v/>
      </c>
      <c r="W633" s="35" t="str">
        <f>'Burger-F7-F8'!P26</f>
        <v>Katherine</v>
      </c>
      <c r="X633" s="35">
        <f>'Burger-F7-F8'!Q26</f>
        <v>125</v>
      </c>
      <c r="Y633" s="1"/>
      <c r="Z633" s="1"/>
      <c r="AA633" s="1"/>
    </row>
    <row r="634">
      <c r="A634" s="1"/>
      <c r="B634" s="14">
        <f t="shared" si="12"/>
        <v>23</v>
      </c>
      <c r="C634" s="22" t="str">
        <f t="shared" si="1"/>
        <v>enero</v>
      </c>
      <c r="D634" s="22">
        <f t="shared" si="2"/>
        <v>2</v>
      </c>
      <c r="E634" s="23" t="str">
        <f t="shared" si="3"/>
        <v>viernes</v>
      </c>
      <c r="F634" s="22">
        <f t="shared" si="4"/>
        <v>9</v>
      </c>
      <c r="G634" s="22" t="s">
        <v>25</v>
      </c>
      <c r="H634" s="3" t="str">
        <f>'Burger-F7-F8'!$G$3</f>
        <v>                                       burger</v>
      </c>
      <c r="I634" s="35">
        <f>'Burger-F7-F8'!B27</f>
        <v>46031</v>
      </c>
      <c r="J634" s="35" t="str">
        <f>'Burger-F7-F8'!C27</f>
        <v/>
      </c>
      <c r="K634" s="35" t="str">
        <f>'Burger-F7-F8'!D27</f>
        <v>Nancy Tamani</v>
      </c>
      <c r="L634" s="35" t="str">
        <f>'Burger-F7-F8'!E27</f>
        <v/>
      </c>
      <c r="M634" s="35" t="str">
        <f>'Burger-F7-F8'!F27</f>
        <v/>
      </c>
      <c r="N634" s="35" t="str">
        <f>'Burger-F7-F8'!G27</f>
        <v/>
      </c>
      <c r="O634" s="35" t="str">
        <f>'Burger-F7-F8'!H27</f>
        <v>x</v>
      </c>
      <c r="P634" s="35" t="str">
        <f>'Burger-F7-F8'!I27</f>
        <v/>
      </c>
      <c r="Q634" s="35">
        <f>'Burger-F7-F8'!J27</f>
        <v>125</v>
      </c>
      <c r="R634" s="35" t="str">
        <f>'Burger-F7-F8'!K27</f>
        <v/>
      </c>
      <c r="S634" s="35" t="str">
        <f>'Burger-F7-F8'!L27</f>
        <v>PAGO</v>
      </c>
      <c r="T634" s="35" t="str">
        <f>'Burger-F7-F8'!M27</f>
        <v>YAPE JL</v>
      </c>
      <c r="U634" s="35">
        <f>'Burger-F7-F8'!N27</f>
        <v>125</v>
      </c>
      <c r="V634" s="35" t="str">
        <f>'Burger-F7-F8'!O27</f>
        <v/>
      </c>
      <c r="W634" s="35" t="str">
        <f>'Burger-F7-F8'!P27</f>
        <v>Katherine</v>
      </c>
      <c r="X634" s="35">
        <f>'Burger-F7-F8'!Q27</f>
        <v>125</v>
      </c>
      <c r="Y634" s="1"/>
      <c r="Z634" s="1"/>
      <c r="AA634" s="1"/>
    </row>
    <row r="635">
      <c r="A635" s="1"/>
      <c r="B635" s="14">
        <f t="shared" si="12"/>
        <v>24</v>
      </c>
      <c r="C635" s="22" t="str">
        <f t="shared" si="1"/>
        <v>enero</v>
      </c>
      <c r="D635" s="22">
        <f t="shared" si="2"/>
        <v>2</v>
      </c>
      <c r="E635" s="23" t="str">
        <f t="shared" si="3"/>
        <v>viernes</v>
      </c>
      <c r="F635" s="22">
        <f t="shared" si="4"/>
        <v>9</v>
      </c>
      <c r="G635" s="22" t="s">
        <v>25</v>
      </c>
      <c r="H635" s="3" t="str">
        <f>'Burger-F7-F8'!$G$3</f>
        <v>                                       burger</v>
      </c>
      <c r="I635" s="35">
        <f>'Burger-F7-F8'!B28</f>
        <v>46031</v>
      </c>
      <c r="J635" s="35" t="str">
        <f>'Burger-F7-F8'!C28</f>
        <v/>
      </c>
      <c r="K635" s="35" t="str">
        <f>'Burger-F7-F8'!D28</f>
        <v>Oscar Vega</v>
      </c>
      <c r="L635" s="35" t="str">
        <f>'Burger-F7-F8'!E28</f>
        <v/>
      </c>
      <c r="M635" s="35" t="str">
        <f>'Burger-F7-F8'!F28</f>
        <v/>
      </c>
      <c r="N635" s="35" t="str">
        <f>'Burger-F7-F8'!G28</f>
        <v/>
      </c>
      <c r="O635" s="35" t="str">
        <f>'Burger-F7-F8'!H28</f>
        <v>x</v>
      </c>
      <c r="P635" s="35" t="str">
        <f>'Burger-F7-F8'!I28</f>
        <v/>
      </c>
      <c r="Q635" s="35">
        <f>'Burger-F7-F8'!J28</f>
        <v>150</v>
      </c>
      <c r="R635" s="35" t="str">
        <f>'Burger-F7-F8'!K28</f>
        <v/>
      </c>
      <c r="S635" s="35" t="str">
        <f>'Burger-F7-F8'!L28</f>
        <v>PAGO</v>
      </c>
      <c r="T635" s="35" t="str">
        <f>'Burger-F7-F8'!M28</f>
        <v>EFECTIVO</v>
      </c>
      <c r="U635" s="35">
        <f>'Burger-F7-F8'!N28</f>
        <v>150</v>
      </c>
      <c r="V635" s="35" t="str">
        <f>'Burger-F7-F8'!O28</f>
        <v/>
      </c>
      <c r="W635" s="35" t="str">
        <f>'Burger-F7-F8'!P28</f>
        <v>Katherine</v>
      </c>
      <c r="X635" s="35">
        <f>'Burger-F7-F8'!Q28</f>
        <v>150</v>
      </c>
      <c r="Y635" s="1"/>
      <c r="Z635" s="1"/>
      <c r="AA635" s="1"/>
    </row>
    <row r="636">
      <c r="A636" s="1"/>
      <c r="B636" s="14">
        <f t="shared" si="12"/>
        <v>25</v>
      </c>
      <c r="C636" s="22" t="str">
        <f t="shared" si="1"/>
        <v>diciembre</v>
      </c>
      <c r="D636" s="22">
        <f t="shared" si="2"/>
        <v>52</v>
      </c>
      <c r="E636" s="23" t="str">
        <f t="shared" si="3"/>
        <v>sábado</v>
      </c>
      <c r="F636" s="22">
        <f t="shared" si="4"/>
        <v>30</v>
      </c>
      <c r="G636" s="22" t="s">
        <v>25</v>
      </c>
      <c r="H636" s="3" t="str">
        <f>'Burger-F7-F8'!$G$3</f>
        <v>                                       burger</v>
      </c>
      <c r="I636" s="35" t="str">
        <f>'Burger-F7-F8'!B29</f>
        <v/>
      </c>
      <c r="J636" s="35" t="str">
        <f>'Burger-F7-F8'!C29</f>
        <v/>
      </c>
      <c r="K636" s="35" t="str">
        <f>'Burger-F7-F8'!D29</f>
        <v/>
      </c>
      <c r="L636" s="35" t="str">
        <f>'Burger-F7-F8'!E29</f>
        <v/>
      </c>
      <c r="M636" s="35" t="str">
        <f>'Burger-F7-F8'!F29</f>
        <v/>
      </c>
      <c r="N636" s="35" t="str">
        <f>'Burger-F7-F8'!G29</f>
        <v/>
      </c>
      <c r="O636" s="35" t="str">
        <f>'Burger-F7-F8'!H29</f>
        <v/>
      </c>
      <c r="P636" s="35" t="str">
        <f>'Burger-F7-F8'!I29</f>
        <v/>
      </c>
      <c r="Q636" s="35" t="str">
        <f>'Burger-F7-F8'!J29</f>
        <v/>
      </c>
      <c r="R636" s="35" t="str">
        <f>'Burger-F7-F8'!K29</f>
        <v/>
      </c>
      <c r="S636" s="35" t="str">
        <f>'Burger-F7-F8'!L29</f>
        <v/>
      </c>
      <c r="T636" s="35" t="str">
        <f>'Burger-F7-F8'!M29</f>
        <v/>
      </c>
      <c r="U636" s="35" t="str">
        <f>'Burger-F7-F8'!N29</f>
        <v/>
      </c>
      <c r="V636" s="35" t="str">
        <f>'Burger-F7-F8'!O29</f>
        <v/>
      </c>
      <c r="W636" s="35" t="str">
        <f>'Burger-F7-F8'!P29</f>
        <v/>
      </c>
      <c r="X636" s="35">
        <f>'Burger-F7-F8'!Q29</f>
        <v>0</v>
      </c>
      <c r="Y636" s="1"/>
      <c r="Z636" s="1"/>
      <c r="AA636" s="1"/>
    </row>
    <row r="637">
      <c r="A637" s="1"/>
      <c r="B637" s="14">
        <f t="shared" si="12"/>
        <v>26</v>
      </c>
      <c r="C637" s="22" t="str">
        <f t="shared" si="1"/>
        <v>diciembre</v>
      </c>
      <c r="D637" s="22">
        <f t="shared" si="2"/>
        <v>52</v>
      </c>
      <c r="E637" s="23" t="str">
        <f t="shared" si="3"/>
        <v>sábado</v>
      </c>
      <c r="F637" s="22">
        <f t="shared" si="4"/>
        <v>30</v>
      </c>
      <c r="G637" s="22" t="s">
        <v>25</v>
      </c>
      <c r="H637" s="3" t="str">
        <f>'Burger-F7-F8'!$G$3</f>
        <v>                                       burger</v>
      </c>
      <c r="I637" s="35" t="str">
        <f>'Burger-F7-F8'!B30</f>
        <v/>
      </c>
      <c r="J637" s="35" t="str">
        <f>'Burger-F7-F8'!C30</f>
        <v/>
      </c>
      <c r="K637" s="35" t="str">
        <f>'Burger-F7-F8'!D30</f>
        <v/>
      </c>
      <c r="L637" s="35" t="str">
        <f>'Burger-F7-F8'!E30</f>
        <v/>
      </c>
      <c r="M637" s="35" t="str">
        <f>'Burger-F7-F8'!F30</f>
        <v/>
      </c>
      <c r="N637" s="35" t="str">
        <f>'Burger-F7-F8'!G30</f>
        <v/>
      </c>
      <c r="O637" s="35" t="str">
        <f>'Burger-F7-F8'!H30</f>
        <v/>
      </c>
      <c r="P637" s="35" t="str">
        <f>'Burger-F7-F8'!I30</f>
        <v/>
      </c>
      <c r="Q637" s="35" t="str">
        <f>'Burger-F7-F8'!J30</f>
        <v/>
      </c>
      <c r="R637" s="35" t="str">
        <f>'Burger-F7-F8'!K30</f>
        <v/>
      </c>
      <c r="S637" s="35" t="str">
        <f>'Burger-F7-F8'!L30</f>
        <v/>
      </c>
      <c r="T637" s="35" t="str">
        <f>'Burger-F7-F8'!M30</f>
        <v/>
      </c>
      <c r="U637" s="35" t="str">
        <f>'Burger-F7-F8'!N30</f>
        <v/>
      </c>
      <c r="V637" s="35" t="str">
        <f>'Burger-F7-F8'!O30</f>
        <v/>
      </c>
      <c r="W637" s="35" t="str">
        <f>'Burger-F7-F8'!P30</f>
        <v/>
      </c>
      <c r="X637" s="35">
        <f>'Burger-F7-F8'!Q30</f>
        <v>0</v>
      </c>
      <c r="Y637" s="1"/>
      <c r="Z637" s="1"/>
      <c r="AA637" s="1"/>
    </row>
    <row r="638">
      <c r="A638" s="1"/>
      <c r="B638" s="14">
        <f t="shared" si="12"/>
        <v>27</v>
      </c>
      <c r="C638" s="22" t="str">
        <f t="shared" si="1"/>
        <v>diciembre</v>
      </c>
      <c r="D638" s="22">
        <f t="shared" si="2"/>
        <v>52</v>
      </c>
      <c r="E638" s="23" t="str">
        <f t="shared" si="3"/>
        <v>sábado</v>
      </c>
      <c r="F638" s="22">
        <f t="shared" si="4"/>
        <v>30</v>
      </c>
      <c r="G638" s="22" t="s">
        <v>25</v>
      </c>
      <c r="H638" s="3" t="str">
        <f>'Burger-F7-F8'!$G$3</f>
        <v>                                       burger</v>
      </c>
      <c r="I638" s="35" t="str">
        <f>'Burger-F7-F8'!B31</f>
        <v/>
      </c>
      <c r="J638" s="35" t="str">
        <f>'Burger-F7-F8'!C31</f>
        <v/>
      </c>
      <c r="K638" s="35" t="str">
        <f>'Burger-F7-F8'!D31</f>
        <v/>
      </c>
      <c r="L638" s="35" t="str">
        <f>'Burger-F7-F8'!E31</f>
        <v/>
      </c>
      <c r="M638" s="35" t="str">
        <f>'Burger-F7-F8'!F31</f>
        <v/>
      </c>
      <c r="N638" s="35" t="str">
        <f>'Burger-F7-F8'!G31</f>
        <v/>
      </c>
      <c r="O638" s="35" t="str">
        <f>'Burger-F7-F8'!H31</f>
        <v/>
      </c>
      <c r="P638" s="35" t="str">
        <f>'Burger-F7-F8'!I31</f>
        <v/>
      </c>
      <c r="Q638" s="35" t="str">
        <f>'Burger-F7-F8'!J31</f>
        <v/>
      </c>
      <c r="R638" s="35" t="str">
        <f>'Burger-F7-F8'!K31</f>
        <v/>
      </c>
      <c r="S638" s="35" t="str">
        <f>'Burger-F7-F8'!L31</f>
        <v/>
      </c>
      <c r="T638" s="35" t="str">
        <f>'Burger-F7-F8'!M31</f>
        <v/>
      </c>
      <c r="U638" s="35" t="str">
        <f>'Burger-F7-F8'!N31</f>
        <v/>
      </c>
      <c r="V638" s="35" t="str">
        <f>'Burger-F7-F8'!O31</f>
        <v/>
      </c>
      <c r="W638" s="35" t="str">
        <f>'Burger-F7-F8'!P31</f>
        <v/>
      </c>
      <c r="X638" s="35">
        <f>'Burger-F7-F8'!Q31</f>
        <v>0</v>
      </c>
      <c r="Y638" s="1"/>
      <c r="Z638" s="1"/>
      <c r="AA638" s="1"/>
    </row>
    <row r="639">
      <c r="A639" s="1"/>
      <c r="B639" s="14">
        <f t="shared" si="12"/>
        <v>28</v>
      </c>
      <c r="C639" s="22" t="str">
        <f t="shared" si="1"/>
        <v>diciembre</v>
      </c>
      <c r="D639" s="22">
        <f t="shared" si="2"/>
        <v>52</v>
      </c>
      <c r="E639" s="23" t="str">
        <f t="shared" si="3"/>
        <v>sábado</v>
      </c>
      <c r="F639" s="22">
        <f t="shared" si="4"/>
        <v>30</v>
      </c>
      <c r="G639" s="22" t="s">
        <v>25</v>
      </c>
      <c r="H639" s="3" t="str">
        <f>'Burger-F7-F8'!$G$3</f>
        <v>                                       burger</v>
      </c>
      <c r="I639" s="35" t="str">
        <f>'Burger-F7-F8'!B32</f>
        <v/>
      </c>
      <c r="J639" s="35" t="str">
        <f>'Burger-F7-F8'!C32</f>
        <v/>
      </c>
      <c r="K639" s="35" t="str">
        <f>'Burger-F7-F8'!D32</f>
        <v/>
      </c>
      <c r="L639" s="35" t="str">
        <f>'Burger-F7-F8'!E32</f>
        <v/>
      </c>
      <c r="M639" s="35" t="str">
        <f>'Burger-F7-F8'!F32</f>
        <v/>
      </c>
      <c r="N639" s="35" t="str">
        <f>'Burger-F7-F8'!G32</f>
        <v/>
      </c>
      <c r="O639" s="35" t="str">
        <f>'Burger-F7-F8'!H32</f>
        <v/>
      </c>
      <c r="P639" s="35" t="str">
        <f>'Burger-F7-F8'!I32</f>
        <v/>
      </c>
      <c r="Q639" s="35" t="str">
        <f>'Burger-F7-F8'!J32</f>
        <v/>
      </c>
      <c r="R639" s="35" t="str">
        <f>'Burger-F7-F8'!K32</f>
        <v/>
      </c>
      <c r="S639" s="35" t="str">
        <f>'Burger-F7-F8'!L32</f>
        <v/>
      </c>
      <c r="T639" s="35" t="str">
        <f>'Burger-F7-F8'!M32</f>
        <v/>
      </c>
      <c r="U639" s="35" t="str">
        <f>'Burger-F7-F8'!N32</f>
        <v/>
      </c>
      <c r="V639" s="35" t="str">
        <f>'Burger-F7-F8'!O32</f>
        <v/>
      </c>
      <c r="W639" s="35" t="str">
        <f>'Burger-F7-F8'!P32</f>
        <v/>
      </c>
      <c r="X639" s="35">
        <f>'Burger-F7-F8'!Q32</f>
        <v>0</v>
      </c>
      <c r="Y639" s="1"/>
      <c r="Z639" s="1"/>
      <c r="AA639" s="1"/>
    </row>
    <row r="640">
      <c r="A640" s="1"/>
      <c r="B640" s="14">
        <f t="shared" si="12"/>
        <v>29</v>
      </c>
      <c r="C640" s="22" t="str">
        <f t="shared" si="1"/>
        <v>diciembre</v>
      </c>
      <c r="D640" s="22">
        <f t="shared" si="2"/>
        <v>52</v>
      </c>
      <c r="E640" s="23" t="str">
        <f t="shared" si="3"/>
        <v>sábado</v>
      </c>
      <c r="F640" s="22">
        <f t="shared" si="4"/>
        <v>30</v>
      </c>
      <c r="G640" s="22" t="s">
        <v>25</v>
      </c>
      <c r="H640" s="3" t="str">
        <f>'Burger-F7-F8'!$G$3</f>
        <v>                                       burger</v>
      </c>
      <c r="I640" s="35" t="str">
        <f>'Burger-F7-F8'!B33</f>
        <v/>
      </c>
      <c r="J640" s="35" t="str">
        <f>'Burger-F7-F8'!C33</f>
        <v/>
      </c>
      <c r="K640" s="35" t="str">
        <f>'Burger-F7-F8'!D33</f>
        <v/>
      </c>
      <c r="L640" s="35" t="str">
        <f>'Burger-F7-F8'!E33</f>
        <v/>
      </c>
      <c r="M640" s="35" t="str">
        <f>'Burger-F7-F8'!F33</f>
        <v/>
      </c>
      <c r="N640" s="35" t="str">
        <f>'Burger-F7-F8'!G33</f>
        <v/>
      </c>
      <c r="O640" s="35" t="str">
        <f>'Burger-F7-F8'!H33</f>
        <v/>
      </c>
      <c r="P640" s="35" t="str">
        <f>'Burger-F7-F8'!I33</f>
        <v/>
      </c>
      <c r="Q640" s="35" t="str">
        <f>'Burger-F7-F8'!J33</f>
        <v/>
      </c>
      <c r="R640" s="35" t="str">
        <f>'Burger-F7-F8'!K33</f>
        <v/>
      </c>
      <c r="S640" s="35" t="str">
        <f>'Burger-F7-F8'!L33</f>
        <v/>
      </c>
      <c r="T640" s="35" t="str">
        <f>'Burger-F7-F8'!M33</f>
        <v/>
      </c>
      <c r="U640" s="35" t="str">
        <f>'Burger-F7-F8'!N33</f>
        <v/>
      </c>
      <c r="V640" s="35" t="str">
        <f>'Burger-F7-F8'!O33</f>
        <v/>
      </c>
      <c r="W640" s="35" t="str">
        <f>'Burger-F7-F8'!P33</f>
        <v/>
      </c>
      <c r="X640" s="35" t="str">
        <f>'Burger-F7-F8'!Q33</f>
        <v/>
      </c>
      <c r="Y640" s="1"/>
      <c r="Z640" s="1"/>
      <c r="AA640" s="1"/>
    </row>
    <row r="641">
      <c r="A641" s="1"/>
      <c r="B641" s="14">
        <f t="shared" si="12"/>
        <v>30</v>
      </c>
      <c r="C641" s="22" t="str">
        <f t="shared" si="1"/>
        <v>diciembre</v>
      </c>
      <c r="D641" s="22">
        <f t="shared" si="2"/>
        <v>52</v>
      </c>
      <c r="E641" s="23" t="str">
        <f t="shared" si="3"/>
        <v>sábado</v>
      </c>
      <c r="F641" s="22">
        <f t="shared" si="4"/>
        <v>30</v>
      </c>
      <c r="G641" s="22" t="s">
        <v>25</v>
      </c>
      <c r="H641" s="3" t="str">
        <f>'Burger-F7-F8'!$G$3</f>
        <v>                                       burger</v>
      </c>
      <c r="I641" s="35" t="str">
        <f>'Burger-F7-F8'!B34</f>
        <v/>
      </c>
      <c r="J641" s="35" t="str">
        <f>'Burger-F7-F8'!C34</f>
        <v/>
      </c>
      <c r="K641" s="35" t="str">
        <f>'Burger-F7-F8'!D34</f>
        <v/>
      </c>
      <c r="L641" s="35" t="str">
        <f>'Burger-F7-F8'!E34</f>
        <v/>
      </c>
      <c r="M641" s="35" t="str">
        <f>'Burger-F7-F8'!F34</f>
        <v/>
      </c>
      <c r="N641" s="35" t="str">
        <f>'Burger-F7-F8'!G34</f>
        <v/>
      </c>
      <c r="O641" s="35" t="str">
        <f>'Burger-F7-F8'!H34</f>
        <v/>
      </c>
      <c r="P641" s="35" t="str">
        <f>'Burger-F7-F8'!I34</f>
        <v/>
      </c>
      <c r="Q641" s="35" t="str">
        <f>'Burger-F7-F8'!J34</f>
        <v/>
      </c>
      <c r="R641" s="35" t="str">
        <f>'Burger-F7-F8'!K34</f>
        <v/>
      </c>
      <c r="S641" s="35" t="str">
        <f>'Burger-F7-F8'!L34</f>
        <v/>
      </c>
      <c r="T641" s="35" t="str">
        <f>'Burger-F7-F8'!M34</f>
        <v/>
      </c>
      <c r="U641" s="35" t="str">
        <f>'Burger-F7-F8'!N34</f>
        <v/>
      </c>
      <c r="V641" s="35" t="str">
        <f>'Burger-F7-F8'!O34</f>
        <v/>
      </c>
      <c r="W641" s="35" t="str">
        <f>'Burger-F7-F8'!P34</f>
        <v/>
      </c>
      <c r="X641" s="35" t="str">
        <f>'Burger-F7-F8'!Q34</f>
        <v/>
      </c>
      <c r="Y641" s="1"/>
      <c r="Z641" s="1"/>
      <c r="AA641" s="1"/>
    </row>
    <row r="642">
      <c r="A642" s="1"/>
      <c r="B642" s="14">
        <f t="shared" si="12"/>
        <v>31</v>
      </c>
      <c r="C642" s="22" t="str">
        <f t="shared" si="1"/>
        <v>diciembre</v>
      </c>
      <c r="D642" s="22">
        <f t="shared" si="2"/>
        <v>52</v>
      </c>
      <c r="E642" s="23" t="str">
        <f t="shared" si="3"/>
        <v>sábado</v>
      </c>
      <c r="F642" s="22">
        <f t="shared" si="4"/>
        <v>30</v>
      </c>
      <c r="G642" s="22" t="s">
        <v>25</v>
      </c>
      <c r="H642" s="3" t="str">
        <f>'Burger-F7-F8'!$G$3</f>
        <v>                                       burger</v>
      </c>
      <c r="I642" s="35" t="str">
        <f>'Burger-F7-F8'!B35</f>
        <v/>
      </c>
      <c r="J642" s="35" t="str">
        <f>'Burger-F7-F8'!C35</f>
        <v/>
      </c>
      <c r="K642" s="35" t="str">
        <f>'Burger-F7-F8'!D35</f>
        <v/>
      </c>
      <c r="L642" s="35" t="str">
        <f>'Burger-F7-F8'!E35</f>
        <v/>
      </c>
      <c r="M642" s="35" t="str">
        <f>'Burger-F7-F8'!F35</f>
        <v/>
      </c>
      <c r="N642" s="35" t="str">
        <f>'Burger-F7-F8'!G35</f>
        <v/>
      </c>
      <c r="O642" s="35" t="str">
        <f>'Burger-F7-F8'!H35</f>
        <v/>
      </c>
      <c r="P642" s="35" t="str">
        <f>'Burger-F7-F8'!I35</f>
        <v/>
      </c>
      <c r="Q642" s="35" t="str">
        <f>'Burger-F7-F8'!J35</f>
        <v/>
      </c>
      <c r="R642" s="35" t="str">
        <f>'Burger-F7-F8'!K35</f>
        <v/>
      </c>
      <c r="S642" s="35" t="str">
        <f>'Burger-F7-F8'!L35</f>
        <v/>
      </c>
      <c r="T642" s="35" t="str">
        <f>'Burger-F7-F8'!M35</f>
        <v/>
      </c>
      <c r="U642" s="35" t="str">
        <f>'Burger-F7-F8'!N35</f>
        <v/>
      </c>
      <c r="V642" s="35" t="str">
        <f>'Burger-F7-F8'!O35</f>
        <v/>
      </c>
      <c r="W642" s="35" t="str">
        <f>'Burger-F7-F8'!P35</f>
        <v/>
      </c>
      <c r="X642" s="35" t="str">
        <f>'Burger-F7-F8'!Q35</f>
        <v/>
      </c>
      <c r="Y642" s="1"/>
      <c r="Z642" s="1"/>
      <c r="AA642" s="1"/>
    </row>
    <row r="643">
      <c r="A643" s="1"/>
      <c r="B643" s="14">
        <f t="shared" si="12"/>
        <v>32</v>
      </c>
      <c r="C643" s="22" t="str">
        <f t="shared" si="1"/>
        <v>enero</v>
      </c>
      <c r="D643" s="22">
        <f t="shared" si="2"/>
        <v>3</v>
      </c>
      <c r="E643" s="23" t="str">
        <f t="shared" si="3"/>
        <v>lunes</v>
      </c>
      <c r="F643" s="22">
        <f t="shared" si="4"/>
        <v>12</v>
      </c>
      <c r="G643" s="22" t="s">
        <v>25</v>
      </c>
      <c r="H643" s="3" t="str">
        <f>'Burger-F7-F8'!$G$3</f>
        <v>                                       burger</v>
      </c>
      <c r="I643" s="35">
        <f>'Burger-F7-F8'!B36</f>
        <v>46034</v>
      </c>
      <c r="J643" s="35" t="str">
        <f>'Burger-F7-F8'!C36</f>
        <v>Rimac</v>
      </c>
      <c r="K643" s="35" t="str">
        <f>'Burger-F7-F8'!D36</f>
        <v>Nataly Cristina Aparicio Perez</v>
      </c>
      <c r="L643" s="35" t="str">
        <f>'Burger-F7-F8'!E36</f>
        <v/>
      </c>
      <c r="M643" s="35" t="str">
        <f>'Burger-F7-F8'!F36</f>
        <v/>
      </c>
      <c r="N643" s="35" t="str">
        <f>'Burger-F7-F8'!G36</f>
        <v/>
      </c>
      <c r="O643" s="35" t="str">
        <f>'Burger-F7-F8'!H36</f>
        <v/>
      </c>
      <c r="P643" s="35" t="str">
        <f>'Burger-F7-F8'!I36</f>
        <v>x</v>
      </c>
      <c r="Q643" s="35">
        <f>'Burger-F7-F8'!J36</f>
        <v>150</v>
      </c>
      <c r="R643" s="35" t="str">
        <f>'Burger-F7-F8'!K36</f>
        <v/>
      </c>
      <c r="S643" s="35" t="str">
        <f>'Burger-F7-F8'!L36</f>
        <v>PAGO</v>
      </c>
      <c r="T643" s="35" t="str">
        <f>'Burger-F7-F8'!M36</f>
        <v>YAPE JL</v>
      </c>
      <c r="U643" s="35">
        <f>'Burger-F7-F8'!N36</f>
        <v>150</v>
      </c>
      <c r="V643" s="35" t="str">
        <f>'Burger-F7-F8'!O36</f>
        <v/>
      </c>
      <c r="W643" s="35" t="str">
        <f>'Burger-F7-F8'!P36</f>
        <v>Katherine</v>
      </c>
      <c r="X643" s="35">
        <f>'Burger-F7-F8'!Q36</f>
        <v>150</v>
      </c>
      <c r="Y643" s="1"/>
      <c r="Z643" s="1"/>
      <c r="AA643" s="1"/>
    </row>
    <row r="644">
      <c r="A644" s="1"/>
      <c r="B644" s="14">
        <f t="shared" si="12"/>
        <v>33</v>
      </c>
      <c r="C644" s="22" t="str">
        <f t="shared" si="1"/>
        <v>enero</v>
      </c>
      <c r="D644" s="22">
        <f t="shared" si="2"/>
        <v>3</v>
      </c>
      <c r="E644" s="23" t="str">
        <f t="shared" si="3"/>
        <v>lunes</v>
      </c>
      <c r="F644" s="22">
        <f t="shared" si="4"/>
        <v>12</v>
      </c>
      <c r="G644" s="22" t="s">
        <v>25</v>
      </c>
      <c r="H644" s="3" t="str">
        <f>'Burger-F7-F8'!$G$3</f>
        <v>                                       burger</v>
      </c>
      <c r="I644" s="35">
        <f>'Burger-F7-F8'!B37</f>
        <v>46034</v>
      </c>
      <c r="J644" s="35">
        <f>'Burger-F7-F8'!C37</f>
        <v>47915079</v>
      </c>
      <c r="K644" s="35" t="str">
        <f>'Burger-F7-F8'!D37</f>
        <v>JUAN CARLOS BORJA</v>
      </c>
      <c r="L644" s="35" t="str">
        <f>'Burger-F7-F8'!E37</f>
        <v>Jcarlos.borjah@gmail.com</v>
      </c>
      <c r="M644" s="35" t="str">
        <f>'Burger-F7-F8'!F37</f>
        <v>VILLA EL SALVADOR</v>
      </c>
      <c r="N644" s="35" t="str">
        <f>'Burger-F7-F8'!G37</f>
        <v>976 057 552</v>
      </c>
      <c r="O644" s="35" t="str">
        <f>'Burger-F7-F8'!H37</f>
        <v/>
      </c>
      <c r="P644" s="35" t="str">
        <f>'Burger-F7-F8'!I37</f>
        <v>X</v>
      </c>
      <c r="Q644" s="35" t="str">
        <f>'Burger-F7-F8'!J37</f>
        <v/>
      </c>
      <c r="R644" s="35" t="str">
        <f>'Burger-F7-F8'!K37</f>
        <v/>
      </c>
      <c r="S644" s="35" t="str">
        <f>'Burger-F7-F8'!L37</f>
        <v/>
      </c>
      <c r="T644" s="35" t="str">
        <f>'Burger-F7-F8'!M37</f>
        <v/>
      </c>
      <c r="U644" s="35">
        <f>'Burger-F7-F8'!N37</f>
        <v>0</v>
      </c>
      <c r="V644" s="35" t="str">
        <f>'Burger-F7-F8'!O37</f>
        <v/>
      </c>
      <c r="W644" s="35" t="str">
        <f>'Burger-F7-F8'!P37</f>
        <v>Greici</v>
      </c>
      <c r="X644" s="35">
        <f>'Burger-F7-F8'!Q37</f>
        <v>0</v>
      </c>
      <c r="Y644" s="1"/>
      <c r="Z644" s="1"/>
      <c r="AA644" s="1"/>
    </row>
    <row r="645">
      <c r="A645" s="1"/>
      <c r="B645" s="14">
        <f t="shared" si="12"/>
        <v>34</v>
      </c>
      <c r="C645" s="22" t="str">
        <f t="shared" si="1"/>
        <v>enero</v>
      </c>
      <c r="D645" s="22">
        <f t="shared" si="2"/>
        <v>3</v>
      </c>
      <c r="E645" s="23" t="str">
        <f t="shared" si="3"/>
        <v>lunes</v>
      </c>
      <c r="F645" s="22">
        <f t="shared" si="4"/>
        <v>12</v>
      </c>
      <c r="G645" s="22" t="s">
        <v>25</v>
      </c>
      <c r="H645" s="3" t="str">
        <f>'Burger-F7-F8'!$G$3</f>
        <v>                                       burger</v>
      </c>
      <c r="I645" s="35">
        <f>'Burger-F7-F8'!B38</f>
        <v>46034</v>
      </c>
      <c r="J645" s="35">
        <f>'Burger-F7-F8'!C38</f>
        <v>41151304</v>
      </c>
      <c r="K645" s="35" t="str">
        <f>'Burger-F7-F8'!D38</f>
        <v>Edwin Quichiz Bernal </v>
      </c>
      <c r="L645" s="35" t="str">
        <f>'Burger-F7-F8'!E38</f>
        <v>edwinquichiz@gmail.com</v>
      </c>
      <c r="M645" s="35" t="str">
        <f>'Burger-F7-F8'!F38</f>
        <v>HUACHO</v>
      </c>
      <c r="N645" s="35">
        <f>'Burger-F7-F8'!G38</f>
        <v>983849673</v>
      </c>
      <c r="O645" s="35" t="str">
        <f>'Burger-F7-F8'!H38</f>
        <v/>
      </c>
      <c r="P645" s="35" t="str">
        <f>'Burger-F7-F8'!I38</f>
        <v>X</v>
      </c>
      <c r="Q645" s="35">
        <f>'Burger-F7-F8'!J38</f>
        <v>140</v>
      </c>
      <c r="R645" s="35" t="str">
        <f>'Burger-F7-F8'!K38</f>
        <v/>
      </c>
      <c r="S645" s="35" t="str">
        <f>'Burger-F7-F8'!L38</f>
        <v>PAGO</v>
      </c>
      <c r="T645" s="35" t="str">
        <f>'Burger-F7-F8'!M38</f>
        <v>YAPE JL</v>
      </c>
      <c r="U645" s="35">
        <f>'Burger-F7-F8'!N38</f>
        <v>140</v>
      </c>
      <c r="V645" s="35" t="str">
        <f>'Burger-F7-F8'!O38</f>
        <v/>
      </c>
      <c r="W645" s="35" t="str">
        <f>'Burger-F7-F8'!P38</f>
        <v>Greici</v>
      </c>
      <c r="X645" s="35">
        <f>'Burger-F7-F8'!Q38</f>
        <v>140</v>
      </c>
      <c r="Y645" s="1"/>
      <c r="Z645" s="1"/>
      <c r="AA645" s="1"/>
    </row>
    <row r="646">
      <c r="A646" s="1"/>
      <c r="B646" s="14">
        <f t="shared" si="12"/>
        <v>35</v>
      </c>
      <c r="C646" s="22" t="str">
        <f t="shared" si="1"/>
        <v>enero</v>
      </c>
      <c r="D646" s="22">
        <f t="shared" si="2"/>
        <v>3</v>
      </c>
      <c r="E646" s="23" t="str">
        <f t="shared" si="3"/>
        <v>lunes</v>
      </c>
      <c r="F646" s="22">
        <f t="shared" si="4"/>
        <v>12</v>
      </c>
      <c r="G646" s="22" t="s">
        <v>25</v>
      </c>
      <c r="H646" s="3" t="str">
        <f>'Burger-F7-F8'!$G$3</f>
        <v>                                       burger</v>
      </c>
      <c r="I646" s="35">
        <f>'Burger-F7-F8'!B39</f>
        <v>46034</v>
      </c>
      <c r="J646" s="35">
        <f>'Burger-F7-F8'!C39</f>
        <v>43903012</v>
      </c>
      <c r="K646" s="35" t="str">
        <f>'Burger-F7-F8'!D39</f>
        <v>Fernando Quichiz Bernal </v>
      </c>
      <c r="L646" s="35" t="str">
        <f>'Burger-F7-F8'!E39</f>
        <v>Fernando4822@hotmail.com</v>
      </c>
      <c r="M646" s="35" t="str">
        <f>'Burger-F7-F8'!F39</f>
        <v>HUACHO</v>
      </c>
      <c r="N646" s="35">
        <f>'Burger-F7-F8'!G39</f>
        <v>983849673</v>
      </c>
      <c r="O646" s="35" t="str">
        <f>'Burger-F7-F8'!H39</f>
        <v/>
      </c>
      <c r="P646" s="35" t="str">
        <f>'Burger-F7-F8'!I39</f>
        <v>X</v>
      </c>
      <c r="Q646" s="35">
        <f>'Burger-F7-F8'!J39</f>
        <v>140</v>
      </c>
      <c r="R646" s="35" t="str">
        <f>'Burger-F7-F8'!K39</f>
        <v/>
      </c>
      <c r="S646" s="35" t="str">
        <f>'Burger-F7-F8'!L39</f>
        <v>PAGO</v>
      </c>
      <c r="T646" s="35" t="str">
        <f>'Burger-F7-F8'!M39</f>
        <v>YAPE JL</v>
      </c>
      <c r="U646" s="35">
        <f>'Burger-F7-F8'!N39</f>
        <v>140</v>
      </c>
      <c r="V646" s="35" t="str">
        <f>'Burger-F7-F8'!O39</f>
        <v/>
      </c>
      <c r="W646" s="35" t="str">
        <f>'Burger-F7-F8'!P39</f>
        <v>Greici</v>
      </c>
      <c r="X646" s="35">
        <f>'Burger-F7-F8'!Q39</f>
        <v>140</v>
      </c>
      <c r="Y646" s="1"/>
      <c r="Z646" s="1"/>
      <c r="AA646" s="1"/>
    </row>
    <row r="647">
      <c r="A647" s="1"/>
      <c r="B647" s="14">
        <f t="shared" si="12"/>
        <v>36</v>
      </c>
      <c r="C647" s="22" t="str">
        <f t="shared" si="1"/>
        <v>enero</v>
      </c>
      <c r="D647" s="22">
        <f t="shared" si="2"/>
        <v>3</v>
      </c>
      <c r="E647" s="23" t="str">
        <f t="shared" si="3"/>
        <v>lunes</v>
      </c>
      <c r="F647" s="22">
        <f t="shared" si="4"/>
        <v>12</v>
      </c>
      <c r="G647" s="22" t="s">
        <v>25</v>
      </c>
      <c r="H647" s="3" t="str">
        <f>'Burger-F7-F8'!$G$3</f>
        <v>                                       burger</v>
      </c>
      <c r="I647" s="35">
        <f>'Burger-F7-F8'!B40</f>
        <v>46034</v>
      </c>
      <c r="J647" s="35">
        <f>'Burger-F7-F8'!C40</f>
        <v>42333620</v>
      </c>
      <c r="K647" s="35" t="str">
        <f>'Burger-F7-F8'!D40</f>
        <v>Oscar Quichiz Bernal </v>
      </c>
      <c r="L647" s="37" t="str">
        <f>'Burger-F7-F8'!E40</f>
        <v>aosquibe@gmail.com</v>
      </c>
      <c r="M647" s="35" t="str">
        <f>'Burger-F7-F8'!F40</f>
        <v>HUACHO</v>
      </c>
      <c r="N647" s="35">
        <f>'Burger-F7-F8'!G40</f>
        <v>983849673</v>
      </c>
      <c r="O647" s="35" t="str">
        <f>'Burger-F7-F8'!H40</f>
        <v/>
      </c>
      <c r="P647" s="35" t="str">
        <f>'Burger-F7-F8'!I40</f>
        <v>X</v>
      </c>
      <c r="Q647" s="35">
        <f>'Burger-F7-F8'!J40</f>
        <v>140</v>
      </c>
      <c r="R647" s="35" t="str">
        <f>'Burger-F7-F8'!K40</f>
        <v/>
      </c>
      <c r="S647" s="35" t="str">
        <f>'Burger-F7-F8'!L40</f>
        <v>PAGO</v>
      </c>
      <c r="T647" s="35" t="str">
        <f>'Burger-F7-F8'!M40</f>
        <v>YAPE JL</v>
      </c>
      <c r="U647" s="35">
        <f>'Burger-F7-F8'!N40</f>
        <v>140</v>
      </c>
      <c r="V647" s="35" t="str">
        <f>'Burger-F7-F8'!O40</f>
        <v/>
      </c>
      <c r="W647" s="35" t="str">
        <f>'Burger-F7-F8'!P40</f>
        <v>Greici</v>
      </c>
      <c r="X647" s="35">
        <f>'Burger-F7-F8'!Q40</f>
        <v>140</v>
      </c>
      <c r="Y647" s="1"/>
      <c r="Z647" s="1"/>
      <c r="AA647" s="1"/>
    </row>
    <row r="648">
      <c r="A648" s="1"/>
      <c r="B648" s="14">
        <f t="shared" si="12"/>
        <v>37</v>
      </c>
      <c r="C648" s="22" t="str">
        <f t="shared" si="1"/>
        <v>enero</v>
      </c>
      <c r="D648" s="22">
        <f t="shared" si="2"/>
        <v>3</v>
      </c>
      <c r="E648" s="23" t="str">
        <f t="shared" si="3"/>
        <v>martes</v>
      </c>
      <c r="F648" s="22">
        <f t="shared" si="4"/>
        <v>13</v>
      </c>
      <c r="G648" s="22" t="s">
        <v>25</v>
      </c>
      <c r="H648" s="3" t="str">
        <f>'Burger-F7-F8'!$G$3</f>
        <v>                                       burger</v>
      </c>
      <c r="I648" s="35">
        <f>'Burger-F7-F8'!B41</f>
        <v>46035</v>
      </c>
      <c r="J648" s="35" t="str">
        <f>'Burger-F7-F8'!C41</f>
        <v>08202850</v>
      </c>
      <c r="K648" s="35" t="str">
        <f>'Burger-F7-F8'!D41</f>
        <v>Teófila Sánchez mellado  </v>
      </c>
      <c r="L648" s="35" t="str">
        <f>'Burger-F7-F8'!E41</f>
        <v/>
      </c>
      <c r="M648" s="35" t="str">
        <f>'Burger-F7-F8'!F41</f>
        <v>LURIN</v>
      </c>
      <c r="N648" s="35" t="str">
        <f>'Burger-F7-F8'!G41</f>
        <v>972 814 258</v>
      </c>
      <c r="O648" s="35" t="str">
        <f>'Burger-F7-F8'!H41</f>
        <v/>
      </c>
      <c r="P648" s="35" t="str">
        <f>'Burger-F7-F8'!I41</f>
        <v>X</v>
      </c>
      <c r="Q648" s="35">
        <f>'Burger-F7-F8'!J41</f>
        <v>150</v>
      </c>
      <c r="R648" s="35" t="str">
        <f>'Burger-F7-F8'!K41</f>
        <v/>
      </c>
      <c r="S648" s="35" t="str">
        <f>'Burger-F7-F8'!L41</f>
        <v>PAGO</v>
      </c>
      <c r="T648" s="35" t="str">
        <f>'Burger-F7-F8'!M41</f>
        <v>BCP EPP</v>
      </c>
      <c r="U648" s="35">
        <f>'Burger-F7-F8'!N41</f>
        <v>150</v>
      </c>
      <c r="V648" s="35" t="str">
        <f>'Burger-F7-F8'!O41</f>
        <v/>
      </c>
      <c r="W648" s="35" t="str">
        <f>'Burger-F7-F8'!P41</f>
        <v>Greici</v>
      </c>
      <c r="X648" s="35">
        <f>'Burger-F7-F8'!Q41</f>
        <v>150</v>
      </c>
      <c r="Y648" s="1"/>
      <c r="Z648" s="1"/>
      <c r="AA648" s="1"/>
    </row>
    <row r="649">
      <c r="A649" s="1"/>
      <c r="B649" s="14">
        <f t="shared" si="12"/>
        <v>38</v>
      </c>
      <c r="C649" s="22" t="str">
        <f t="shared" si="1"/>
        <v>enero</v>
      </c>
      <c r="D649" s="22">
        <f t="shared" si="2"/>
        <v>3</v>
      </c>
      <c r="E649" s="23" t="str">
        <f t="shared" si="3"/>
        <v>miércoles</v>
      </c>
      <c r="F649" s="22">
        <f t="shared" si="4"/>
        <v>14</v>
      </c>
      <c r="G649" s="22" t="s">
        <v>25</v>
      </c>
      <c r="H649" s="3" t="str">
        <f>'Burger-F7-F8'!$G$3</f>
        <v>                                       burger</v>
      </c>
      <c r="I649" s="35">
        <f>'Burger-F7-F8'!B42</f>
        <v>46036</v>
      </c>
      <c r="J649" s="35">
        <f>'Burger-F7-F8'!C42</f>
        <v>15607314737</v>
      </c>
      <c r="K649" s="35" t="str">
        <f>'Burger-F7-F8'!D42</f>
        <v>Jocsahel jose Valera morales</v>
      </c>
      <c r="L649" s="35" t="str">
        <f>'Burger-F7-F8'!E42</f>
        <v> jocsahel912@gmail.com</v>
      </c>
      <c r="M649" s="35" t="str">
        <f>'Burger-F7-F8'!F42</f>
        <v>ATE</v>
      </c>
      <c r="N649" s="35" t="str">
        <f>'Burger-F7-F8'!G42</f>
        <v>983 486 695</v>
      </c>
      <c r="O649" s="35" t="str">
        <f>'Burger-F7-F8'!H42</f>
        <v/>
      </c>
      <c r="P649" s="35" t="str">
        <f>'Burger-F7-F8'!I42</f>
        <v>X</v>
      </c>
      <c r="Q649" s="35">
        <f>'Burger-F7-F8'!J42</f>
        <v>62.5</v>
      </c>
      <c r="R649" s="35">
        <f>'Burger-F7-F8'!K42</f>
        <v>62.5</v>
      </c>
      <c r="S649" s="35" t="str">
        <f>'Burger-F7-F8'!L42</f>
        <v>COBR</v>
      </c>
      <c r="T649" s="35" t="str">
        <f>'Burger-F7-F8'!M42</f>
        <v>YAPE JL</v>
      </c>
      <c r="U649" s="35">
        <f>'Burger-F7-F8'!N42</f>
        <v>62.5</v>
      </c>
      <c r="V649" s="35">
        <f>'Burger-F7-F8'!O42</f>
        <v>62.5</v>
      </c>
      <c r="W649" s="35" t="str">
        <f>'Burger-F7-F8'!P42</f>
        <v>Greici</v>
      </c>
      <c r="X649" s="35">
        <f>'Burger-F7-F8'!Q42</f>
        <v>125</v>
      </c>
      <c r="Y649" s="1"/>
      <c r="Z649" s="1"/>
      <c r="AA649" s="1"/>
    </row>
    <row r="650">
      <c r="A650" s="1"/>
      <c r="B650" s="14">
        <f t="shared" si="12"/>
        <v>39</v>
      </c>
      <c r="C650" s="22" t="str">
        <f t="shared" si="1"/>
        <v>enero</v>
      </c>
      <c r="D650" s="22">
        <f t="shared" si="2"/>
        <v>3</v>
      </c>
      <c r="E650" s="23" t="str">
        <f t="shared" si="3"/>
        <v>miércoles</v>
      </c>
      <c r="F650" s="22">
        <f t="shared" si="4"/>
        <v>14</v>
      </c>
      <c r="G650" s="22" t="s">
        <v>25</v>
      </c>
      <c r="H650" s="3" t="str">
        <f>'Burger-F7-F8'!$G$3</f>
        <v>                                       burger</v>
      </c>
      <c r="I650" s="35">
        <f>'Burger-F7-F8'!B43</f>
        <v>46036</v>
      </c>
      <c r="J650" s="35" t="str">
        <f>'Burger-F7-F8'!C43</f>
        <v>007629170</v>
      </c>
      <c r="K650" s="35" t="str">
        <f>'Burger-F7-F8'!D43</f>
        <v>Jocsmar José Valera Osorio </v>
      </c>
      <c r="L650" s="35" t="str">
        <f>'Burger-F7-F8'!E43</f>
        <v>kosorio270876@gmail.com</v>
      </c>
      <c r="M650" s="35" t="str">
        <f>'Burger-F7-F8'!F43</f>
        <v>ATE</v>
      </c>
      <c r="N650" s="35" t="str">
        <f>'Burger-F7-F8'!G43</f>
        <v/>
      </c>
      <c r="O650" s="35" t="str">
        <f>'Burger-F7-F8'!H43</f>
        <v/>
      </c>
      <c r="P650" s="35" t="str">
        <f>'Burger-F7-F8'!I43</f>
        <v>X</v>
      </c>
      <c r="Q650" s="35">
        <f>'Burger-F7-F8'!J43</f>
        <v>62.5</v>
      </c>
      <c r="R650" s="35">
        <f>'Burger-F7-F8'!K43</f>
        <v>62.5</v>
      </c>
      <c r="S650" s="35" t="str">
        <f>'Burger-F7-F8'!L43</f>
        <v>COBR</v>
      </c>
      <c r="T650" s="35" t="str">
        <f>'Burger-F7-F8'!M43</f>
        <v>YAPE JL</v>
      </c>
      <c r="U650" s="35">
        <f>'Burger-F7-F8'!N43</f>
        <v>62.5</v>
      </c>
      <c r="V650" s="35">
        <f>'Burger-F7-F8'!O43</f>
        <v>62.5</v>
      </c>
      <c r="W650" s="35" t="str">
        <f>'Burger-F7-F8'!P43</f>
        <v>Greici</v>
      </c>
      <c r="X650" s="35">
        <f>'Burger-F7-F8'!Q43</f>
        <v>125</v>
      </c>
      <c r="Y650" s="1"/>
      <c r="Z650" s="1"/>
      <c r="AA650" s="1"/>
    </row>
    <row r="651">
      <c r="A651" s="1"/>
      <c r="B651" s="14">
        <f t="shared" si="12"/>
        <v>40</v>
      </c>
      <c r="C651" s="22" t="str">
        <f t="shared" si="1"/>
        <v>enero</v>
      </c>
      <c r="D651" s="22">
        <f t="shared" si="2"/>
        <v>3</v>
      </c>
      <c r="E651" s="23" t="str">
        <f t="shared" si="3"/>
        <v>miércoles</v>
      </c>
      <c r="F651" s="22">
        <f t="shared" si="4"/>
        <v>14</v>
      </c>
      <c r="G651" s="22" t="s">
        <v>25</v>
      </c>
      <c r="H651" s="3" t="str">
        <f>'Burger-F7-F8'!$G$3</f>
        <v>                                       burger</v>
      </c>
      <c r="I651" s="35">
        <f>'Burger-F7-F8'!B44</f>
        <v>46036</v>
      </c>
      <c r="J651" s="35">
        <f>'Burger-F7-F8'!C44</f>
        <v>72901811</v>
      </c>
      <c r="K651" s="35" t="str">
        <f>'Burger-F7-F8'!D44</f>
        <v>flor María esperanza Urtecho rabines </v>
      </c>
      <c r="L651" s="35" t="str">
        <f>'Burger-F7-F8'!E44</f>
        <v>esperanzah1994.flor@gmail.com</v>
      </c>
      <c r="M651" s="35" t="str">
        <f>'Burger-F7-F8'!F44</f>
        <v>ATE</v>
      </c>
      <c r="N651" s="35">
        <f>'Burger-F7-F8'!G44</f>
        <v>923894374</v>
      </c>
      <c r="O651" s="35" t="str">
        <f>'Burger-F7-F8'!H44</f>
        <v/>
      </c>
      <c r="P651" s="35" t="str">
        <f>'Burger-F7-F8'!I44</f>
        <v>X</v>
      </c>
      <c r="Q651" s="35">
        <f>'Burger-F7-F8'!J44</f>
        <v>140</v>
      </c>
      <c r="R651" s="35" t="str">
        <f>'Burger-F7-F8'!K44</f>
        <v/>
      </c>
      <c r="S651" s="35" t="str">
        <f>'Burger-F7-F8'!L44</f>
        <v>PAGO</v>
      </c>
      <c r="T651" s="35" t="str">
        <f>'Burger-F7-F8'!M44</f>
        <v>YAPE JL</v>
      </c>
      <c r="U651" s="35">
        <f>'Burger-F7-F8'!N44</f>
        <v>140</v>
      </c>
      <c r="V651" s="35" t="str">
        <f>'Burger-F7-F8'!O44</f>
        <v/>
      </c>
      <c r="W651" s="35" t="str">
        <f>'Burger-F7-F8'!P44</f>
        <v>Greici</v>
      </c>
      <c r="X651" s="35">
        <f>'Burger-F7-F8'!Q44</f>
        <v>140</v>
      </c>
      <c r="Y651" s="1"/>
      <c r="Z651" s="1"/>
      <c r="AA651" s="1"/>
    </row>
    <row r="652">
      <c r="A652" s="1"/>
      <c r="B652" s="14">
        <f t="shared" si="12"/>
        <v>41</v>
      </c>
      <c r="C652" s="22" t="str">
        <f t="shared" si="1"/>
        <v>diciembre</v>
      </c>
      <c r="D652" s="22">
        <f t="shared" si="2"/>
        <v>52</v>
      </c>
      <c r="E652" s="23" t="str">
        <f t="shared" si="3"/>
        <v>lunes</v>
      </c>
      <c r="F652" s="22">
        <f t="shared" si="4"/>
        <v>22</v>
      </c>
      <c r="G652" s="22" t="s">
        <v>25</v>
      </c>
      <c r="H652" s="3" t="str">
        <f>'Burger-F7-F8'!$G$3</f>
        <v>                                       burger</v>
      </c>
      <c r="I652" s="35">
        <f>'Burger-F7-F8'!B45</f>
        <v>46013</v>
      </c>
      <c r="J652" s="35">
        <f>'Burger-F7-F8'!C45</f>
        <v>10619586</v>
      </c>
      <c r="K652" s="35" t="str">
        <f>'Burger-F7-F8'!D45</f>
        <v>Marleny Juipa Quiñónez </v>
      </c>
      <c r="L652" s="35" t="str">
        <f>'Burger-F7-F8'!E45</f>
        <v> ma46ju@gmail.com</v>
      </c>
      <c r="M652" s="35" t="str">
        <f>'Burger-F7-F8'!F45</f>
        <v>SMP</v>
      </c>
      <c r="N652" s="35" t="str">
        <f>'Burger-F7-F8'!G45</f>
        <v>922 835 447</v>
      </c>
      <c r="O652" s="35" t="str">
        <f>'Burger-F7-F8'!H45</f>
        <v/>
      </c>
      <c r="P652" s="35" t="str">
        <f>'Burger-F7-F8'!I45</f>
        <v>X</v>
      </c>
      <c r="Q652" s="35">
        <f>'Burger-F7-F8'!J45</f>
        <v>0</v>
      </c>
      <c r="R652" s="35">
        <f>'Burger-F7-F8'!K45</f>
        <v>75</v>
      </c>
      <c r="S652" s="35" t="str">
        <f>'Burger-F7-F8'!L45</f>
        <v>COBR</v>
      </c>
      <c r="T652" s="35" t="str">
        <f>'Burger-F7-F8'!M45</f>
        <v>YAPE JL</v>
      </c>
      <c r="U652" s="35">
        <f>'Burger-F7-F8'!N45</f>
        <v>0</v>
      </c>
      <c r="V652" s="35">
        <f>'Burger-F7-F8'!O45</f>
        <v>75</v>
      </c>
      <c r="W652" s="35" t="str">
        <f>'Burger-F7-F8'!P45</f>
        <v>Yadhira</v>
      </c>
      <c r="X652" s="35">
        <f>'Burger-F7-F8'!Q45</f>
        <v>75</v>
      </c>
      <c r="Y652" s="1"/>
      <c r="Z652" s="1"/>
      <c r="AA652" s="1"/>
    </row>
    <row r="653">
      <c r="A653" s="1"/>
      <c r="B653" s="14">
        <f t="shared" si="12"/>
        <v>42</v>
      </c>
      <c r="C653" s="22" t="str">
        <f t="shared" si="1"/>
        <v>enero</v>
      </c>
      <c r="D653" s="22">
        <f t="shared" si="2"/>
        <v>3</v>
      </c>
      <c r="E653" s="23" t="str">
        <f t="shared" si="3"/>
        <v>miércoles</v>
      </c>
      <c r="F653" s="22">
        <f t="shared" si="4"/>
        <v>14</v>
      </c>
      <c r="G653" s="22" t="s">
        <v>25</v>
      </c>
      <c r="H653" s="3" t="str">
        <f>'Burger-F7-F8'!$G$3</f>
        <v>                                       burger</v>
      </c>
      <c r="I653" s="35">
        <f>'Burger-F7-F8'!B46</f>
        <v>46036</v>
      </c>
      <c r="J653" s="35">
        <f>'Burger-F7-F8'!C46</f>
        <v>28316449</v>
      </c>
      <c r="K653" s="35" t="str">
        <f>'Burger-F7-F8'!D46</f>
        <v> Almonacid Lujan shonin</v>
      </c>
      <c r="L653" s="35" t="str">
        <f>'Burger-F7-F8'!E46</f>
        <v/>
      </c>
      <c r="M653" s="35" t="str">
        <f>'Burger-F7-F8'!F46</f>
        <v>RIMAC</v>
      </c>
      <c r="N653" s="35" t="str">
        <f>'Burger-F7-F8'!G46</f>
        <v>907 531 070</v>
      </c>
      <c r="O653" s="35" t="str">
        <f>'Burger-F7-F8'!H46</f>
        <v/>
      </c>
      <c r="P653" s="35" t="str">
        <f>'Burger-F7-F8'!I46</f>
        <v>X</v>
      </c>
      <c r="Q653" s="35">
        <f>'Burger-F7-F8'!J46</f>
        <v>50</v>
      </c>
      <c r="R653" s="35">
        <f>'Burger-F7-F8'!K46</f>
        <v>90</v>
      </c>
      <c r="S653" s="35" t="str">
        <f>'Burger-F7-F8'!L46</f>
        <v>COBR</v>
      </c>
      <c r="T653" s="35" t="str">
        <f>'Burger-F7-F8'!M46</f>
        <v>YAPE JL</v>
      </c>
      <c r="U653" s="35">
        <f>'Burger-F7-F8'!N46</f>
        <v>50</v>
      </c>
      <c r="V653" s="35">
        <f>'Burger-F7-F8'!O46</f>
        <v>0</v>
      </c>
      <c r="W653" s="35" t="str">
        <f>'Burger-F7-F8'!P46</f>
        <v>Greici</v>
      </c>
      <c r="X653" s="35">
        <f>'Burger-F7-F8'!Q46</f>
        <v>50</v>
      </c>
      <c r="Y653" s="1"/>
      <c r="Z653" s="1"/>
      <c r="AA653" s="1"/>
    </row>
    <row r="654">
      <c r="A654" s="1"/>
      <c r="B654" s="14">
        <f t="shared" si="12"/>
        <v>43</v>
      </c>
      <c r="C654" s="22" t="str">
        <f t="shared" si="1"/>
        <v>enero</v>
      </c>
      <c r="D654" s="22">
        <f t="shared" si="2"/>
        <v>3</v>
      </c>
      <c r="E654" s="23" t="str">
        <f t="shared" si="3"/>
        <v>miércoles</v>
      </c>
      <c r="F654" s="22">
        <f t="shared" si="4"/>
        <v>14</v>
      </c>
      <c r="G654" s="22" t="s">
        <v>25</v>
      </c>
      <c r="H654" s="3" t="str">
        <f>'Burger-F7-F8'!$G$3</f>
        <v>                                       burger</v>
      </c>
      <c r="I654" s="35">
        <f>'Burger-F7-F8'!B47</f>
        <v>46036</v>
      </c>
      <c r="J654" s="35">
        <f>'Burger-F7-F8'!C47</f>
        <v>76601657</v>
      </c>
      <c r="K654" s="35" t="str">
        <f>'Burger-F7-F8'!D47</f>
        <v>Anthony Giancarlos rios agesto</v>
      </c>
      <c r="L654" s="36" t="str">
        <f>'Burger-F7-F8'!E47</f>
        <v>gian.agesto.tkm@gmail.com</v>
      </c>
      <c r="M654" s="35" t="str">
        <f>'Burger-F7-F8'!F47</f>
        <v>Huacho </v>
      </c>
      <c r="N654" s="35" t="str">
        <f>'Burger-F7-F8'!G47</f>
        <v/>
      </c>
      <c r="O654" s="35" t="str">
        <f>'Burger-F7-F8'!H47</f>
        <v/>
      </c>
      <c r="P654" s="35" t="str">
        <f>'Burger-F7-F8'!I47</f>
        <v>x</v>
      </c>
      <c r="Q654" s="35">
        <f>'Burger-F7-F8'!J47</f>
        <v>150</v>
      </c>
      <c r="R654" s="35" t="str">
        <f>'Burger-F7-F8'!K47</f>
        <v/>
      </c>
      <c r="S654" s="35" t="str">
        <f>'Burger-F7-F8'!L47</f>
        <v/>
      </c>
      <c r="T654" s="35" t="str">
        <f>'Burger-F7-F8'!M47</f>
        <v/>
      </c>
      <c r="U654" s="35">
        <f>'Burger-F7-F8'!N47</f>
        <v>150</v>
      </c>
      <c r="V654" s="35" t="str">
        <f>'Burger-F7-F8'!O47</f>
        <v/>
      </c>
      <c r="W654" s="35" t="str">
        <f>'Burger-F7-F8'!P47</f>
        <v>Gabriela</v>
      </c>
      <c r="X654" s="35">
        <f>'Burger-F7-F8'!Q47</f>
        <v>150</v>
      </c>
      <c r="Y654" s="1"/>
      <c r="Z654" s="1"/>
      <c r="AA654" s="1"/>
    </row>
    <row r="655">
      <c r="A655" s="1"/>
      <c r="B655" s="14">
        <f t="shared" si="12"/>
        <v>44</v>
      </c>
      <c r="C655" s="22" t="str">
        <f t="shared" si="1"/>
        <v>enero</v>
      </c>
      <c r="D655" s="22">
        <f t="shared" si="2"/>
        <v>3</v>
      </c>
      <c r="E655" s="23" t="str">
        <f t="shared" si="3"/>
        <v>viernes</v>
      </c>
      <c r="F655" s="22">
        <f t="shared" si="4"/>
        <v>16</v>
      </c>
      <c r="G655" s="22" t="s">
        <v>25</v>
      </c>
      <c r="H655" s="3" t="str">
        <f>'Burger-F7-F8'!$G$3</f>
        <v>                                       burger</v>
      </c>
      <c r="I655" s="35">
        <f>'Burger-F7-F8'!B48</f>
        <v>46038</v>
      </c>
      <c r="J655" s="35">
        <f>'Burger-F7-F8'!C48</f>
        <v>76799413</v>
      </c>
      <c r="K655" s="35" t="str">
        <f>'Burger-F7-F8'!D48</f>
        <v>Gerson Alejandro Nogueyra Saldarriaga</v>
      </c>
      <c r="L655" s="35" t="str">
        <f>'Burger-F7-F8'!E48</f>
        <v>ng.producciones.art@gmail.com</v>
      </c>
      <c r="M655" s="35" t="str">
        <f>'Burger-F7-F8'!F48</f>
        <v>CALLAO</v>
      </c>
      <c r="N655" s="35" t="str">
        <f>'Burger-F7-F8'!G48</f>
        <v>923 677 984</v>
      </c>
      <c r="O655" s="35" t="str">
        <f>'Burger-F7-F8'!H48</f>
        <v/>
      </c>
      <c r="P655" s="35" t="str">
        <f>'Burger-F7-F8'!I48</f>
        <v>X</v>
      </c>
      <c r="Q655" s="35">
        <f>'Burger-F7-F8'!J48</f>
        <v>0</v>
      </c>
      <c r="R655" s="35" t="str">
        <f>'Burger-F7-F8'!K48</f>
        <v/>
      </c>
      <c r="S655" s="35" t="str">
        <f>'Burger-F7-F8'!L48</f>
        <v/>
      </c>
      <c r="T655" s="35" t="str">
        <f>'Burger-F7-F8'!M48</f>
        <v/>
      </c>
      <c r="U655" s="35">
        <f>'Burger-F7-F8'!N48</f>
        <v>0</v>
      </c>
      <c r="V655" s="35" t="str">
        <f>'Burger-F7-F8'!O48</f>
        <v/>
      </c>
      <c r="W655" s="35" t="str">
        <f>'Burger-F7-F8'!P48</f>
        <v>Yadhira</v>
      </c>
      <c r="X655" s="35">
        <f>'Burger-F7-F8'!Q48</f>
        <v>0</v>
      </c>
      <c r="Y655" s="1"/>
      <c r="Z655" s="1"/>
      <c r="AA655" s="1"/>
    </row>
    <row r="656">
      <c r="A656" s="1"/>
      <c r="B656" s="14">
        <f t="shared" si="12"/>
        <v>45</v>
      </c>
      <c r="C656" s="22" t="str">
        <f t="shared" si="1"/>
        <v>enero</v>
      </c>
      <c r="D656" s="22">
        <f t="shared" si="2"/>
        <v>3</v>
      </c>
      <c r="E656" s="23" t="str">
        <f t="shared" si="3"/>
        <v>viernes</v>
      </c>
      <c r="F656" s="22">
        <f t="shared" si="4"/>
        <v>16</v>
      </c>
      <c r="G656" s="22" t="s">
        <v>25</v>
      </c>
      <c r="H656" s="3" t="str">
        <f>'Burger-F7-F8'!$G$3</f>
        <v>                                       burger</v>
      </c>
      <c r="I656" s="35">
        <f>'Burger-F7-F8'!B49</f>
        <v>46038</v>
      </c>
      <c r="J656" s="35" t="str">
        <f>'Burger-F7-F8'!C49</f>
        <v/>
      </c>
      <c r="K656" s="35" t="str">
        <f>'Burger-F7-F8'!D49</f>
        <v>Janet Quincho Ruiz</v>
      </c>
      <c r="L656" s="35" t="str">
        <f>'Burger-F7-F8'!E49</f>
        <v/>
      </c>
      <c r="M656" s="35" t="str">
        <f>'Burger-F7-F8'!F49</f>
        <v/>
      </c>
      <c r="N656" s="35" t="str">
        <f>'Burger-F7-F8'!G49</f>
        <v/>
      </c>
      <c r="O656" s="35" t="str">
        <f>'Burger-F7-F8'!H49</f>
        <v/>
      </c>
      <c r="P656" s="35" t="str">
        <f>'Burger-F7-F8'!I49</f>
        <v>x</v>
      </c>
      <c r="Q656" s="35">
        <f>'Burger-F7-F8'!J49</f>
        <v>70</v>
      </c>
      <c r="R656" s="35">
        <f>'Burger-F7-F8'!K49</f>
        <v>70</v>
      </c>
      <c r="S656" s="35" t="str">
        <f>'Burger-F7-F8'!L49</f>
        <v>COBR</v>
      </c>
      <c r="T656" s="35" t="str">
        <f>'Burger-F7-F8'!M49</f>
        <v>YAPE JL</v>
      </c>
      <c r="U656" s="35">
        <f>'Burger-F7-F8'!N49</f>
        <v>70</v>
      </c>
      <c r="V656" s="35">
        <f>'Burger-F7-F8'!O49</f>
        <v>70</v>
      </c>
      <c r="W656" s="35" t="str">
        <f>'Burger-F7-F8'!P49</f>
        <v>Katherine</v>
      </c>
      <c r="X656" s="35">
        <f>'Burger-F7-F8'!Q49</f>
        <v>140</v>
      </c>
      <c r="Y656" s="1"/>
      <c r="Z656" s="1"/>
      <c r="AA656" s="1"/>
    </row>
    <row r="657">
      <c r="A657" s="1"/>
      <c r="B657" s="14">
        <f t="shared" si="12"/>
        <v>46</v>
      </c>
      <c r="C657" s="22" t="str">
        <f t="shared" si="1"/>
        <v>enero</v>
      </c>
      <c r="D657" s="22">
        <f t="shared" si="2"/>
        <v>3</v>
      </c>
      <c r="E657" s="23" t="str">
        <f t="shared" si="3"/>
        <v>viernes</v>
      </c>
      <c r="F657" s="22">
        <f t="shared" si="4"/>
        <v>16</v>
      </c>
      <c r="G657" s="22" t="s">
        <v>25</v>
      </c>
      <c r="H657" s="3" t="str">
        <f>'Burger-F7-F8'!$G$3</f>
        <v>                                       burger</v>
      </c>
      <c r="I657" s="35">
        <f>'Burger-F7-F8'!B50</f>
        <v>46038</v>
      </c>
      <c r="J657" s="35" t="str">
        <f>'Burger-F7-F8'!C50</f>
        <v/>
      </c>
      <c r="K657" s="35" t="str">
        <f>'Burger-F7-F8'!D50</f>
        <v>Gloria Stefany Garcia López</v>
      </c>
      <c r="L657" s="35" t="str">
        <f>'Burger-F7-F8'!E50</f>
        <v/>
      </c>
      <c r="M657" s="35" t="str">
        <f>'Burger-F7-F8'!F50</f>
        <v/>
      </c>
      <c r="N657" s="35" t="str">
        <f>'Burger-F7-F8'!G50</f>
        <v/>
      </c>
      <c r="O657" s="35" t="str">
        <f>'Burger-F7-F8'!H50</f>
        <v/>
      </c>
      <c r="P657" s="35" t="str">
        <f>'Burger-F7-F8'!I50</f>
        <v>x</v>
      </c>
      <c r="Q657" s="35">
        <f>'Burger-F7-F8'!J50</f>
        <v>75</v>
      </c>
      <c r="R657" s="35">
        <f>'Burger-F7-F8'!K50</f>
        <v>75</v>
      </c>
      <c r="S657" s="35" t="str">
        <f>'Burger-F7-F8'!L50</f>
        <v>COBR</v>
      </c>
      <c r="T657" s="35" t="str">
        <f>'Burger-F7-F8'!M50</f>
        <v>YAPE JL</v>
      </c>
      <c r="U657" s="35">
        <f>'Burger-F7-F8'!N50</f>
        <v>75</v>
      </c>
      <c r="V657" s="35">
        <f>'Burger-F7-F8'!O50</f>
        <v>0</v>
      </c>
      <c r="W657" s="35" t="str">
        <f>'Burger-F7-F8'!P50</f>
        <v>Katherine</v>
      </c>
      <c r="X657" s="35">
        <f>'Burger-F7-F8'!Q50</f>
        <v>75</v>
      </c>
      <c r="Y657" s="1"/>
      <c r="Z657" s="1"/>
      <c r="AA657" s="1"/>
    </row>
    <row r="658">
      <c r="A658" s="1"/>
      <c r="B658" s="14">
        <f t="shared" si="12"/>
        <v>47</v>
      </c>
      <c r="C658" s="22" t="str">
        <f t="shared" si="1"/>
        <v>enero</v>
      </c>
      <c r="D658" s="22">
        <f t="shared" si="2"/>
        <v>3</v>
      </c>
      <c r="E658" s="23" t="str">
        <f t="shared" si="3"/>
        <v>viernes</v>
      </c>
      <c r="F658" s="22">
        <f t="shared" si="4"/>
        <v>16</v>
      </c>
      <c r="G658" s="22" t="s">
        <v>25</v>
      </c>
      <c r="H658" s="3" t="str">
        <f>'Burger-F7-F8'!$G$3</f>
        <v>                                       burger</v>
      </c>
      <c r="I658" s="35">
        <f>'Burger-F7-F8'!B51</f>
        <v>46038</v>
      </c>
      <c r="J658" s="35" t="str">
        <f>'Burger-F7-F8'!C51</f>
        <v/>
      </c>
      <c r="K658" s="35" t="str">
        <f>'Burger-F7-F8'!D51</f>
        <v>JEAN CARLOS CARDENAS CALMA</v>
      </c>
      <c r="L658" s="35" t="str">
        <f>'Burger-F7-F8'!E51</f>
        <v/>
      </c>
      <c r="M658" s="35" t="str">
        <f>'Burger-F7-F8'!F51</f>
        <v/>
      </c>
      <c r="N658" s="35" t="str">
        <f>'Burger-F7-F8'!G51</f>
        <v/>
      </c>
      <c r="O658" s="35" t="str">
        <f>'Burger-F7-F8'!H51</f>
        <v/>
      </c>
      <c r="P658" s="35" t="str">
        <f>'Burger-F7-F8'!I51</f>
        <v>x</v>
      </c>
      <c r="Q658" s="35">
        <f>'Burger-F7-F8'!J51</f>
        <v>140</v>
      </c>
      <c r="R658" s="35" t="str">
        <f>'Burger-F7-F8'!K51</f>
        <v/>
      </c>
      <c r="S658" s="35" t="str">
        <f>'Burger-F7-F8'!L51</f>
        <v>PAGO</v>
      </c>
      <c r="T658" s="35" t="str">
        <f>'Burger-F7-F8'!M51</f>
        <v>YAPE JL</v>
      </c>
      <c r="U658" s="35">
        <f>'Burger-F7-F8'!N51</f>
        <v>140</v>
      </c>
      <c r="V658" s="35" t="str">
        <f>'Burger-F7-F8'!O51</f>
        <v/>
      </c>
      <c r="W658" s="35" t="str">
        <f>'Burger-F7-F8'!P51</f>
        <v>Katherine</v>
      </c>
      <c r="X658" s="35">
        <f>'Burger-F7-F8'!Q51</f>
        <v>140</v>
      </c>
      <c r="Y658" s="1"/>
      <c r="Z658" s="1"/>
      <c r="AA658" s="1"/>
    </row>
    <row r="659">
      <c r="A659" s="1"/>
      <c r="B659" s="14">
        <f t="shared" si="12"/>
        <v>48</v>
      </c>
      <c r="C659" s="22" t="str">
        <f t="shared" si="1"/>
        <v>diciembre</v>
      </c>
      <c r="D659" s="22">
        <f t="shared" si="2"/>
        <v>52</v>
      </c>
      <c r="E659" s="23" t="str">
        <f t="shared" si="3"/>
        <v>sábado</v>
      </c>
      <c r="F659" s="22">
        <f t="shared" si="4"/>
        <v>30</v>
      </c>
      <c r="G659" s="22" t="s">
        <v>25</v>
      </c>
      <c r="H659" s="3" t="str">
        <f>'Burger-F7-F8'!$G$3</f>
        <v>                                       burger</v>
      </c>
      <c r="I659" s="35" t="str">
        <f>'Burger-F7-F8'!B52</f>
        <v/>
      </c>
      <c r="J659" s="35" t="str">
        <f>'Burger-F7-F8'!C52</f>
        <v/>
      </c>
      <c r="K659" s="35" t="str">
        <f>'Burger-F7-F8'!D52</f>
        <v/>
      </c>
      <c r="L659" s="35" t="str">
        <f>'Burger-F7-F8'!E52</f>
        <v/>
      </c>
      <c r="M659" s="35" t="str">
        <f>'Burger-F7-F8'!F52</f>
        <v/>
      </c>
      <c r="N659" s="35" t="str">
        <f>'Burger-F7-F8'!G52</f>
        <v/>
      </c>
      <c r="O659" s="35" t="str">
        <f>'Burger-F7-F8'!H52</f>
        <v/>
      </c>
      <c r="P659" s="35" t="str">
        <f>'Burger-F7-F8'!I52</f>
        <v/>
      </c>
      <c r="Q659" s="35" t="str">
        <f>'Burger-F7-F8'!J52</f>
        <v/>
      </c>
      <c r="R659" s="35" t="str">
        <f>'Burger-F7-F8'!K52</f>
        <v/>
      </c>
      <c r="S659" s="35" t="str">
        <f>'Burger-F7-F8'!L52</f>
        <v/>
      </c>
      <c r="T659" s="35" t="str">
        <f>'Burger-F7-F8'!M52</f>
        <v/>
      </c>
      <c r="U659" s="35" t="str">
        <f>'Burger-F7-F8'!N52</f>
        <v/>
      </c>
      <c r="V659" s="35" t="str">
        <f>'Burger-F7-F8'!O52</f>
        <v/>
      </c>
      <c r="W659" s="35" t="str">
        <f>'Burger-F7-F8'!P52</f>
        <v/>
      </c>
      <c r="X659" s="35">
        <f>'Burger-F7-F8'!Q52</f>
        <v>0</v>
      </c>
      <c r="Y659" s="1"/>
      <c r="Z659" s="1"/>
      <c r="AA659" s="1"/>
    </row>
    <row r="660">
      <c r="A660" s="1"/>
      <c r="B660" s="14">
        <f t="shared" si="12"/>
        <v>49</v>
      </c>
      <c r="C660" s="22" t="str">
        <f t="shared" si="1"/>
        <v>diciembre</v>
      </c>
      <c r="D660" s="22">
        <f t="shared" si="2"/>
        <v>52</v>
      </c>
      <c r="E660" s="23" t="str">
        <f t="shared" si="3"/>
        <v>sábado</v>
      </c>
      <c r="F660" s="22">
        <f t="shared" si="4"/>
        <v>30</v>
      </c>
      <c r="G660" s="22" t="s">
        <v>25</v>
      </c>
      <c r="H660" s="3" t="str">
        <f>'Burger-F7-F8'!$G$3</f>
        <v>                                       burger</v>
      </c>
      <c r="I660" s="35" t="str">
        <f>'Burger-F7-F8'!B53</f>
        <v/>
      </c>
      <c r="J660" s="35" t="str">
        <f>'Burger-F7-F8'!C53</f>
        <v/>
      </c>
      <c r="K660" s="35" t="str">
        <f>'Burger-F7-F8'!D53</f>
        <v/>
      </c>
      <c r="L660" s="35" t="str">
        <f>'Burger-F7-F8'!E53</f>
        <v/>
      </c>
      <c r="M660" s="35" t="str">
        <f>'Burger-F7-F8'!F53</f>
        <v/>
      </c>
      <c r="N660" s="35" t="str">
        <f>'Burger-F7-F8'!G53</f>
        <v/>
      </c>
      <c r="O660" s="35" t="str">
        <f>'Burger-F7-F8'!H53</f>
        <v/>
      </c>
      <c r="P660" s="35" t="str">
        <f>'Burger-F7-F8'!I53</f>
        <v/>
      </c>
      <c r="Q660" s="35" t="str">
        <f>'Burger-F7-F8'!J53</f>
        <v/>
      </c>
      <c r="R660" s="35" t="str">
        <f>'Burger-F7-F8'!K53</f>
        <v/>
      </c>
      <c r="S660" s="35" t="str">
        <f>'Burger-F7-F8'!L53</f>
        <v/>
      </c>
      <c r="T660" s="35" t="str">
        <f>'Burger-F7-F8'!M53</f>
        <v/>
      </c>
      <c r="U660" s="35" t="str">
        <f>'Burger-F7-F8'!N53</f>
        <v/>
      </c>
      <c r="V660" s="35" t="str">
        <f>'Burger-F7-F8'!O53</f>
        <v/>
      </c>
      <c r="W660" s="35" t="str">
        <f>'Burger-F7-F8'!P53</f>
        <v/>
      </c>
      <c r="X660" s="35">
        <f>'Burger-F7-F8'!Q53</f>
        <v>0</v>
      </c>
      <c r="Y660" s="1"/>
      <c r="Z660" s="1"/>
      <c r="AA660" s="1"/>
    </row>
    <row r="661">
      <c r="A661" s="1"/>
      <c r="B661" s="14">
        <f t="shared" si="12"/>
        <v>50</v>
      </c>
      <c r="C661" s="22" t="str">
        <f t="shared" si="1"/>
        <v>diciembre</v>
      </c>
      <c r="D661" s="22">
        <f t="shared" si="2"/>
        <v>52</v>
      </c>
      <c r="E661" s="23" t="str">
        <f t="shared" si="3"/>
        <v>sábado</v>
      </c>
      <c r="F661" s="22">
        <f t="shared" si="4"/>
        <v>30</v>
      </c>
      <c r="G661" s="22" t="s">
        <v>25</v>
      </c>
      <c r="H661" s="3" t="str">
        <f>'Burger-F7-F8'!$G$3</f>
        <v>                                       burger</v>
      </c>
      <c r="I661" s="35" t="str">
        <f>'Burger-F7-F8'!B54</f>
        <v/>
      </c>
      <c r="J661" s="35" t="str">
        <f>'Burger-F7-F8'!C54</f>
        <v/>
      </c>
      <c r="K661" s="35" t="str">
        <f>'Burger-F7-F8'!D54</f>
        <v/>
      </c>
      <c r="L661" s="35" t="str">
        <f>'Burger-F7-F8'!E54</f>
        <v/>
      </c>
      <c r="M661" s="35" t="str">
        <f>'Burger-F7-F8'!F54</f>
        <v/>
      </c>
      <c r="N661" s="35" t="str">
        <f>'Burger-F7-F8'!G54</f>
        <v/>
      </c>
      <c r="O661" s="35" t="str">
        <f>'Burger-F7-F8'!H54</f>
        <v/>
      </c>
      <c r="P661" s="35" t="str">
        <f>'Burger-F7-F8'!I54</f>
        <v/>
      </c>
      <c r="Q661" s="35" t="str">
        <f>'Burger-F7-F8'!J54</f>
        <v/>
      </c>
      <c r="R661" s="35" t="str">
        <f>'Burger-F7-F8'!K54</f>
        <v/>
      </c>
      <c r="S661" s="35" t="str">
        <f>'Burger-F7-F8'!L54</f>
        <v/>
      </c>
      <c r="T661" s="35" t="str">
        <f>'Burger-F7-F8'!M54</f>
        <v/>
      </c>
      <c r="U661" s="35" t="str">
        <f>'Burger-F7-F8'!N54</f>
        <v/>
      </c>
      <c r="V661" s="35" t="str">
        <f>'Burger-F7-F8'!O54</f>
        <v/>
      </c>
      <c r="W661" s="35" t="str">
        <f>'Burger-F7-F8'!P54</f>
        <v/>
      </c>
      <c r="X661" s="35">
        <f>'Burger-F7-F8'!Q54</f>
        <v>0</v>
      </c>
      <c r="Y661" s="1"/>
      <c r="Z661" s="1"/>
      <c r="AA661" s="1"/>
    </row>
    <row r="662">
      <c r="A662" s="1"/>
      <c r="B662" s="14">
        <f t="shared" si="12"/>
        <v>51</v>
      </c>
      <c r="C662" s="22" t="str">
        <f t="shared" si="1"/>
        <v>diciembre</v>
      </c>
      <c r="D662" s="22">
        <f t="shared" si="2"/>
        <v>52</v>
      </c>
      <c r="E662" s="23" t="str">
        <f t="shared" si="3"/>
        <v>sábado</v>
      </c>
      <c r="F662" s="22">
        <f t="shared" si="4"/>
        <v>30</v>
      </c>
      <c r="G662" s="22" t="s">
        <v>25</v>
      </c>
      <c r="H662" s="3" t="str">
        <f>'Burger-F7-F8'!$G$3</f>
        <v>                                       burger</v>
      </c>
      <c r="I662" s="35" t="str">
        <f>'Burger-F7-F8'!B55</f>
        <v/>
      </c>
      <c r="J662" s="35" t="str">
        <f>'Burger-F7-F8'!C55</f>
        <v/>
      </c>
      <c r="K662" s="35" t="str">
        <f>'Burger-F7-F8'!D55</f>
        <v/>
      </c>
      <c r="L662" s="35" t="str">
        <f>'Burger-F7-F8'!E55</f>
        <v/>
      </c>
      <c r="M662" s="35" t="str">
        <f>'Burger-F7-F8'!F55</f>
        <v/>
      </c>
      <c r="N662" s="35" t="str">
        <f>'Burger-F7-F8'!G55</f>
        <v/>
      </c>
      <c r="O662" s="35" t="str">
        <f>'Burger-F7-F8'!H55</f>
        <v/>
      </c>
      <c r="P662" s="35" t="str">
        <f>'Burger-F7-F8'!I55</f>
        <v/>
      </c>
      <c r="Q662" s="35" t="str">
        <f>'Burger-F7-F8'!J55</f>
        <v/>
      </c>
      <c r="R662" s="35" t="str">
        <f>'Burger-F7-F8'!K55</f>
        <v/>
      </c>
      <c r="S662" s="35" t="str">
        <f>'Burger-F7-F8'!L55</f>
        <v/>
      </c>
      <c r="T662" s="35" t="str">
        <f>'Burger-F7-F8'!M55</f>
        <v/>
      </c>
      <c r="U662" s="35" t="str">
        <f>'Burger-F7-F8'!N55</f>
        <v/>
      </c>
      <c r="V662" s="35" t="str">
        <f>'Burger-F7-F8'!O55</f>
        <v/>
      </c>
      <c r="W662" s="35" t="str">
        <f>'Burger-F7-F8'!P55</f>
        <v/>
      </c>
      <c r="X662" s="35">
        <f>'Burger-F7-F8'!Q55</f>
        <v>0</v>
      </c>
      <c r="Y662" s="1"/>
      <c r="Z662" s="1"/>
      <c r="AA662" s="1"/>
    </row>
    <row r="663">
      <c r="A663" s="1"/>
      <c r="B663" s="14">
        <f t="shared" si="12"/>
        <v>52</v>
      </c>
      <c r="C663" s="22" t="str">
        <f t="shared" si="1"/>
        <v>diciembre</v>
      </c>
      <c r="D663" s="22">
        <f t="shared" si="2"/>
        <v>52</v>
      </c>
      <c r="E663" s="23" t="str">
        <f t="shared" si="3"/>
        <v>sábado</v>
      </c>
      <c r="F663" s="22">
        <f t="shared" si="4"/>
        <v>30</v>
      </c>
      <c r="G663" s="22" t="s">
        <v>25</v>
      </c>
      <c r="H663" s="3" t="str">
        <f>'Burger-F7-F8'!$G$3</f>
        <v>                                       burger</v>
      </c>
      <c r="I663" s="35" t="str">
        <f>'Burger-F7-F8'!B56</f>
        <v/>
      </c>
      <c r="J663" s="35" t="str">
        <f>'Burger-F7-F8'!C56</f>
        <v/>
      </c>
      <c r="K663" s="35" t="str">
        <f>'Burger-F7-F8'!D56</f>
        <v/>
      </c>
      <c r="L663" s="35" t="str">
        <f>'Burger-F7-F8'!E56</f>
        <v/>
      </c>
      <c r="M663" s="35" t="str">
        <f>'Burger-F7-F8'!F56</f>
        <v/>
      </c>
      <c r="N663" s="35" t="str">
        <f>'Burger-F7-F8'!G56</f>
        <v/>
      </c>
      <c r="O663" s="35" t="str">
        <f>'Burger-F7-F8'!H56</f>
        <v/>
      </c>
      <c r="P663" s="35" t="str">
        <f>'Burger-F7-F8'!I56</f>
        <v/>
      </c>
      <c r="Q663" s="35" t="str">
        <f>'Burger-F7-F8'!J56</f>
        <v/>
      </c>
      <c r="R663" s="35" t="str">
        <f>'Burger-F7-F8'!K56</f>
        <v/>
      </c>
      <c r="S663" s="35" t="str">
        <f>'Burger-F7-F8'!L56</f>
        <v/>
      </c>
      <c r="T663" s="35" t="str">
        <f>'Burger-F7-F8'!M56</f>
        <v/>
      </c>
      <c r="U663" s="35" t="str">
        <f>'Burger-F7-F8'!N56</f>
        <v/>
      </c>
      <c r="V663" s="35" t="str">
        <f>'Burger-F7-F8'!O56</f>
        <v/>
      </c>
      <c r="W663" s="35" t="str">
        <f>'Burger-F7-F8'!P56</f>
        <v/>
      </c>
      <c r="X663" s="35">
        <f>'Burger-F7-F8'!Q56</f>
        <v>0</v>
      </c>
      <c r="Y663" s="1"/>
      <c r="Z663" s="1"/>
      <c r="AA663" s="1"/>
    </row>
    <row r="664">
      <c r="A664" s="1"/>
      <c r="B664" s="14">
        <f t="shared" si="12"/>
        <v>53</v>
      </c>
      <c r="C664" s="22" t="str">
        <f t="shared" si="1"/>
        <v>diciembre</v>
      </c>
      <c r="D664" s="22">
        <f t="shared" si="2"/>
        <v>52</v>
      </c>
      <c r="E664" s="23" t="str">
        <f t="shared" si="3"/>
        <v>sábado</v>
      </c>
      <c r="F664" s="22">
        <f t="shared" si="4"/>
        <v>30</v>
      </c>
      <c r="G664" s="22" t="s">
        <v>25</v>
      </c>
      <c r="H664" s="3" t="str">
        <f>'Burger-F7-F8'!$G$3</f>
        <v>                                       burger</v>
      </c>
      <c r="I664" s="35" t="str">
        <f>'Burger-F7-F8'!B57</f>
        <v/>
      </c>
      <c r="J664" s="35" t="str">
        <f>'Burger-F7-F8'!C57</f>
        <v/>
      </c>
      <c r="K664" s="35" t="str">
        <f>'Burger-F7-F8'!D57</f>
        <v/>
      </c>
      <c r="L664" s="35" t="str">
        <f>'Burger-F7-F8'!E57</f>
        <v/>
      </c>
      <c r="M664" s="35" t="str">
        <f>'Burger-F7-F8'!F57</f>
        <v/>
      </c>
      <c r="N664" s="35" t="str">
        <f>'Burger-F7-F8'!G57</f>
        <v/>
      </c>
      <c r="O664" s="35" t="str">
        <f>'Burger-F7-F8'!H57</f>
        <v/>
      </c>
      <c r="P664" s="35" t="str">
        <f>'Burger-F7-F8'!I57</f>
        <v/>
      </c>
      <c r="Q664" s="35" t="str">
        <f>'Burger-F7-F8'!J57</f>
        <v/>
      </c>
      <c r="R664" s="35" t="str">
        <f>'Burger-F7-F8'!K57</f>
        <v/>
      </c>
      <c r="S664" s="35" t="str">
        <f>'Burger-F7-F8'!L57</f>
        <v/>
      </c>
      <c r="T664" s="35" t="str">
        <f>'Burger-F7-F8'!M57</f>
        <v/>
      </c>
      <c r="U664" s="35" t="str">
        <f>'Burger-F7-F8'!N57</f>
        <v/>
      </c>
      <c r="V664" s="35" t="str">
        <f>'Burger-F7-F8'!O57</f>
        <v/>
      </c>
      <c r="W664" s="35" t="str">
        <f>'Burger-F7-F8'!P57</f>
        <v/>
      </c>
      <c r="X664" s="35">
        <f>'Burger-F7-F8'!Q57</f>
        <v>0</v>
      </c>
      <c r="Y664" s="1"/>
      <c r="Z664" s="1"/>
      <c r="AA664" s="1"/>
    </row>
    <row r="665">
      <c r="A665" s="1"/>
      <c r="B665" s="14">
        <f t="shared" si="12"/>
        <v>54</v>
      </c>
      <c r="C665" s="22" t="str">
        <f t="shared" si="1"/>
        <v>diciembre</v>
      </c>
      <c r="D665" s="22">
        <f t="shared" si="2"/>
        <v>52</v>
      </c>
      <c r="E665" s="23" t="str">
        <f t="shared" si="3"/>
        <v>sábado</v>
      </c>
      <c r="F665" s="22">
        <f t="shared" si="4"/>
        <v>30</v>
      </c>
      <c r="G665" s="22" t="s">
        <v>25</v>
      </c>
      <c r="H665" s="3" t="str">
        <f>'Burger-F7-F8'!$G$3</f>
        <v>                                       burger</v>
      </c>
      <c r="I665" s="35" t="str">
        <f>'Burger-F7-F8'!B58</f>
        <v/>
      </c>
      <c r="J665" s="35" t="str">
        <f>'Burger-F7-F8'!C58</f>
        <v/>
      </c>
      <c r="K665" s="35" t="str">
        <f>'Burger-F7-F8'!D58</f>
        <v/>
      </c>
      <c r="L665" s="35" t="str">
        <f>'Burger-F7-F8'!E58</f>
        <v/>
      </c>
      <c r="M665" s="35" t="str">
        <f>'Burger-F7-F8'!F58</f>
        <v/>
      </c>
      <c r="N665" s="35" t="str">
        <f>'Burger-F7-F8'!G58</f>
        <v/>
      </c>
      <c r="O665" s="35" t="str">
        <f>'Burger-F7-F8'!H58</f>
        <v/>
      </c>
      <c r="P665" s="35" t="str">
        <f>'Burger-F7-F8'!I58</f>
        <v/>
      </c>
      <c r="Q665" s="35" t="str">
        <f>'Burger-F7-F8'!J58</f>
        <v/>
      </c>
      <c r="R665" s="35" t="str">
        <f>'Burger-F7-F8'!K58</f>
        <v/>
      </c>
      <c r="S665" s="35" t="str">
        <f>'Burger-F7-F8'!L58</f>
        <v/>
      </c>
      <c r="T665" s="35" t="str">
        <f>'Burger-F7-F8'!M58</f>
        <v/>
      </c>
      <c r="U665" s="35" t="str">
        <f>'Burger-F7-F8'!N58</f>
        <v/>
      </c>
      <c r="V665" s="35" t="str">
        <f>'Burger-F7-F8'!O58</f>
        <v/>
      </c>
      <c r="W665" s="35" t="str">
        <f>'Burger-F7-F8'!P58</f>
        <v/>
      </c>
      <c r="X665" s="35">
        <f>'Burger-F7-F8'!Q58</f>
        <v>0</v>
      </c>
      <c r="Y665" s="1"/>
      <c r="Z665" s="1"/>
      <c r="AA665" s="1"/>
    </row>
    <row r="666">
      <c r="A666" s="1"/>
      <c r="B666" s="14">
        <f t="shared" si="12"/>
        <v>55</v>
      </c>
      <c r="C666" s="22" t="str">
        <f t="shared" si="1"/>
        <v>diciembre</v>
      </c>
      <c r="D666" s="22">
        <f t="shared" si="2"/>
        <v>52</v>
      </c>
      <c r="E666" s="23" t="str">
        <f t="shared" si="3"/>
        <v>sábado</v>
      </c>
      <c r="F666" s="22">
        <f t="shared" si="4"/>
        <v>30</v>
      </c>
      <c r="G666" s="22" t="s">
        <v>25</v>
      </c>
      <c r="H666" s="3" t="str">
        <f>'Burger-F7-F8'!$G$3</f>
        <v>                                       burger</v>
      </c>
      <c r="I666" s="35" t="str">
        <f>'Burger-F7-F8'!B59</f>
        <v/>
      </c>
      <c r="J666" s="35" t="str">
        <f>'Burger-F7-F8'!C59</f>
        <v/>
      </c>
      <c r="K666" s="35" t="str">
        <f>'Burger-F7-F8'!D59</f>
        <v/>
      </c>
      <c r="L666" s="35" t="str">
        <f>'Burger-F7-F8'!E59</f>
        <v/>
      </c>
      <c r="M666" s="35" t="str">
        <f>'Burger-F7-F8'!F59</f>
        <v/>
      </c>
      <c r="N666" s="35" t="str">
        <f>'Burger-F7-F8'!G59</f>
        <v/>
      </c>
      <c r="O666" s="35" t="str">
        <f>'Burger-F7-F8'!H59</f>
        <v/>
      </c>
      <c r="P666" s="35" t="str">
        <f>'Burger-F7-F8'!I59</f>
        <v/>
      </c>
      <c r="Q666" s="35" t="str">
        <f>'Burger-F7-F8'!J59</f>
        <v/>
      </c>
      <c r="R666" s="35" t="str">
        <f>'Burger-F7-F8'!K59</f>
        <v/>
      </c>
      <c r="S666" s="35" t="str">
        <f>'Burger-F7-F8'!L59</f>
        <v/>
      </c>
      <c r="T666" s="35" t="str">
        <f>'Burger-F7-F8'!M59</f>
        <v/>
      </c>
      <c r="U666" s="35" t="str">
        <f>'Burger-F7-F8'!N59</f>
        <v/>
      </c>
      <c r="V666" s="35" t="str">
        <f>'Burger-F7-F8'!O59</f>
        <v/>
      </c>
      <c r="W666" s="35" t="str">
        <f>'Burger-F7-F8'!P59</f>
        <v/>
      </c>
      <c r="X666" s="35">
        <f>'Burger-F7-F8'!Q59</f>
        <v>0</v>
      </c>
      <c r="Y666" s="1"/>
      <c r="Z666" s="1"/>
      <c r="AA666" s="1"/>
    </row>
    <row r="667">
      <c r="A667" s="1"/>
      <c r="B667" s="14">
        <f t="shared" si="12"/>
        <v>56</v>
      </c>
      <c r="C667" s="22" t="str">
        <f t="shared" si="1"/>
        <v>diciembre</v>
      </c>
      <c r="D667" s="22">
        <f t="shared" si="2"/>
        <v>52</v>
      </c>
      <c r="E667" s="23" t="str">
        <f t="shared" si="3"/>
        <v>sábado</v>
      </c>
      <c r="F667" s="22">
        <f t="shared" si="4"/>
        <v>30</v>
      </c>
      <c r="G667" s="22" t="s">
        <v>25</v>
      </c>
      <c r="H667" s="3" t="str">
        <f>'Burger-F7-F8'!$G$3</f>
        <v>                                       burger</v>
      </c>
      <c r="I667" s="35" t="str">
        <f>'Burger-F7-F8'!B60</f>
        <v/>
      </c>
      <c r="J667" s="35" t="str">
        <f>'Burger-F7-F8'!C60</f>
        <v/>
      </c>
      <c r="K667" s="35" t="str">
        <f>'Burger-F7-F8'!D60</f>
        <v/>
      </c>
      <c r="L667" s="35" t="str">
        <f>'Burger-F7-F8'!E60</f>
        <v/>
      </c>
      <c r="M667" s="35" t="str">
        <f>'Burger-F7-F8'!F60</f>
        <v/>
      </c>
      <c r="N667" s="35" t="str">
        <f>'Burger-F7-F8'!G60</f>
        <v/>
      </c>
      <c r="O667" s="35" t="str">
        <f>'Burger-F7-F8'!H60</f>
        <v/>
      </c>
      <c r="P667" s="35" t="str">
        <f>'Burger-F7-F8'!I60</f>
        <v/>
      </c>
      <c r="Q667" s="35" t="str">
        <f>'Burger-F7-F8'!J60</f>
        <v/>
      </c>
      <c r="R667" s="35" t="str">
        <f>'Burger-F7-F8'!K60</f>
        <v/>
      </c>
      <c r="S667" s="35" t="str">
        <f>'Burger-F7-F8'!L60</f>
        <v/>
      </c>
      <c r="T667" s="35" t="str">
        <f>'Burger-F7-F8'!M60</f>
        <v/>
      </c>
      <c r="U667" s="35" t="str">
        <f>'Burger-F7-F8'!N60</f>
        <v/>
      </c>
      <c r="V667" s="35" t="str">
        <f>'Burger-F7-F8'!O60</f>
        <v/>
      </c>
      <c r="W667" s="35" t="str">
        <f>'Burger-F7-F8'!P60</f>
        <v/>
      </c>
      <c r="X667" s="35">
        <f>'Burger-F7-F8'!Q60</f>
        <v>0</v>
      </c>
      <c r="Y667" s="1"/>
      <c r="Z667" s="1"/>
      <c r="AA667" s="1"/>
    </row>
    <row r="668">
      <c r="A668" s="1"/>
      <c r="B668" s="14">
        <f t="shared" si="12"/>
        <v>57</v>
      </c>
      <c r="C668" s="22" t="str">
        <f t="shared" si="1"/>
        <v>diciembre</v>
      </c>
      <c r="D668" s="22">
        <f t="shared" si="2"/>
        <v>52</v>
      </c>
      <c r="E668" s="23" t="str">
        <f t="shared" si="3"/>
        <v>sábado</v>
      </c>
      <c r="F668" s="22">
        <f t="shared" si="4"/>
        <v>30</v>
      </c>
      <c r="G668" s="22" t="s">
        <v>25</v>
      </c>
      <c r="H668" s="3" t="str">
        <f>'Burger-F7-F8'!$G$3</f>
        <v>                                       burger</v>
      </c>
      <c r="I668" s="35" t="str">
        <f>'Burger-F7-F8'!B61</f>
        <v/>
      </c>
      <c r="J668" s="35" t="str">
        <f>'Burger-F7-F8'!C61</f>
        <v/>
      </c>
      <c r="K668" s="35" t="str">
        <f>'Burger-F7-F8'!D61</f>
        <v/>
      </c>
      <c r="L668" s="35" t="str">
        <f>'Burger-F7-F8'!E61</f>
        <v/>
      </c>
      <c r="M668" s="35" t="str">
        <f>'Burger-F7-F8'!F61</f>
        <v/>
      </c>
      <c r="N668" s="35" t="str">
        <f>'Burger-F7-F8'!G61</f>
        <v/>
      </c>
      <c r="O668" s="35" t="str">
        <f>'Burger-F7-F8'!H61</f>
        <v/>
      </c>
      <c r="P668" s="35" t="str">
        <f>'Burger-F7-F8'!I61</f>
        <v/>
      </c>
      <c r="Q668" s="35" t="str">
        <f>'Burger-F7-F8'!J61</f>
        <v/>
      </c>
      <c r="R668" s="35" t="str">
        <f>'Burger-F7-F8'!K61</f>
        <v/>
      </c>
      <c r="S668" s="35" t="str">
        <f>'Burger-F7-F8'!L61</f>
        <v/>
      </c>
      <c r="T668" s="35" t="str">
        <f>'Burger-F7-F8'!M61</f>
        <v/>
      </c>
      <c r="U668" s="35" t="str">
        <f>'Burger-F7-F8'!N61</f>
        <v/>
      </c>
      <c r="V668" s="35" t="str">
        <f>'Burger-F7-F8'!O61</f>
        <v/>
      </c>
      <c r="W668" s="35" t="str">
        <f>'Burger-F7-F8'!P61</f>
        <v/>
      </c>
      <c r="X668" s="35">
        <f>'Burger-F7-F8'!Q61</f>
        <v>0</v>
      </c>
      <c r="Y668" s="1"/>
      <c r="Z668" s="1"/>
      <c r="AA668" s="1"/>
    </row>
    <row r="669">
      <c r="A669" s="1"/>
      <c r="B669" s="14">
        <f t="shared" si="12"/>
        <v>58</v>
      </c>
      <c r="C669" s="22" t="str">
        <f t="shared" si="1"/>
        <v>diciembre</v>
      </c>
      <c r="D669" s="22">
        <f t="shared" si="2"/>
        <v>52</v>
      </c>
      <c r="E669" s="23" t="str">
        <f t="shared" si="3"/>
        <v>sábado</v>
      </c>
      <c r="F669" s="22">
        <f t="shared" si="4"/>
        <v>30</v>
      </c>
      <c r="G669" s="22" t="s">
        <v>25</v>
      </c>
      <c r="H669" s="3" t="str">
        <f>'Burger-F7-F8'!$G$3</f>
        <v>                                       burger</v>
      </c>
      <c r="I669" s="35" t="str">
        <f>'Burger-F7-F8'!B62</f>
        <v/>
      </c>
      <c r="J669" s="35" t="str">
        <f>'Burger-F7-F8'!C62</f>
        <v/>
      </c>
      <c r="K669" s="35" t="str">
        <f>'Burger-F7-F8'!D62</f>
        <v/>
      </c>
      <c r="L669" s="35" t="str">
        <f>'Burger-F7-F8'!E62</f>
        <v/>
      </c>
      <c r="M669" s="35" t="str">
        <f>'Burger-F7-F8'!F62</f>
        <v/>
      </c>
      <c r="N669" s="35" t="str">
        <f>'Burger-F7-F8'!G62</f>
        <v/>
      </c>
      <c r="O669" s="35" t="str">
        <f>'Burger-F7-F8'!H62</f>
        <v/>
      </c>
      <c r="P669" s="35" t="str">
        <f>'Burger-F7-F8'!I62</f>
        <v/>
      </c>
      <c r="Q669" s="35" t="str">
        <f>'Burger-F7-F8'!J62</f>
        <v/>
      </c>
      <c r="R669" s="35" t="str">
        <f>'Burger-F7-F8'!K62</f>
        <v/>
      </c>
      <c r="S669" s="35" t="str">
        <f>'Burger-F7-F8'!L62</f>
        <v/>
      </c>
      <c r="T669" s="35" t="str">
        <f>'Burger-F7-F8'!M62</f>
        <v/>
      </c>
      <c r="U669" s="35" t="str">
        <f>'Burger-F7-F8'!N62</f>
        <v/>
      </c>
      <c r="V669" s="35" t="str">
        <f>'Burger-F7-F8'!O62</f>
        <v/>
      </c>
      <c r="W669" s="35" t="str">
        <f>'Burger-F7-F8'!P62</f>
        <v/>
      </c>
      <c r="X669" s="35">
        <f>'Burger-F7-F8'!Q62</f>
        <v>0</v>
      </c>
      <c r="Y669" s="1"/>
      <c r="Z669" s="1"/>
      <c r="AA669" s="1"/>
    </row>
    <row r="670">
      <c r="A670" s="1"/>
      <c r="B670" s="14">
        <f t="shared" si="12"/>
        <v>59</v>
      </c>
      <c r="C670" s="22" t="str">
        <f t="shared" si="1"/>
        <v>diciembre</v>
      </c>
      <c r="D670" s="22">
        <f t="shared" si="2"/>
        <v>52</v>
      </c>
      <c r="E670" s="23" t="str">
        <f t="shared" si="3"/>
        <v>sábado</v>
      </c>
      <c r="F670" s="22">
        <f t="shared" si="4"/>
        <v>30</v>
      </c>
      <c r="G670" s="22" t="s">
        <v>25</v>
      </c>
      <c r="H670" s="3" t="str">
        <f>'Burger-F7-F8'!$G$3</f>
        <v>                                       burger</v>
      </c>
      <c r="I670" s="35" t="str">
        <f>'Burger-F7-F8'!B63</f>
        <v/>
      </c>
      <c r="J670" s="35" t="str">
        <f>'Burger-F7-F8'!C63</f>
        <v/>
      </c>
      <c r="K670" s="35" t="str">
        <f>'Burger-F7-F8'!D63</f>
        <v/>
      </c>
      <c r="L670" s="35" t="str">
        <f>'Burger-F7-F8'!E63</f>
        <v/>
      </c>
      <c r="M670" s="35" t="str">
        <f>'Burger-F7-F8'!F63</f>
        <v/>
      </c>
      <c r="N670" s="35" t="str">
        <f>'Burger-F7-F8'!G63</f>
        <v/>
      </c>
      <c r="O670" s="35" t="str">
        <f>'Burger-F7-F8'!H63</f>
        <v/>
      </c>
      <c r="P670" s="35" t="str">
        <f>'Burger-F7-F8'!I63</f>
        <v/>
      </c>
      <c r="Q670" s="35" t="str">
        <f>'Burger-F7-F8'!J63</f>
        <v/>
      </c>
      <c r="R670" s="35" t="str">
        <f>'Burger-F7-F8'!K63</f>
        <v/>
      </c>
      <c r="S670" s="35" t="str">
        <f>'Burger-F7-F8'!L63</f>
        <v/>
      </c>
      <c r="T670" s="35" t="str">
        <f>'Burger-F7-F8'!M63</f>
        <v/>
      </c>
      <c r="U670" s="35" t="str">
        <f>'Burger-F7-F8'!N63</f>
        <v/>
      </c>
      <c r="V670" s="35" t="str">
        <f>'Burger-F7-F8'!O63</f>
        <v/>
      </c>
      <c r="W670" s="35" t="str">
        <f>'Burger-F7-F8'!P63</f>
        <v/>
      </c>
      <c r="X670" s="35">
        <f>'Burger-F7-F8'!Q63</f>
        <v>0</v>
      </c>
      <c r="Y670" s="1"/>
      <c r="Z670" s="1"/>
      <c r="AA670" s="1"/>
    </row>
    <row r="671">
      <c r="A671" s="1"/>
      <c r="B671" s="14">
        <f t="shared" si="12"/>
        <v>60</v>
      </c>
      <c r="C671" s="22" t="str">
        <f t="shared" si="1"/>
        <v>diciembre</v>
      </c>
      <c r="D671" s="22">
        <f t="shared" si="2"/>
        <v>52</v>
      </c>
      <c r="E671" s="23" t="str">
        <f t="shared" si="3"/>
        <v>sábado</v>
      </c>
      <c r="F671" s="22">
        <f t="shared" si="4"/>
        <v>30</v>
      </c>
      <c r="G671" s="22" t="s">
        <v>25</v>
      </c>
      <c r="H671" s="3" t="str">
        <f>'Burger-F7-F8'!$G$3</f>
        <v>                                       burger</v>
      </c>
      <c r="I671" s="35" t="str">
        <f>'Burger-F7-F8'!B64</f>
        <v/>
      </c>
      <c r="J671" s="35" t="str">
        <f>'Burger-F7-F8'!C64</f>
        <v/>
      </c>
      <c r="K671" s="35" t="str">
        <f>'Burger-F7-F8'!D64</f>
        <v/>
      </c>
      <c r="L671" s="35" t="str">
        <f>'Burger-F7-F8'!E64</f>
        <v/>
      </c>
      <c r="M671" s="35" t="str">
        <f>'Burger-F7-F8'!F64</f>
        <v/>
      </c>
      <c r="N671" s="35" t="str">
        <f>'Burger-F7-F8'!G64</f>
        <v/>
      </c>
      <c r="O671" s="35" t="str">
        <f>'Burger-F7-F8'!H64</f>
        <v/>
      </c>
      <c r="P671" s="35" t="str">
        <f>'Burger-F7-F8'!I64</f>
        <v/>
      </c>
      <c r="Q671" s="35" t="str">
        <f>'Burger-F7-F8'!J64</f>
        <v/>
      </c>
      <c r="R671" s="35" t="str">
        <f>'Burger-F7-F8'!K64</f>
        <v/>
      </c>
      <c r="S671" s="35" t="str">
        <f>'Burger-F7-F8'!L64</f>
        <v/>
      </c>
      <c r="T671" s="35" t="str">
        <f>'Burger-F7-F8'!M64</f>
        <v/>
      </c>
      <c r="U671" s="35" t="str">
        <f>'Burger-F7-F8'!N64</f>
        <v/>
      </c>
      <c r="V671" s="35" t="str">
        <f>'Burger-F7-F8'!O64</f>
        <v/>
      </c>
      <c r="W671" s="35" t="str">
        <f>'Burger-F7-F8'!P64</f>
        <v/>
      </c>
      <c r="X671" s="35" t="str">
        <f>'Burger-F7-F8'!Q64</f>
        <v/>
      </c>
      <c r="Y671" s="1"/>
      <c r="Z671" s="1"/>
      <c r="AA671" s="1"/>
    </row>
    <row r="672">
      <c r="A672" s="1"/>
      <c r="B672" s="14">
        <f t="shared" si="12"/>
        <v>61</v>
      </c>
      <c r="C672" s="22" t="str">
        <f t="shared" si="1"/>
        <v>diciembre</v>
      </c>
      <c r="D672" s="22">
        <f t="shared" si="2"/>
        <v>52</v>
      </c>
      <c r="E672" s="23" t="str">
        <f t="shared" si="3"/>
        <v>sábado</v>
      </c>
      <c r="F672" s="22">
        <f t="shared" si="4"/>
        <v>30</v>
      </c>
      <c r="G672" s="22" t="s">
        <v>25</v>
      </c>
      <c r="H672" s="3" t="str">
        <f>'Burger-F7-F8'!$G$3</f>
        <v>                                       burger</v>
      </c>
      <c r="I672" s="35" t="str">
        <f>'Burger-F7-F8'!B65</f>
        <v/>
      </c>
      <c r="J672" s="35" t="str">
        <f>'Burger-F7-F8'!C65</f>
        <v/>
      </c>
      <c r="K672" s="35" t="str">
        <f>'Burger-F7-F8'!D65</f>
        <v/>
      </c>
      <c r="L672" s="35" t="str">
        <f>'Burger-F7-F8'!E65</f>
        <v/>
      </c>
      <c r="M672" s="35" t="str">
        <f>'Burger-F7-F8'!F65</f>
        <v/>
      </c>
      <c r="N672" s="35" t="str">
        <f>'Burger-F7-F8'!G65</f>
        <v/>
      </c>
      <c r="O672" s="35" t="str">
        <f>'Burger-F7-F8'!H65</f>
        <v/>
      </c>
      <c r="P672" s="35" t="str">
        <f>'Burger-F7-F8'!I65</f>
        <v/>
      </c>
      <c r="Q672" s="35" t="str">
        <f>'Burger-F7-F8'!J65</f>
        <v/>
      </c>
      <c r="R672" s="35" t="str">
        <f>'Burger-F7-F8'!K65</f>
        <v/>
      </c>
      <c r="S672" s="35" t="str">
        <f>'Burger-F7-F8'!L65</f>
        <v/>
      </c>
      <c r="T672" s="35" t="str">
        <f>'Burger-F7-F8'!M65</f>
        <v/>
      </c>
      <c r="U672" s="35" t="str">
        <f>'Burger-F7-F8'!N65</f>
        <v/>
      </c>
      <c r="V672" s="35" t="str">
        <f>'Burger-F7-F8'!O65</f>
        <v/>
      </c>
      <c r="W672" s="35" t="str">
        <f>'Burger-F7-F8'!P65</f>
        <v/>
      </c>
      <c r="X672" s="35" t="str">
        <f>'Burger-F7-F8'!Q65</f>
        <v/>
      </c>
      <c r="Y672" s="1"/>
      <c r="Z672" s="1"/>
      <c r="AA672" s="1"/>
    </row>
    <row r="673">
      <c r="A673" s="1"/>
      <c r="B673" s="14">
        <f t="shared" si="12"/>
        <v>62</v>
      </c>
      <c r="C673" s="22" t="str">
        <f t="shared" si="1"/>
        <v>diciembre</v>
      </c>
      <c r="D673" s="22">
        <f t="shared" si="2"/>
        <v>52</v>
      </c>
      <c r="E673" s="23" t="str">
        <f t="shared" si="3"/>
        <v>sábado</v>
      </c>
      <c r="F673" s="22">
        <f t="shared" si="4"/>
        <v>30</v>
      </c>
      <c r="G673" s="22" t="s">
        <v>25</v>
      </c>
      <c r="H673" s="3" t="str">
        <f>'Burger-F7-F8'!$G$3</f>
        <v>                                       burger</v>
      </c>
      <c r="I673" s="35" t="str">
        <f>'Burger-F7-F8'!B66</f>
        <v/>
      </c>
      <c r="J673" s="35" t="str">
        <f>'Burger-F7-F8'!C66</f>
        <v/>
      </c>
      <c r="K673" s="35" t="str">
        <f>'Burger-F7-F8'!D66</f>
        <v/>
      </c>
      <c r="L673" s="35" t="str">
        <f>'Burger-F7-F8'!E66</f>
        <v/>
      </c>
      <c r="M673" s="35" t="str">
        <f>'Burger-F7-F8'!F66</f>
        <v/>
      </c>
      <c r="N673" s="35" t="str">
        <f>'Burger-F7-F8'!G66</f>
        <v/>
      </c>
      <c r="O673" s="35" t="str">
        <f>'Burger-F7-F8'!H66</f>
        <v/>
      </c>
      <c r="P673" s="35" t="str">
        <f>'Burger-F7-F8'!I66</f>
        <v/>
      </c>
      <c r="Q673" s="35" t="str">
        <f>'Burger-F7-F8'!J66</f>
        <v/>
      </c>
      <c r="R673" s="35" t="str">
        <f>'Burger-F7-F8'!K66</f>
        <v/>
      </c>
      <c r="S673" s="35" t="str">
        <f>'Burger-F7-F8'!L66</f>
        <v/>
      </c>
      <c r="T673" s="35" t="str">
        <f>'Burger-F7-F8'!M66</f>
        <v/>
      </c>
      <c r="U673" s="35" t="str">
        <f>'Burger-F7-F8'!N66</f>
        <v/>
      </c>
      <c r="V673" s="35" t="str">
        <f>'Burger-F7-F8'!O66</f>
        <v/>
      </c>
      <c r="W673" s="35" t="str">
        <f>'Burger-F7-F8'!P66</f>
        <v/>
      </c>
      <c r="X673" s="35" t="str">
        <f>'Burger-F7-F8'!Q66</f>
        <v/>
      </c>
      <c r="Y673" s="1"/>
      <c r="Z673" s="1"/>
      <c r="AA673" s="1"/>
    </row>
    <row r="674">
      <c r="A674" s="1"/>
      <c r="B674" s="14">
        <v>1.0</v>
      </c>
      <c r="C674" s="15" t="str">
        <f t="shared" si="1"/>
        <v>enero</v>
      </c>
      <c r="D674" s="15">
        <f t="shared" si="2"/>
        <v>2</v>
      </c>
      <c r="E674" s="16" t="str">
        <f t="shared" si="3"/>
        <v>lunes</v>
      </c>
      <c r="F674" s="15">
        <f t="shared" si="4"/>
        <v>5</v>
      </c>
      <c r="G674" s="15" t="s">
        <v>25</v>
      </c>
      <c r="H674" s="3" t="str">
        <f>'Burger-F9-F10'!$G$3</f>
        <v>BURGER</v>
      </c>
      <c r="I674" s="24">
        <f>'Burger-F9-F10'!B5</f>
        <v>46027</v>
      </c>
      <c r="J674" s="2">
        <f>'Burger-F9-F10'!C5</f>
        <v>46123466</v>
      </c>
      <c r="K674" s="2" t="str">
        <f>'Burger-F9-F10'!D5</f>
        <v>Pilar coveñas Ramos</v>
      </c>
      <c r="L674" s="2" t="str">
        <f>'Burger-F9-F10'!E5</f>
        <v>naturaquimi@gmail.com</v>
      </c>
      <c r="M674" s="2" t="str">
        <f>'Burger-F9-F10'!F5</f>
        <v>SMP</v>
      </c>
      <c r="N674" s="2" t="str">
        <f>'Burger-F9-F10'!G5</f>
        <v>965 713 303</v>
      </c>
      <c r="O674" s="2" t="str">
        <f>'Burger-F9-F10'!H5</f>
        <v>X</v>
      </c>
      <c r="P674" s="2" t="str">
        <f>'Burger-F9-F10'!I5</f>
        <v/>
      </c>
      <c r="Q674" s="2">
        <f>'Burger-F9-F10'!J5</f>
        <v>0</v>
      </c>
      <c r="R674" s="2" t="str">
        <f>'Burger-F9-F10'!K5</f>
        <v/>
      </c>
      <c r="S674" s="2" t="str">
        <f>'Burger-F9-F10'!L5</f>
        <v>PAGO</v>
      </c>
      <c r="T674" s="2" t="str">
        <f>'Burger-F9-F10'!M5</f>
        <v>YAPE JL</v>
      </c>
      <c r="U674" s="2">
        <f>'Burger-F9-F10'!N5</f>
        <v>0</v>
      </c>
      <c r="V674" s="2" t="str">
        <f>'Burger-F9-F10'!O5</f>
        <v/>
      </c>
      <c r="W674" s="2" t="str">
        <f>'Burger-F9-F10'!P5</f>
        <v>Greici</v>
      </c>
      <c r="X674" s="5">
        <f>'Burger-F9-F10'!Q5</f>
        <v>0</v>
      </c>
      <c r="Y674" s="1"/>
      <c r="Z674" s="1"/>
      <c r="AA674" s="1"/>
    </row>
    <row r="675">
      <c r="A675" s="1"/>
      <c r="B675" s="14">
        <f t="shared" ref="B675:B735" si="13">B674+1</f>
        <v>2</v>
      </c>
      <c r="C675" s="15" t="str">
        <f t="shared" si="1"/>
        <v>enero</v>
      </c>
      <c r="D675" s="15">
        <f t="shared" si="2"/>
        <v>3</v>
      </c>
      <c r="E675" s="16" t="str">
        <f t="shared" si="3"/>
        <v>miércoles</v>
      </c>
      <c r="F675" s="15">
        <f t="shared" si="4"/>
        <v>14</v>
      </c>
      <c r="G675" s="15" t="s">
        <v>25</v>
      </c>
      <c r="H675" s="3" t="str">
        <f>'Burger-F9-F10'!$G$3</f>
        <v>BURGER</v>
      </c>
      <c r="I675" s="33">
        <f>'Burger-F9-F10'!B6</f>
        <v>46036</v>
      </c>
      <c r="J675" s="2">
        <f>'Burger-F9-F10'!C6</f>
        <v>22314008</v>
      </c>
      <c r="K675" s="2" t="str">
        <f>'Burger-F9-F10'!D6</f>
        <v>Elias Campos Sanchez.</v>
      </c>
      <c r="L675" s="2" t="str">
        <f>'Burger-F9-F10'!E6</f>
        <v/>
      </c>
      <c r="M675" s="2" t="str">
        <f>'Burger-F9-F10'!F6</f>
        <v/>
      </c>
      <c r="N675" s="2" t="str">
        <f>'Burger-F9-F10'!G6</f>
        <v/>
      </c>
      <c r="O675" s="2" t="str">
        <f>'Burger-F9-F10'!H6</f>
        <v>x</v>
      </c>
      <c r="P675" s="2" t="str">
        <f>'Burger-F9-F10'!I6</f>
        <v/>
      </c>
      <c r="Q675" s="2">
        <f>'Burger-F9-F10'!J6</f>
        <v>0</v>
      </c>
      <c r="R675" s="2" t="str">
        <f>'Burger-F9-F10'!K6</f>
        <v/>
      </c>
      <c r="S675" s="2" t="str">
        <f>'Burger-F9-F10'!L6</f>
        <v/>
      </c>
      <c r="T675" s="2" t="str">
        <f>'Burger-F9-F10'!M6</f>
        <v/>
      </c>
      <c r="U675" s="2">
        <f>'Burger-F9-F10'!N6</f>
        <v>0</v>
      </c>
      <c r="V675" s="2" t="str">
        <f>'Burger-F9-F10'!O6</f>
        <v/>
      </c>
      <c r="W675" s="2" t="str">
        <f>'Burger-F9-F10'!P6</f>
        <v>Katherine</v>
      </c>
      <c r="X675" s="5">
        <f>'Burger-F9-F10'!Q6</f>
        <v>0</v>
      </c>
      <c r="Y675" s="1"/>
      <c r="Z675" s="1"/>
      <c r="AA675" s="1"/>
    </row>
    <row r="676">
      <c r="A676" s="1"/>
      <c r="B676" s="14">
        <f t="shared" si="13"/>
        <v>3</v>
      </c>
      <c r="C676" s="15" t="str">
        <f t="shared" si="1"/>
        <v>enero</v>
      </c>
      <c r="D676" s="15">
        <f t="shared" si="2"/>
        <v>3</v>
      </c>
      <c r="E676" s="16" t="str">
        <f t="shared" si="3"/>
        <v>jueves</v>
      </c>
      <c r="F676" s="15">
        <f t="shared" si="4"/>
        <v>15</v>
      </c>
      <c r="G676" s="15" t="s">
        <v>25</v>
      </c>
      <c r="H676" s="3" t="str">
        <f>'Burger-F9-F10'!$G$3</f>
        <v>BURGER</v>
      </c>
      <c r="I676" s="24">
        <f>'Burger-F9-F10'!B7</f>
        <v>46037</v>
      </c>
      <c r="J676" s="2">
        <f>'Burger-F9-F10'!C7</f>
        <v>10421776631</v>
      </c>
      <c r="K676" s="2" t="str">
        <f>'Burger-F9-F10'!D7</f>
        <v>Karin Chacon Gonzales</v>
      </c>
      <c r="L676" s="2" t="str">
        <f>'Burger-F9-F10'!E7</f>
        <v>Karinchacong@gmail.com</v>
      </c>
      <c r="M676" s="2" t="str">
        <f>'Burger-F9-F10'!F7</f>
        <v>PACHACAMAC</v>
      </c>
      <c r="N676" s="2" t="str">
        <f>'Burger-F9-F10'!G7</f>
        <v>959 264 231</v>
      </c>
      <c r="O676" s="2" t="str">
        <f>'Burger-F9-F10'!H7</f>
        <v>X</v>
      </c>
      <c r="P676" s="2" t="str">
        <f>'Burger-F9-F10'!I7</f>
        <v/>
      </c>
      <c r="Q676" s="2">
        <f>'Burger-F9-F10'!J7</f>
        <v>150</v>
      </c>
      <c r="R676" s="2">
        <f>'Burger-F9-F10'!K7</f>
        <v>0</v>
      </c>
      <c r="S676" s="2" t="str">
        <f>'Burger-F9-F10'!L7</f>
        <v>PAGO</v>
      </c>
      <c r="T676" s="2" t="str">
        <f>'Burger-F9-F10'!M7</f>
        <v>YAPE JL</v>
      </c>
      <c r="U676" s="2">
        <f>'Burger-F9-F10'!N7</f>
        <v>150</v>
      </c>
      <c r="V676" s="2" t="str">
        <f>'Burger-F9-F10'!O7</f>
        <v/>
      </c>
      <c r="W676" s="2" t="str">
        <f>'Burger-F9-F10'!P7</f>
        <v>Greici</v>
      </c>
      <c r="X676" s="5">
        <f>'Burger-F9-F10'!Q7</f>
        <v>150</v>
      </c>
      <c r="Y676" s="1"/>
      <c r="Z676" s="1"/>
      <c r="AA676" s="1"/>
    </row>
    <row r="677">
      <c r="A677" s="1"/>
      <c r="B677" s="14">
        <f t="shared" si="13"/>
        <v>4</v>
      </c>
      <c r="C677" s="15" t="str">
        <f t="shared" si="1"/>
        <v>enero</v>
      </c>
      <c r="D677" s="15">
        <f t="shared" si="2"/>
        <v>4</v>
      </c>
      <c r="E677" s="16" t="str">
        <f t="shared" si="3"/>
        <v>martes</v>
      </c>
      <c r="F677" s="15">
        <f t="shared" si="4"/>
        <v>20</v>
      </c>
      <c r="G677" s="15" t="s">
        <v>25</v>
      </c>
      <c r="H677" s="3" t="str">
        <f>'Burger-F9-F10'!$G$3</f>
        <v>BURGER</v>
      </c>
      <c r="I677" s="24">
        <f>'Burger-F9-F10'!B8</f>
        <v>46042</v>
      </c>
      <c r="J677" s="2">
        <f>'Burger-F9-F10'!C8</f>
        <v>71523029</v>
      </c>
      <c r="K677" s="2" t="str">
        <f>'Burger-F9-F10'!D8</f>
        <v>Aaron Castillo</v>
      </c>
      <c r="L677" s="2" t="str">
        <f>'Burger-F9-F10'!E8</f>
        <v/>
      </c>
      <c r="M677" s="2" t="str">
        <f>'Burger-F9-F10'!F8</f>
        <v/>
      </c>
      <c r="N677" s="2" t="str">
        <f>'Burger-F9-F10'!G8</f>
        <v/>
      </c>
      <c r="O677" s="2" t="str">
        <f>'Burger-F9-F10'!H8</f>
        <v>x</v>
      </c>
      <c r="P677" s="2" t="str">
        <f>'Burger-F9-F10'!I8</f>
        <v/>
      </c>
      <c r="Q677" s="2">
        <f>'Burger-F9-F10'!J8</f>
        <v>130</v>
      </c>
      <c r="R677" s="2" t="str">
        <f>'Burger-F9-F10'!K8</f>
        <v/>
      </c>
      <c r="S677" s="2" t="str">
        <f>'Burger-F9-F10'!L8</f>
        <v>PAGO</v>
      </c>
      <c r="T677" s="2" t="str">
        <f>'Burger-F9-F10'!M8</f>
        <v>YAPE JL</v>
      </c>
      <c r="U677" s="2">
        <f>'Burger-F9-F10'!N8</f>
        <v>130</v>
      </c>
      <c r="V677" s="2" t="str">
        <f>'Burger-F9-F10'!O8</f>
        <v/>
      </c>
      <c r="W677" s="2" t="str">
        <f>'Burger-F9-F10'!P8</f>
        <v>Katherine</v>
      </c>
      <c r="X677" s="5">
        <f>'Burger-F9-F10'!Q8</f>
        <v>130</v>
      </c>
      <c r="Y677" s="1"/>
      <c r="Z677" s="1"/>
      <c r="AA677" s="1"/>
    </row>
    <row r="678">
      <c r="A678" s="1"/>
      <c r="B678" s="14">
        <f t="shared" si="13"/>
        <v>5</v>
      </c>
      <c r="C678" s="15" t="str">
        <f t="shared" si="1"/>
        <v>enero</v>
      </c>
      <c r="D678" s="15">
        <f t="shared" si="2"/>
        <v>4</v>
      </c>
      <c r="E678" s="16" t="str">
        <f t="shared" si="3"/>
        <v>martes</v>
      </c>
      <c r="F678" s="15">
        <f t="shared" si="4"/>
        <v>20</v>
      </c>
      <c r="G678" s="15" t="s">
        <v>25</v>
      </c>
      <c r="H678" s="3" t="str">
        <f>'Burger-F9-F10'!$G$3</f>
        <v>BURGER</v>
      </c>
      <c r="I678" s="24">
        <f>'Burger-F9-F10'!B9</f>
        <v>46042</v>
      </c>
      <c r="J678" s="2">
        <f>'Burger-F9-F10'!C9</f>
        <v>40171540</v>
      </c>
      <c r="K678" s="2" t="str">
        <f>'Burger-F9-F10'!D9</f>
        <v>Norita Isabel Uraco Acho</v>
      </c>
      <c r="L678" s="2" t="str">
        <f>'Burger-F9-F10'!E9</f>
        <v>noritauraco024@gmail.com</v>
      </c>
      <c r="M678" s="2" t="str">
        <f>'Burger-F9-F10'!F9</f>
        <v>SURQUILLO</v>
      </c>
      <c r="N678" s="2" t="str">
        <f>'Burger-F9-F10'!G9</f>
        <v>969 047 205</v>
      </c>
      <c r="O678" s="2" t="str">
        <f>'Burger-F9-F10'!H9</f>
        <v>X</v>
      </c>
      <c r="P678" s="2" t="str">
        <f>'Burger-F9-F10'!I9</f>
        <v/>
      </c>
      <c r="Q678" s="2">
        <f>'Burger-F9-F10'!J9</f>
        <v>140</v>
      </c>
      <c r="R678" s="2" t="str">
        <f>'Burger-F9-F10'!K9</f>
        <v/>
      </c>
      <c r="S678" s="2" t="str">
        <f>'Burger-F9-F10'!L9</f>
        <v>PAGO</v>
      </c>
      <c r="T678" s="2" t="str">
        <f>'Burger-F9-F10'!M9</f>
        <v>YAPE JL</v>
      </c>
      <c r="U678" s="2">
        <f>'Burger-F9-F10'!N9</f>
        <v>140</v>
      </c>
      <c r="V678" s="2" t="str">
        <f>'Burger-F9-F10'!O9</f>
        <v/>
      </c>
      <c r="W678" s="2" t="str">
        <f>'Burger-F9-F10'!P9</f>
        <v>Greici</v>
      </c>
      <c r="X678" s="5">
        <f>'Burger-F9-F10'!Q9</f>
        <v>140</v>
      </c>
      <c r="Y678" s="1"/>
      <c r="Z678" s="1"/>
      <c r="AA678" s="1"/>
    </row>
    <row r="679">
      <c r="A679" s="1"/>
      <c r="B679" s="14">
        <f t="shared" si="13"/>
        <v>6</v>
      </c>
      <c r="C679" s="15" t="str">
        <f t="shared" si="1"/>
        <v>enero</v>
      </c>
      <c r="D679" s="15">
        <f t="shared" si="2"/>
        <v>4</v>
      </c>
      <c r="E679" s="16" t="str">
        <f t="shared" si="3"/>
        <v>miércoles</v>
      </c>
      <c r="F679" s="15">
        <f t="shared" si="4"/>
        <v>21</v>
      </c>
      <c r="G679" s="15" t="s">
        <v>25</v>
      </c>
      <c r="H679" s="3" t="str">
        <f>'Burger-F9-F10'!$G$3</f>
        <v>BURGER</v>
      </c>
      <c r="I679" s="24">
        <f>'Burger-F9-F10'!B10</f>
        <v>46043</v>
      </c>
      <c r="J679" s="2">
        <f>'Burger-F9-F10'!C10</f>
        <v>20613656058</v>
      </c>
      <c r="K679" s="2" t="str">
        <f>'Burger-F9-F10'!D10</f>
        <v> Miguel Rios López</v>
      </c>
      <c r="L679" s="2" t="str">
        <f>'Burger-F9-F10'!E10</f>
        <v>cuatroburgueses@gmail.com</v>
      </c>
      <c r="M679" s="2" t="str">
        <f>'Burger-F9-F10'!F10</f>
        <v>Pueblo Libre</v>
      </c>
      <c r="N679" s="2" t="str">
        <f>'Burger-F9-F10'!G10</f>
        <v>962 202 597</v>
      </c>
      <c r="O679" s="2" t="str">
        <f>'Burger-F9-F10'!H10</f>
        <v>X</v>
      </c>
      <c r="P679" s="2" t="str">
        <f>'Burger-F9-F10'!I10</f>
        <v/>
      </c>
      <c r="Q679" s="2">
        <f>'Burger-F9-F10'!J10</f>
        <v>62.5</v>
      </c>
      <c r="R679" s="2">
        <f>'Burger-F9-F10'!K10</f>
        <v>62.5</v>
      </c>
      <c r="S679" s="2" t="str">
        <f>'Burger-F9-F10'!L10</f>
        <v>COBR</v>
      </c>
      <c r="T679" s="2" t="str">
        <f>'Burger-F9-F10'!M10</f>
        <v>YAPE JL</v>
      </c>
      <c r="U679" s="2">
        <f>'Burger-F9-F10'!N10</f>
        <v>62.5</v>
      </c>
      <c r="V679" s="2">
        <f>'Burger-F9-F10'!O10</f>
        <v>62.5</v>
      </c>
      <c r="W679" s="2" t="str">
        <f>'Burger-F9-F10'!P10</f>
        <v>Greici</v>
      </c>
      <c r="X679" s="5">
        <f>'Burger-F9-F10'!Q10</f>
        <v>125</v>
      </c>
      <c r="Y679" s="1"/>
      <c r="Z679" s="1"/>
      <c r="AA679" s="1"/>
    </row>
    <row r="680">
      <c r="A680" s="1"/>
      <c r="B680" s="14">
        <f t="shared" si="13"/>
        <v>7</v>
      </c>
      <c r="C680" s="15" t="str">
        <f t="shared" si="1"/>
        <v>enero</v>
      </c>
      <c r="D680" s="15">
        <f t="shared" si="2"/>
        <v>4</v>
      </c>
      <c r="E680" s="16" t="str">
        <f t="shared" si="3"/>
        <v>miércoles</v>
      </c>
      <c r="F680" s="15">
        <f t="shared" si="4"/>
        <v>21</v>
      </c>
      <c r="G680" s="15" t="s">
        <v>25</v>
      </c>
      <c r="H680" s="3" t="str">
        <f>'Burger-F9-F10'!$G$3</f>
        <v>BURGER</v>
      </c>
      <c r="I680" s="24">
        <f>'Burger-F9-F10'!B11</f>
        <v>46043</v>
      </c>
      <c r="J680" s="2">
        <f>'Burger-F9-F10'!C11</f>
        <v>20613656058</v>
      </c>
      <c r="K680" s="2" t="str">
        <f>'Burger-F9-F10'!D11</f>
        <v>Diana Mora Terrones</v>
      </c>
      <c r="L680" s="2" t="str">
        <f>'Burger-F9-F10'!E11</f>
        <v>cuatroburgueses@gmail.com</v>
      </c>
      <c r="M680" s="2" t="str">
        <f>'Burger-F9-F10'!F11</f>
        <v>Pueblo Libre</v>
      </c>
      <c r="N680" s="2" t="str">
        <f>'Burger-F9-F10'!G11</f>
        <v>962 202 597</v>
      </c>
      <c r="O680" s="2" t="str">
        <f>'Burger-F9-F10'!H11</f>
        <v>X</v>
      </c>
      <c r="P680" s="2" t="str">
        <f>'Burger-F9-F10'!I11</f>
        <v/>
      </c>
      <c r="Q680" s="2">
        <f>'Burger-F9-F10'!J11</f>
        <v>62.5</v>
      </c>
      <c r="R680" s="2">
        <f>'Burger-F9-F10'!K11</f>
        <v>62.5</v>
      </c>
      <c r="S680" s="2" t="str">
        <f>'Burger-F9-F10'!L11</f>
        <v>COBR</v>
      </c>
      <c r="T680" s="2" t="str">
        <f>'Burger-F9-F10'!M11</f>
        <v>YAPE JL</v>
      </c>
      <c r="U680" s="2">
        <f>'Burger-F9-F10'!N11</f>
        <v>62.5</v>
      </c>
      <c r="V680" s="2">
        <f>'Burger-F9-F10'!O11</f>
        <v>62.5</v>
      </c>
      <c r="W680" s="2" t="str">
        <f>'Burger-F9-F10'!P11</f>
        <v>Greici</v>
      </c>
      <c r="X680" s="5">
        <f>'Burger-F9-F10'!Q11</f>
        <v>125</v>
      </c>
      <c r="Y680" s="1"/>
      <c r="Z680" s="1"/>
      <c r="AA680" s="1"/>
    </row>
    <row r="681">
      <c r="A681" s="1"/>
      <c r="B681" s="14">
        <f t="shared" si="13"/>
        <v>8</v>
      </c>
      <c r="C681" s="15" t="str">
        <f t="shared" si="1"/>
        <v>enero</v>
      </c>
      <c r="D681" s="15">
        <f t="shared" si="2"/>
        <v>4</v>
      </c>
      <c r="E681" s="16" t="str">
        <f t="shared" si="3"/>
        <v>miércoles</v>
      </c>
      <c r="F681" s="15">
        <f t="shared" si="4"/>
        <v>21</v>
      </c>
      <c r="G681" s="15" t="s">
        <v>25</v>
      </c>
      <c r="H681" s="3" t="str">
        <f>'Burger-F9-F10'!$G$3</f>
        <v>BURGER</v>
      </c>
      <c r="I681" s="24">
        <f>'Burger-F9-F10'!B12</f>
        <v>46043</v>
      </c>
      <c r="J681" s="2">
        <f>'Burger-F9-F10'!C12</f>
        <v>70954105</v>
      </c>
      <c r="K681" s="2" t="str">
        <f>'Burger-F9-F10'!D12</f>
        <v>Jesús Geldres Pérez</v>
      </c>
      <c r="L681" s="2" t="str">
        <f>'Burger-F9-F10'!E12</f>
        <v>jesusgeldres7@gmail.com</v>
      </c>
      <c r="M681" s="2" t="str">
        <f>'Burger-F9-F10'!F12</f>
        <v>SJL</v>
      </c>
      <c r="N681" s="2" t="str">
        <f>'Burger-F9-F10'!G12</f>
        <v>960 621 786</v>
      </c>
      <c r="O681" s="2" t="str">
        <f>'Burger-F9-F10'!H12</f>
        <v>X</v>
      </c>
      <c r="P681" s="2" t="str">
        <f>'Burger-F9-F10'!I12</f>
        <v/>
      </c>
      <c r="Q681" s="2">
        <f>'Burger-F9-F10'!J12</f>
        <v>80</v>
      </c>
      <c r="R681" s="2">
        <f>'Burger-F9-F10'!K12</f>
        <v>70</v>
      </c>
      <c r="S681" s="2" t="str">
        <f>'Burger-F9-F10'!L12</f>
        <v>COBR</v>
      </c>
      <c r="T681" s="2" t="str">
        <f>'Burger-F9-F10'!M12</f>
        <v>YAPE JL</v>
      </c>
      <c r="U681" s="2">
        <f>'Burger-F9-F10'!N12</f>
        <v>80</v>
      </c>
      <c r="V681" s="2">
        <f>'Burger-F9-F10'!O12</f>
        <v>70</v>
      </c>
      <c r="W681" s="2" t="str">
        <f>'Burger-F9-F10'!P12</f>
        <v>Greici</v>
      </c>
      <c r="X681" s="5">
        <f>'Burger-F9-F10'!Q12</f>
        <v>150</v>
      </c>
      <c r="Y681" s="1"/>
      <c r="Z681" s="1"/>
      <c r="AA681" s="1"/>
    </row>
    <row r="682">
      <c r="A682" s="1"/>
      <c r="B682" s="14">
        <f t="shared" si="13"/>
        <v>9</v>
      </c>
      <c r="C682" s="15" t="str">
        <f t="shared" si="1"/>
        <v>enero</v>
      </c>
      <c r="D682" s="15">
        <f t="shared" si="2"/>
        <v>4</v>
      </c>
      <c r="E682" s="16" t="str">
        <f t="shared" si="3"/>
        <v>jueves</v>
      </c>
      <c r="F682" s="15">
        <f t="shared" si="4"/>
        <v>22</v>
      </c>
      <c r="G682" s="15" t="s">
        <v>25</v>
      </c>
      <c r="H682" s="3" t="str">
        <f>'Burger-F9-F10'!$G$3</f>
        <v>BURGER</v>
      </c>
      <c r="I682" s="24">
        <f>'Burger-F9-F10'!B17</f>
        <v>46044</v>
      </c>
      <c r="J682" s="2">
        <f>'Burger-F9-F10'!C17</f>
        <v>46178506</v>
      </c>
      <c r="K682" s="2" t="str">
        <f>'Burger-F9-F10'!D17</f>
        <v>Jennifer Ríos gil </v>
      </c>
      <c r="L682" s="2" t="str">
        <f>'Burger-F9-F10'!E17</f>
        <v>Sinjul887@gmail.com</v>
      </c>
      <c r="M682" s="2" t="str">
        <f>'Burger-F9-F10'!F17</f>
        <v/>
      </c>
      <c r="N682" s="2" t="str">
        <f>'Burger-F9-F10'!G17</f>
        <v/>
      </c>
      <c r="O682" s="2" t="str">
        <f>'Burger-F9-F10'!H17</f>
        <v>x</v>
      </c>
      <c r="P682" s="2" t="str">
        <f>'Burger-F9-F10'!I17</f>
        <v/>
      </c>
      <c r="Q682" s="2">
        <f>'Burger-F9-F10'!J17</f>
        <v>150</v>
      </c>
      <c r="R682" s="2" t="str">
        <f>'Burger-F9-F10'!K17</f>
        <v/>
      </c>
      <c r="S682" s="2" t="str">
        <f>'Burger-F9-F10'!L17</f>
        <v>PAGO</v>
      </c>
      <c r="T682" s="2" t="str">
        <f>'Burger-F9-F10'!M17</f>
        <v>YAPE JL</v>
      </c>
      <c r="U682" s="2">
        <f>'Burger-F9-F10'!N17</f>
        <v>150</v>
      </c>
      <c r="V682" s="2" t="str">
        <f>'Burger-F9-F10'!O17</f>
        <v/>
      </c>
      <c r="W682" s="2" t="str">
        <f>'Burger-F9-F10'!P17</f>
        <v>Katherine</v>
      </c>
      <c r="X682" s="5">
        <f>'Burger-F9-F10'!Q17</f>
        <v>150</v>
      </c>
      <c r="Y682" s="1"/>
      <c r="Z682" s="1"/>
      <c r="AA682" s="1"/>
    </row>
    <row r="683">
      <c r="A683" s="1"/>
      <c r="B683" s="14">
        <f t="shared" si="13"/>
        <v>10</v>
      </c>
      <c r="C683" s="15" t="str">
        <f t="shared" si="1"/>
        <v>enero</v>
      </c>
      <c r="D683" s="15">
        <f t="shared" si="2"/>
        <v>4</v>
      </c>
      <c r="E683" s="16" t="str">
        <f t="shared" si="3"/>
        <v>viernes</v>
      </c>
      <c r="F683" s="15">
        <f t="shared" si="4"/>
        <v>23</v>
      </c>
      <c r="G683" s="15" t="s">
        <v>25</v>
      </c>
      <c r="H683" s="3" t="str">
        <f>'Burger-F9-F10'!$G$3</f>
        <v>BURGER</v>
      </c>
      <c r="I683" s="24">
        <f>'Burger-F9-F10'!B13</f>
        <v>46045</v>
      </c>
      <c r="J683" s="2">
        <f>'Burger-F9-F10'!C13</f>
        <v>4475965</v>
      </c>
      <c r="K683" s="2" t="str">
        <f>'Burger-F9-F10'!D13</f>
        <v>Henry Manuel Miranda Cuya</v>
      </c>
      <c r="L683" s="2" t="str">
        <f>'Burger-F9-F10'!E13</f>
        <v>Henrymc23@gmail.com</v>
      </c>
      <c r="M683" s="2" t="str">
        <f>'Burger-F9-F10'!F13</f>
        <v>SMP</v>
      </c>
      <c r="N683" s="2" t="str">
        <f>'Burger-F9-F10'!G13</f>
        <v>973 905 000</v>
      </c>
      <c r="O683" s="2" t="str">
        <f>'Burger-F9-F10'!H13</f>
        <v>X</v>
      </c>
      <c r="P683" s="2" t="str">
        <f>'Burger-F9-F10'!I13</f>
        <v/>
      </c>
      <c r="Q683" s="2">
        <f>'Burger-F9-F10'!J13</f>
        <v>62.5</v>
      </c>
      <c r="R683" s="2">
        <f>'Burger-F9-F10'!K13</f>
        <v>62.5</v>
      </c>
      <c r="S683" s="2" t="str">
        <f>'Burger-F9-F10'!L13</f>
        <v>COBR</v>
      </c>
      <c r="T683" s="2" t="str">
        <f>'Burger-F9-F10'!M13</f>
        <v>BCP EPP</v>
      </c>
      <c r="U683" s="2">
        <f>'Burger-F9-F10'!N13</f>
        <v>62.5</v>
      </c>
      <c r="V683" s="2">
        <f>'Burger-F9-F10'!O13</f>
        <v>62.5</v>
      </c>
      <c r="W683" s="2" t="str">
        <f>'Burger-F9-F10'!P13</f>
        <v>Yadhira</v>
      </c>
      <c r="X683" s="5">
        <f>'Burger-F9-F10'!Q13</f>
        <v>125</v>
      </c>
      <c r="Y683" s="1"/>
      <c r="Z683" s="1"/>
      <c r="AA683" s="1"/>
    </row>
    <row r="684">
      <c r="A684" s="1"/>
      <c r="B684" s="14">
        <f t="shared" si="13"/>
        <v>11</v>
      </c>
      <c r="C684" s="15" t="str">
        <f t="shared" si="1"/>
        <v>enero</v>
      </c>
      <c r="D684" s="15">
        <f t="shared" si="2"/>
        <v>4</v>
      </c>
      <c r="E684" s="16" t="str">
        <f t="shared" si="3"/>
        <v>viernes</v>
      </c>
      <c r="F684" s="15">
        <f t="shared" si="4"/>
        <v>23</v>
      </c>
      <c r="G684" s="15" t="s">
        <v>25</v>
      </c>
      <c r="H684" s="3" t="str">
        <f>'Burger-F9-F10'!$G$3</f>
        <v>BURGER</v>
      </c>
      <c r="I684" s="24">
        <f>'Burger-F9-F10'!B14</f>
        <v>46045</v>
      </c>
      <c r="J684" s="2">
        <f>'Burger-F9-F10'!C14</f>
        <v>46210391</v>
      </c>
      <c r="K684" s="2" t="str">
        <f>'Burger-F9-F10'!D14</f>
        <v>Sthefany Milagros Alata Romero</v>
      </c>
      <c r="L684" s="2" t="str">
        <f>'Burger-F9-F10'!E14</f>
        <v>Sthefany2321@gmail.com</v>
      </c>
      <c r="M684" s="2" t="str">
        <f>'Burger-F9-F10'!F14</f>
        <v>SMP</v>
      </c>
      <c r="N684" s="2" t="str">
        <f>'Burger-F9-F10'!G14</f>
        <v>973 905 000</v>
      </c>
      <c r="O684" s="2" t="str">
        <f>'Burger-F9-F10'!H14</f>
        <v>X</v>
      </c>
      <c r="P684" s="2" t="str">
        <f>'Burger-F9-F10'!I14</f>
        <v/>
      </c>
      <c r="Q684" s="2">
        <f>'Burger-F9-F10'!J14</f>
        <v>62.5</v>
      </c>
      <c r="R684" s="2">
        <f>'Burger-F9-F10'!K14</f>
        <v>62.5</v>
      </c>
      <c r="S684" s="2" t="str">
        <f>'Burger-F9-F10'!L14</f>
        <v>COBR</v>
      </c>
      <c r="T684" s="2" t="str">
        <f>'Burger-F9-F10'!M14</f>
        <v>BCP EPP</v>
      </c>
      <c r="U684" s="2">
        <f>'Burger-F9-F10'!N14</f>
        <v>62.5</v>
      </c>
      <c r="V684" s="2">
        <f>'Burger-F9-F10'!O14</f>
        <v>62.5</v>
      </c>
      <c r="W684" s="2" t="str">
        <f>'Burger-F9-F10'!P14</f>
        <v>Yadhira</v>
      </c>
      <c r="X684" s="5">
        <f>'Burger-F9-F10'!Q14</f>
        <v>125</v>
      </c>
      <c r="Y684" s="1"/>
      <c r="Z684" s="1"/>
      <c r="AA684" s="1"/>
    </row>
    <row r="685">
      <c r="A685" s="1"/>
      <c r="B685" s="14">
        <f t="shared" si="13"/>
        <v>12</v>
      </c>
      <c r="C685" s="15" t="str">
        <f t="shared" si="1"/>
        <v>enero</v>
      </c>
      <c r="D685" s="15">
        <f t="shared" si="2"/>
        <v>4</v>
      </c>
      <c r="E685" s="16" t="str">
        <f t="shared" si="3"/>
        <v>jueves</v>
      </c>
      <c r="F685" s="15">
        <f t="shared" si="4"/>
        <v>22</v>
      </c>
      <c r="G685" s="15" t="s">
        <v>25</v>
      </c>
      <c r="H685" s="3" t="str">
        <f>'Burger-F9-F10'!$G$3</f>
        <v>BURGER</v>
      </c>
      <c r="I685" s="24">
        <f>'Burger-F9-F10'!B15</f>
        <v>46044</v>
      </c>
      <c r="J685" s="2">
        <f>'Burger-F9-F10'!C15</f>
        <v>74471041</v>
      </c>
      <c r="K685" s="2" t="str">
        <f>'Burger-F9-F10'!D15</f>
        <v>JESUS ENRIQUE MEDINA LAZO</v>
      </c>
      <c r="L685" s="2" t="str">
        <f>'Burger-F9-F10'!E15</f>
        <v> jesus_8_n@hotmail.com </v>
      </c>
      <c r="M685" s="2" t="str">
        <f>'Burger-F9-F10'!F15</f>
        <v>VILLA EL SALVADOR</v>
      </c>
      <c r="N685" s="2">
        <f>'Burger-F9-F10'!G15</f>
        <v>944807550</v>
      </c>
      <c r="O685" s="2" t="str">
        <f>'Burger-F9-F10'!H15</f>
        <v>x</v>
      </c>
      <c r="P685" s="2" t="str">
        <f>'Burger-F9-F10'!I15</f>
        <v/>
      </c>
      <c r="Q685" s="2">
        <f>'Burger-F9-F10'!J15</f>
        <v>140</v>
      </c>
      <c r="R685" s="2" t="str">
        <f>'Burger-F9-F10'!K15</f>
        <v/>
      </c>
      <c r="S685" s="2" t="str">
        <f>'Burger-F9-F10'!L15</f>
        <v>PAGO</v>
      </c>
      <c r="T685" s="2" t="str">
        <f>'Burger-F9-F10'!M15</f>
        <v>YAPE JL</v>
      </c>
      <c r="U685" s="2">
        <f>'Burger-F9-F10'!N15</f>
        <v>140</v>
      </c>
      <c r="V685" s="2" t="str">
        <f>'Burger-F9-F10'!O15</f>
        <v/>
      </c>
      <c r="W685" s="2" t="str">
        <f>'Burger-F9-F10'!P15</f>
        <v>Sofia</v>
      </c>
      <c r="X685" s="5">
        <f>'Burger-F9-F10'!Q15</f>
        <v>140</v>
      </c>
      <c r="Y685" s="1"/>
      <c r="Z685" s="1"/>
      <c r="AA685" s="1"/>
    </row>
    <row r="686">
      <c r="A686" s="1"/>
      <c r="B686" s="14">
        <f t="shared" si="13"/>
        <v>13</v>
      </c>
      <c r="C686" s="15" t="str">
        <f t="shared" si="1"/>
        <v>enero</v>
      </c>
      <c r="D686" s="15">
        <f t="shared" si="2"/>
        <v>4</v>
      </c>
      <c r="E686" s="16" t="str">
        <f t="shared" si="3"/>
        <v>jueves</v>
      </c>
      <c r="F686" s="15">
        <f t="shared" si="4"/>
        <v>22</v>
      </c>
      <c r="G686" s="15" t="s">
        <v>25</v>
      </c>
      <c r="H686" s="3" t="str">
        <f>'Burger-F9-F10'!$G$3</f>
        <v>BURGER</v>
      </c>
      <c r="I686" s="24">
        <f>'Burger-F9-F10'!B16</f>
        <v>46044</v>
      </c>
      <c r="J686" s="2">
        <f>'Burger-F9-F10'!C16</f>
        <v>41062653</v>
      </c>
      <c r="K686" s="2" t="str">
        <f>'Burger-F9-F10'!D16</f>
        <v>Milagros Lazo Osorio</v>
      </c>
      <c r="L686" s="2" t="str">
        <f>'Burger-F9-F10'!E16</f>
        <v>lazoosoriomilagros@gmail.com</v>
      </c>
      <c r="M686" s="2" t="str">
        <f>'Burger-F9-F10'!F16</f>
        <v>VILLA EL SALVADOR</v>
      </c>
      <c r="N686" s="2">
        <f>'Burger-F9-F10'!G16</f>
        <v>944807550</v>
      </c>
      <c r="O686" s="2" t="str">
        <f>'Burger-F9-F10'!H16</f>
        <v>x</v>
      </c>
      <c r="P686" s="2" t="str">
        <f>'Burger-F9-F10'!I16</f>
        <v/>
      </c>
      <c r="Q686" s="2">
        <f>'Burger-F9-F10'!J16</f>
        <v>140</v>
      </c>
      <c r="R686" s="2" t="str">
        <f>'Burger-F9-F10'!K16</f>
        <v/>
      </c>
      <c r="S686" s="2" t="str">
        <f>'Burger-F9-F10'!L16</f>
        <v>PAGO</v>
      </c>
      <c r="T686" s="2" t="str">
        <f>'Burger-F9-F10'!M16</f>
        <v>YAPE JL</v>
      </c>
      <c r="U686" s="2">
        <f>'Burger-F9-F10'!N16</f>
        <v>140</v>
      </c>
      <c r="V686" s="2" t="str">
        <f>'Burger-F9-F10'!O16</f>
        <v/>
      </c>
      <c r="W686" s="2" t="str">
        <f>'Burger-F9-F10'!P16</f>
        <v>Sofia</v>
      </c>
      <c r="X686" s="5">
        <f>'Burger-F9-F10'!Q16</f>
        <v>140</v>
      </c>
      <c r="Y686" s="1"/>
      <c r="Z686" s="1"/>
      <c r="AA686" s="1"/>
    </row>
    <row r="687">
      <c r="A687" s="1"/>
      <c r="B687" s="14">
        <f t="shared" si="13"/>
        <v>14</v>
      </c>
      <c r="C687" s="15" t="str">
        <f t="shared" si="1"/>
        <v>enero</v>
      </c>
      <c r="D687" s="15">
        <f t="shared" si="2"/>
        <v>4</v>
      </c>
      <c r="E687" s="16" t="str">
        <f t="shared" si="3"/>
        <v>viernes</v>
      </c>
      <c r="F687" s="15">
        <f t="shared" si="4"/>
        <v>23</v>
      </c>
      <c r="G687" s="15" t="s">
        <v>25</v>
      </c>
      <c r="H687" s="3" t="str">
        <f>'Burger-F9-F10'!$G$3</f>
        <v>BURGER</v>
      </c>
      <c r="I687" s="24">
        <f>'Burger-F9-F10'!B18</f>
        <v>46045</v>
      </c>
      <c r="J687" s="2">
        <f>'Burger-F9-F10'!C18</f>
        <v>47699885</v>
      </c>
      <c r="K687" s="2" t="str">
        <f>'Burger-F9-F10'!D18</f>
        <v>Luz Fabiola Rodriguez Guerrero</v>
      </c>
      <c r="L687" s="2" t="str">
        <f>'Burger-F9-F10'!E18</f>
        <v>luzfabiolaa1603@gmail.com</v>
      </c>
      <c r="M687" s="2" t="str">
        <f>'Burger-F9-F10'!F18</f>
        <v>HUARAL</v>
      </c>
      <c r="N687" s="2" t="str">
        <f>'Burger-F9-F10'!G18</f>
        <v>989 823 869</v>
      </c>
      <c r="O687" s="2" t="str">
        <f>'Burger-F9-F10'!H18</f>
        <v>X</v>
      </c>
      <c r="P687" s="2" t="str">
        <f>'Burger-F9-F10'!I18</f>
        <v/>
      </c>
      <c r="Q687" s="2">
        <f>'Burger-F9-F10'!J18</f>
        <v>125</v>
      </c>
      <c r="R687" s="2" t="str">
        <f>'Burger-F9-F10'!K18</f>
        <v/>
      </c>
      <c r="S687" s="2" t="str">
        <f>'Burger-F9-F10'!L18</f>
        <v>PAGO</v>
      </c>
      <c r="T687" s="2" t="str">
        <f>'Burger-F9-F10'!M18</f>
        <v>YAPE JL</v>
      </c>
      <c r="U687" s="2">
        <f>'Burger-F9-F10'!N18</f>
        <v>125</v>
      </c>
      <c r="V687" s="2" t="str">
        <f>'Burger-F9-F10'!O18</f>
        <v/>
      </c>
      <c r="W687" s="2" t="str">
        <f>'Burger-F9-F10'!P18</f>
        <v>Greici</v>
      </c>
      <c r="X687" s="5">
        <f>'Burger-F9-F10'!Q18</f>
        <v>125</v>
      </c>
      <c r="Y687" s="1"/>
      <c r="Z687" s="1"/>
      <c r="AA687" s="1"/>
    </row>
    <row r="688">
      <c r="A688" s="1"/>
      <c r="B688" s="14">
        <f t="shared" si="13"/>
        <v>15</v>
      </c>
      <c r="C688" s="15" t="str">
        <f t="shared" si="1"/>
        <v>enero</v>
      </c>
      <c r="D688" s="15">
        <f t="shared" si="2"/>
        <v>4</v>
      </c>
      <c r="E688" s="16" t="str">
        <f t="shared" si="3"/>
        <v>viernes</v>
      </c>
      <c r="F688" s="15">
        <f t="shared" si="4"/>
        <v>23</v>
      </c>
      <c r="G688" s="15" t="s">
        <v>25</v>
      </c>
      <c r="H688" s="3" t="str">
        <f>'Burger-F9-F10'!$G$3</f>
        <v>BURGER</v>
      </c>
      <c r="I688" s="24">
        <f>'Burger-F9-F10'!B19</f>
        <v>46045</v>
      </c>
      <c r="J688" s="2">
        <f>'Burger-F9-F10'!C19</f>
        <v>42601788</v>
      </c>
      <c r="K688" s="2" t="str">
        <f>'Burger-F9-F10'!D19</f>
        <v>Andre Geusepee Cruz Barzola</v>
      </c>
      <c r="L688" s="2" t="str">
        <f>'Burger-F9-F10'!E19</f>
        <v>andrecruzbarzola@hotmail.com</v>
      </c>
      <c r="M688" s="2" t="str">
        <f>'Burger-F9-F10'!F19</f>
        <v>MIRAFLORES</v>
      </c>
      <c r="N688" s="2" t="str">
        <f>'Burger-F9-F10'!G19</f>
        <v>989 823 869</v>
      </c>
      <c r="O688" s="2" t="str">
        <f>'Burger-F9-F10'!H19</f>
        <v>X</v>
      </c>
      <c r="P688" s="2" t="str">
        <f>'Burger-F9-F10'!I19</f>
        <v/>
      </c>
      <c r="Q688" s="2">
        <f>'Burger-F9-F10'!J19</f>
        <v>125</v>
      </c>
      <c r="R688" s="2" t="str">
        <f>'Burger-F9-F10'!K19</f>
        <v/>
      </c>
      <c r="S688" s="2" t="str">
        <f>'Burger-F9-F10'!L19</f>
        <v>PAGO</v>
      </c>
      <c r="T688" s="2" t="str">
        <f>'Burger-F9-F10'!M19</f>
        <v>YAPE JL</v>
      </c>
      <c r="U688" s="2">
        <f>'Burger-F9-F10'!N19</f>
        <v>125</v>
      </c>
      <c r="V688" s="2" t="str">
        <f>'Burger-F9-F10'!O19</f>
        <v/>
      </c>
      <c r="W688" s="2" t="str">
        <f>'Burger-F9-F10'!P19</f>
        <v>Greici</v>
      </c>
      <c r="X688" s="5">
        <f>'Burger-F9-F10'!Q19</f>
        <v>125</v>
      </c>
      <c r="Y688" s="1"/>
      <c r="Z688" s="1"/>
      <c r="AA688" s="1"/>
    </row>
    <row r="689">
      <c r="A689" s="1"/>
      <c r="B689" s="14">
        <f t="shared" si="13"/>
        <v>16</v>
      </c>
      <c r="C689" s="15" t="str">
        <f t="shared" si="1"/>
        <v>enero</v>
      </c>
      <c r="D689" s="15">
        <f t="shared" si="2"/>
        <v>4</v>
      </c>
      <c r="E689" s="16" t="str">
        <f t="shared" si="3"/>
        <v>viernes</v>
      </c>
      <c r="F689" s="15">
        <f t="shared" si="4"/>
        <v>23</v>
      </c>
      <c r="G689" s="15" t="s">
        <v>25</v>
      </c>
      <c r="H689" s="3" t="str">
        <f>'Burger-F9-F10'!$G$3</f>
        <v>BURGER</v>
      </c>
      <c r="I689" s="24">
        <f>'Burger-F9-F10'!B20</f>
        <v>46045</v>
      </c>
      <c r="J689" s="2" t="str">
        <f>'Burger-F9-F10'!C20</f>
        <v/>
      </c>
      <c r="K689" s="2" t="str">
        <f>'Burger-F9-F10'!D20</f>
        <v>Anderson Meneses Vilca</v>
      </c>
      <c r="L689" s="2" t="str">
        <f>'Burger-F9-F10'!E20</f>
        <v/>
      </c>
      <c r="M689" s="2" t="str">
        <f>'Burger-F9-F10'!F20</f>
        <v>huachipa</v>
      </c>
      <c r="N689" s="2" t="str">
        <f>'Burger-F9-F10'!G20</f>
        <v/>
      </c>
      <c r="O689" s="2" t="str">
        <f>'Burger-F9-F10'!H20</f>
        <v>x</v>
      </c>
      <c r="P689" s="2" t="str">
        <f>'Burger-F9-F10'!I20</f>
        <v/>
      </c>
      <c r="Q689" s="2">
        <f>'Burger-F9-F10'!J20</f>
        <v>50</v>
      </c>
      <c r="R689" s="2">
        <f>'Burger-F9-F10'!K20</f>
        <v>100</v>
      </c>
      <c r="S689" s="2" t="str">
        <f>'Burger-F9-F10'!L20</f>
        <v>COBR</v>
      </c>
      <c r="T689" s="2" t="str">
        <f>'Burger-F9-F10'!M20</f>
        <v>YAPE JL</v>
      </c>
      <c r="U689" s="2">
        <f>'Burger-F9-F10'!N20</f>
        <v>50</v>
      </c>
      <c r="V689" s="2">
        <f>'Burger-F9-F10'!O20</f>
        <v>100</v>
      </c>
      <c r="W689" s="2" t="str">
        <f>'Burger-F9-F10'!P20</f>
        <v>Katherine</v>
      </c>
      <c r="X689" s="5">
        <f>'Burger-F9-F10'!Q20</f>
        <v>150</v>
      </c>
      <c r="Y689" s="1"/>
      <c r="Z689" s="1"/>
      <c r="AA689" s="1"/>
    </row>
    <row r="690">
      <c r="A690" s="1"/>
      <c r="B690" s="14">
        <f t="shared" si="13"/>
        <v>17</v>
      </c>
      <c r="C690" s="15" t="str">
        <f t="shared" si="1"/>
        <v>enero</v>
      </c>
      <c r="D690" s="15">
        <f t="shared" si="2"/>
        <v>4</v>
      </c>
      <c r="E690" s="16" t="str">
        <f t="shared" si="3"/>
        <v>miércoles</v>
      </c>
      <c r="F690" s="15">
        <f t="shared" si="4"/>
        <v>21</v>
      </c>
      <c r="G690" s="15" t="s">
        <v>25</v>
      </c>
      <c r="H690" s="3" t="str">
        <f>'Burger-F9-F10'!$G$3</f>
        <v>BURGER</v>
      </c>
      <c r="I690" s="24">
        <f>'Burger-F9-F10'!B21</f>
        <v>46043</v>
      </c>
      <c r="J690" s="2">
        <f>'Burger-F9-F10'!C21</f>
        <v>10096401286</v>
      </c>
      <c r="K690" s="2" t="str">
        <f>'Burger-F9-F10'!D21</f>
        <v>ROXANA PACCINI</v>
      </c>
      <c r="L690" s="2" t="str">
        <f>'Burger-F9-F10'!E21</f>
        <v>luis.perez@rems.pe</v>
      </c>
      <c r="M690" s="2" t="str">
        <f>'Burger-F9-F10'!F21</f>
        <v>SURCO</v>
      </c>
      <c r="N690" s="2" t="str">
        <f>'Burger-F9-F10'!G21</f>
        <v/>
      </c>
      <c r="O690" s="2" t="str">
        <f>'Burger-F9-F10'!H21</f>
        <v>X</v>
      </c>
      <c r="P690" s="2" t="str">
        <f>'Burger-F9-F10'!I21</f>
        <v/>
      </c>
      <c r="Q690" s="2">
        <f>'Burger-F9-F10'!J21</f>
        <v>62.5</v>
      </c>
      <c r="R690" s="2">
        <f>'Burger-F9-F10'!K21</f>
        <v>62.5</v>
      </c>
      <c r="S690" s="2" t="str">
        <f>'Burger-F9-F10'!L21</f>
        <v>COBR</v>
      </c>
      <c r="T690" s="2" t="str">
        <f>'Burger-F9-F10'!M21</f>
        <v>YAPE JL</v>
      </c>
      <c r="U690" s="2">
        <f>'Burger-F9-F10'!N21</f>
        <v>62.5</v>
      </c>
      <c r="V690" s="2">
        <f>'Burger-F9-F10'!O21</f>
        <v>62.5</v>
      </c>
      <c r="W690" s="2" t="str">
        <f>'Burger-F9-F10'!P21</f>
        <v>Greici</v>
      </c>
      <c r="X690" s="5">
        <f>'Burger-F9-F10'!Q21</f>
        <v>125</v>
      </c>
      <c r="Y690" s="1"/>
      <c r="Z690" s="1"/>
      <c r="AA690" s="1"/>
    </row>
    <row r="691">
      <c r="A691" s="1"/>
      <c r="B691" s="14">
        <f t="shared" si="13"/>
        <v>18</v>
      </c>
      <c r="C691" s="15" t="str">
        <f t="shared" si="1"/>
        <v>enero</v>
      </c>
      <c r="D691" s="15">
        <f t="shared" si="2"/>
        <v>4</v>
      </c>
      <c r="E691" s="16" t="str">
        <f t="shared" si="3"/>
        <v>miércoles</v>
      </c>
      <c r="F691" s="15">
        <f t="shared" si="4"/>
        <v>21</v>
      </c>
      <c r="G691" s="15" t="s">
        <v>25</v>
      </c>
      <c r="H691" s="3" t="str">
        <f>'Burger-F9-F10'!$G$3</f>
        <v>BURGER</v>
      </c>
      <c r="I691" s="24">
        <f>'Burger-F9-F10'!B22</f>
        <v>46043</v>
      </c>
      <c r="J691" s="2">
        <f>'Burger-F9-F10'!C22</f>
        <v>9935937</v>
      </c>
      <c r="K691" s="2" t="str">
        <f>'Burger-F9-F10'!D22</f>
        <v>LUIS PEREZ</v>
      </c>
      <c r="L691" s="2" t="str">
        <f>'Burger-F9-F10'!E22</f>
        <v>luis.perez@rems.pe</v>
      </c>
      <c r="M691" s="2" t="str">
        <f>'Burger-F9-F10'!F22</f>
        <v>SURCO</v>
      </c>
      <c r="N691" s="2" t="str">
        <f>'Burger-F9-F10'!G22</f>
        <v/>
      </c>
      <c r="O691" s="2" t="str">
        <f>'Burger-F9-F10'!H22</f>
        <v>X</v>
      </c>
      <c r="P691" s="2" t="str">
        <f>'Burger-F9-F10'!I22</f>
        <v/>
      </c>
      <c r="Q691" s="2">
        <f>'Burger-F9-F10'!J22</f>
        <v>62.5</v>
      </c>
      <c r="R691" s="2">
        <f>'Burger-F9-F10'!K22</f>
        <v>62.5</v>
      </c>
      <c r="S691" s="2" t="str">
        <f>'Burger-F9-F10'!L22</f>
        <v>COBR</v>
      </c>
      <c r="T691" s="2" t="str">
        <f>'Burger-F9-F10'!M22</f>
        <v>YAPE JL</v>
      </c>
      <c r="U691" s="2">
        <f>'Burger-F9-F10'!N22</f>
        <v>62.5</v>
      </c>
      <c r="V691" s="2">
        <f>'Burger-F9-F10'!O22</f>
        <v>62.5</v>
      </c>
      <c r="W691" s="2" t="str">
        <f>'Burger-F9-F10'!P22</f>
        <v>Greici</v>
      </c>
      <c r="X691" s="5">
        <f>'Burger-F9-F10'!Q22</f>
        <v>125</v>
      </c>
      <c r="Y691" s="1"/>
      <c r="Z691" s="1"/>
      <c r="AA691" s="1"/>
    </row>
    <row r="692">
      <c r="A692" s="1"/>
      <c r="B692" s="14">
        <f t="shared" si="13"/>
        <v>19</v>
      </c>
      <c r="C692" s="15" t="str">
        <f t="shared" si="1"/>
        <v>diciembre</v>
      </c>
      <c r="D692" s="15">
        <f t="shared" si="2"/>
        <v>52</v>
      </c>
      <c r="E692" s="16" t="str">
        <f t="shared" si="3"/>
        <v>sábado</v>
      </c>
      <c r="F692" s="15">
        <f t="shared" si="4"/>
        <v>30</v>
      </c>
      <c r="G692" s="15" t="s">
        <v>25</v>
      </c>
      <c r="H692" s="3" t="str">
        <f>'Burger-F9-F10'!$G$3</f>
        <v>BURGER</v>
      </c>
      <c r="I692" s="24" t="str">
        <f>'Burger-F9-F10'!B23</f>
        <v/>
      </c>
      <c r="J692" s="2" t="str">
        <f>'Burger-F9-F10'!C23</f>
        <v/>
      </c>
      <c r="K692" s="2" t="str">
        <f>'Burger-F9-F10'!D23</f>
        <v/>
      </c>
      <c r="L692" s="2" t="str">
        <f>'Burger-F9-F10'!E23</f>
        <v/>
      </c>
      <c r="M692" s="2" t="str">
        <f>'Burger-F9-F10'!F23</f>
        <v/>
      </c>
      <c r="N692" s="2" t="str">
        <f>'Burger-F9-F10'!G23</f>
        <v/>
      </c>
      <c r="O692" s="2" t="str">
        <f>'Burger-F9-F10'!H23</f>
        <v/>
      </c>
      <c r="P692" s="2" t="str">
        <f>'Burger-F9-F10'!I23</f>
        <v/>
      </c>
      <c r="Q692" s="2" t="str">
        <f>'Burger-F9-F10'!J23</f>
        <v/>
      </c>
      <c r="R692" s="2" t="str">
        <f>'Burger-F9-F10'!K23</f>
        <v/>
      </c>
      <c r="S692" s="2" t="str">
        <f>'Burger-F9-F10'!L23</f>
        <v/>
      </c>
      <c r="T692" s="2" t="str">
        <f>'Burger-F9-F10'!M23</f>
        <v/>
      </c>
      <c r="U692" s="2" t="str">
        <f>'Burger-F9-F10'!N23</f>
        <v/>
      </c>
      <c r="V692" s="2" t="str">
        <f>'Burger-F9-F10'!O23</f>
        <v/>
      </c>
      <c r="W692" s="2" t="str">
        <f>'Burger-F9-F10'!P23</f>
        <v/>
      </c>
      <c r="X692" s="5">
        <f>'Burger-F9-F10'!Q23</f>
        <v>0</v>
      </c>
      <c r="Y692" s="1"/>
      <c r="Z692" s="1"/>
      <c r="AA692" s="1"/>
    </row>
    <row r="693">
      <c r="A693" s="1"/>
      <c r="B693" s="14">
        <f t="shared" si="13"/>
        <v>20</v>
      </c>
      <c r="C693" s="15" t="str">
        <f t="shared" si="1"/>
        <v>diciembre</v>
      </c>
      <c r="D693" s="15">
        <f t="shared" si="2"/>
        <v>52</v>
      </c>
      <c r="E693" s="16" t="str">
        <f t="shared" si="3"/>
        <v>sábado</v>
      </c>
      <c r="F693" s="15">
        <f t="shared" si="4"/>
        <v>30</v>
      </c>
      <c r="G693" s="15" t="s">
        <v>25</v>
      </c>
      <c r="H693" s="3" t="str">
        <f>'Burger-F9-F10'!$G$3</f>
        <v>BURGER</v>
      </c>
      <c r="I693" s="24" t="str">
        <f>'Burger-F9-F10'!B24</f>
        <v/>
      </c>
      <c r="J693" s="2" t="str">
        <f>'Burger-F9-F10'!C24</f>
        <v/>
      </c>
      <c r="K693" s="2" t="str">
        <f>'Burger-F9-F10'!D24</f>
        <v/>
      </c>
      <c r="L693" s="2" t="str">
        <f>'Burger-F9-F10'!E24</f>
        <v/>
      </c>
      <c r="M693" s="2" t="str">
        <f>'Burger-F9-F10'!F24</f>
        <v/>
      </c>
      <c r="N693" s="2" t="str">
        <f>'Burger-F9-F10'!G24</f>
        <v/>
      </c>
      <c r="O693" s="2" t="str">
        <f>'Burger-F9-F10'!H24</f>
        <v/>
      </c>
      <c r="P693" s="2" t="str">
        <f>'Burger-F9-F10'!I24</f>
        <v/>
      </c>
      <c r="Q693" s="2" t="str">
        <f>'Burger-F9-F10'!J24</f>
        <v/>
      </c>
      <c r="R693" s="2" t="str">
        <f>'Burger-F9-F10'!K24</f>
        <v/>
      </c>
      <c r="S693" s="2" t="str">
        <f>'Burger-F9-F10'!L24</f>
        <v/>
      </c>
      <c r="T693" s="2" t="str">
        <f>'Burger-F9-F10'!M24</f>
        <v/>
      </c>
      <c r="U693" s="2" t="str">
        <f>'Burger-F9-F10'!N24</f>
        <v/>
      </c>
      <c r="V693" s="2" t="str">
        <f>'Burger-F9-F10'!O24</f>
        <v/>
      </c>
      <c r="W693" s="2" t="str">
        <f>'Burger-F9-F10'!P24</f>
        <v/>
      </c>
      <c r="X693" s="5">
        <f>'Burger-F9-F10'!Q24</f>
        <v>0</v>
      </c>
      <c r="Y693" s="1"/>
      <c r="Z693" s="1"/>
      <c r="AA693" s="1"/>
    </row>
    <row r="694">
      <c r="A694" s="1"/>
      <c r="B694" s="14">
        <f t="shared" si="13"/>
        <v>21</v>
      </c>
      <c r="C694" s="15" t="str">
        <f t="shared" si="1"/>
        <v>diciembre</v>
      </c>
      <c r="D694" s="15">
        <f t="shared" si="2"/>
        <v>52</v>
      </c>
      <c r="E694" s="16" t="str">
        <f t="shared" si="3"/>
        <v>sábado</v>
      </c>
      <c r="F694" s="15">
        <f t="shared" si="4"/>
        <v>30</v>
      </c>
      <c r="G694" s="15" t="s">
        <v>25</v>
      </c>
      <c r="H694" s="3" t="str">
        <f>'Burger-F9-F10'!$G$3</f>
        <v>BURGER</v>
      </c>
      <c r="I694" s="24" t="str">
        <f>'Burger-F9-F10'!B25</f>
        <v/>
      </c>
      <c r="J694" s="2" t="str">
        <f>'Burger-F9-F10'!C25</f>
        <v/>
      </c>
      <c r="K694" s="2" t="str">
        <f>'Burger-F9-F10'!D25</f>
        <v/>
      </c>
      <c r="L694" s="2" t="str">
        <f>'Burger-F9-F10'!E25</f>
        <v/>
      </c>
      <c r="M694" s="2" t="str">
        <f>'Burger-F9-F10'!F25</f>
        <v/>
      </c>
      <c r="N694" s="2" t="str">
        <f>'Burger-F9-F10'!G25</f>
        <v/>
      </c>
      <c r="O694" s="2" t="str">
        <f>'Burger-F9-F10'!H25</f>
        <v/>
      </c>
      <c r="P694" s="2" t="str">
        <f>'Burger-F9-F10'!I25</f>
        <v/>
      </c>
      <c r="Q694" s="2" t="str">
        <f>'Burger-F9-F10'!J25</f>
        <v/>
      </c>
      <c r="R694" s="2" t="str">
        <f>'Burger-F9-F10'!K25</f>
        <v/>
      </c>
      <c r="S694" s="2" t="str">
        <f>'Burger-F9-F10'!L25</f>
        <v/>
      </c>
      <c r="T694" s="2" t="str">
        <f>'Burger-F9-F10'!M25</f>
        <v/>
      </c>
      <c r="U694" s="2" t="str">
        <f>'Burger-F9-F10'!N25</f>
        <v/>
      </c>
      <c r="V694" s="2" t="str">
        <f>'Burger-F9-F10'!O25</f>
        <v/>
      </c>
      <c r="W694" s="2" t="str">
        <f>'Burger-F9-F10'!P25</f>
        <v/>
      </c>
      <c r="X694" s="5">
        <f>'Burger-F9-F10'!Q25</f>
        <v>0</v>
      </c>
      <c r="Y694" s="1"/>
      <c r="Z694" s="1"/>
      <c r="AA694" s="1"/>
    </row>
    <row r="695">
      <c r="A695" s="1"/>
      <c r="B695" s="14">
        <f t="shared" si="13"/>
        <v>22</v>
      </c>
      <c r="C695" s="15" t="str">
        <f t="shared" si="1"/>
        <v>diciembre</v>
      </c>
      <c r="D695" s="15">
        <f t="shared" si="2"/>
        <v>52</v>
      </c>
      <c r="E695" s="16" t="str">
        <f t="shared" si="3"/>
        <v>sábado</v>
      </c>
      <c r="F695" s="15">
        <f t="shared" si="4"/>
        <v>30</v>
      </c>
      <c r="G695" s="15" t="s">
        <v>25</v>
      </c>
      <c r="H695" s="3" t="str">
        <f>'Burger-F9-F10'!$G$3</f>
        <v>BURGER</v>
      </c>
      <c r="I695" s="24" t="str">
        <f>'Burger-F9-F10'!B26</f>
        <v/>
      </c>
      <c r="J695" s="2" t="str">
        <f>'Burger-F9-F10'!C26</f>
        <v/>
      </c>
      <c r="K695" s="2" t="str">
        <f>'Burger-F9-F10'!D26</f>
        <v/>
      </c>
      <c r="L695" s="2" t="str">
        <f>'Burger-F9-F10'!E26</f>
        <v/>
      </c>
      <c r="M695" s="2" t="str">
        <f>'Burger-F9-F10'!F26</f>
        <v/>
      </c>
      <c r="N695" s="2" t="str">
        <f>'Burger-F9-F10'!G26</f>
        <v/>
      </c>
      <c r="O695" s="2" t="str">
        <f>'Burger-F9-F10'!H26</f>
        <v/>
      </c>
      <c r="P695" s="2" t="str">
        <f>'Burger-F9-F10'!I26</f>
        <v/>
      </c>
      <c r="Q695" s="2" t="str">
        <f>'Burger-F9-F10'!J26</f>
        <v/>
      </c>
      <c r="R695" s="2" t="str">
        <f>'Burger-F9-F10'!K26</f>
        <v/>
      </c>
      <c r="S695" s="2" t="str">
        <f>'Burger-F9-F10'!L26</f>
        <v/>
      </c>
      <c r="T695" s="2" t="str">
        <f>'Burger-F9-F10'!M26</f>
        <v/>
      </c>
      <c r="U695" s="2" t="str">
        <f>'Burger-F9-F10'!N26</f>
        <v/>
      </c>
      <c r="V695" s="2" t="str">
        <f>'Burger-F9-F10'!O26</f>
        <v/>
      </c>
      <c r="W695" s="2" t="str">
        <f>'Burger-F9-F10'!P26</f>
        <v/>
      </c>
      <c r="X695" s="5">
        <f>'Burger-F9-F10'!Q26</f>
        <v>0</v>
      </c>
      <c r="Y695" s="1"/>
      <c r="Z695" s="1"/>
      <c r="AA695" s="1"/>
    </row>
    <row r="696">
      <c r="A696" s="1"/>
      <c r="B696" s="14">
        <f t="shared" si="13"/>
        <v>23</v>
      </c>
      <c r="C696" s="15" t="str">
        <f t="shared" si="1"/>
        <v>diciembre</v>
      </c>
      <c r="D696" s="15">
        <f t="shared" si="2"/>
        <v>52</v>
      </c>
      <c r="E696" s="16" t="str">
        <f t="shared" si="3"/>
        <v>sábado</v>
      </c>
      <c r="F696" s="15">
        <f t="shared" si="4"/>
        <v>30</v>
      </c>
      <c r="G696" s="15" t="s">
        <v>25</v>
      </c>
      <c r="H696" s="3" t="str">
        <f>'Burger-F9-F10'!$G$3</f>
        <v>BURGER</v>
      </c>
      <c r="I696" s="24" t="str">
        <f>'Burger-F9-F10'!B27</f>
        <v/>
      </c>
      <c r="J696" s="2" t="str">
        <f>'Burger-F9-F10'!C27</f>
        <v/>
      </c>
      <c r="K696" s="2" t="str">
        <f>'Burger-F9-F10'!D27</f>
        <v/>
      </c>
      <c r="L696" s="2" t="str">
        <f>'Burger-F9-F10'!E27</f>
        <v/>
      </c>
      <c r="M696" s="2" t="str">
        <f>'Burger-F9-F10'!F27</f>
        <v/>
      </c>
      <c r="N696" s="2" t="str">
        <f>'Burger-F9-F10'!G27</f>
        <v/>
      </c>
      <c r="O696" s="2" t="str">
        <f>'Burger-F9-F10'!H27</f>
        <v/>
      </c>
      <c r="P696" s="2" t="str">
        <f>'Burger-F9-F10'!I27</f>
        <v/>
      </c>
      <c r="Q696" s="2" t="str">
        <f>'Burger-F9-F10'!J27</f>
        <v/>
      </c>
      <c r="R696" s="2" t="str">
        <f>'Burger-F9-F10'!K27</f>
        <v/>
      </c>
      <c r="S696" s="2" t="str">
        <f>'Burger-F9-F10'!L27</f>
        <v/>
      </c>
      <c r="T696" s="2" t="str">
        <f>'Burger-F9-F10'!M27</f>
        <v/>
      </c>
      <c r="U696" s="2" t="str">
        <f>'Burger-F9-F10'!N27</f>
        <v/>
      </c>
      <c r="V696" s="2" t="str">
        <f>'Burger-F9-F10'!O27</f>
        <v/>
      </c>
      <c r="W696" s="2" t="str">
        <f>'Burger-F9-F10'!P27</f>
        <v/>
      </c>
      <c r="X696" s="5">
        <f>'Burger-F9-F10'!Q27</f>
        <v>0</v>
      </c>
      <c r="Y696" s="1"/>
      <c r="Z696" s="1"/>
      <c r="AA696" s="1"/>
    </row>
    <row r="697">
      <c r="A697" s="1"/>
      <c r="B697" s="14">
        <f t="shared" si="13"/>
        <v>24</v>
      </c>
      <c r="C697" s="15" t="str">
        <f t="shared" si="1"/>
        <v>diciembre</v>
      </c>
      <c r="D697" s="15">
        <f t="shared" si="2"/>
        <v>52</v>
      </c>
      <c r="E697" s="16" t="str">
        <f t="shared" si="3"/>
        <v>sábado</v>
      </c>
      <c r="F697" s="15">
        <f t="shared" si="4"/>
        <v>30</v>
      </c>
      <c r="G697" s="15" t="s">
        <v>25</v>
      </c>
      <c r="H697" s="3" t="str">
        <f>'Burger-F9-F10'!$G$3</f>
        <v>BURGER</v>
      </c>
      <c r="I697" s="24" t="str">
        <f>'Burger-F9-F10'!B28</f>
        <v/>
      </c>
      <c r="J697" s="2" t="str">
        <f>'Burger-F9-F10'!C28</f>
        <v/>
      </c>
      <c r="K697" s="2" t="str">
        <f>'Burger-F9-F10'!D28</f>
        <v/>
      </c>
      <c r="L697" s="2" t="str">
        <f>'Burger-F9-F10'!E28</f>
        <v/>
      </c>
      <c r="M697" s="2" t="str">
        <f>'Burger-F9-F10'!F28</f>
        <v/>
      </c>
      <c r="N697" s="2" t="str">
        <f>'Burger-F9-F10'!G28</f>
        <v/>
      </c>
      <c r="O697" s="2" t="str">
        <f>'Burger-F9-F10'!H28</f>
        <v/>
      </c>
      <c r="P697" s="2" t="str">
        <f>'Burger-F9-F10'!I28</f>
        <v/>
      </c>
      <c r="Q697" s="2" t="str">
        <f>'Burger-F9-F10'!J28</f>
        <v/>
      </c>
      <c r="R697" s="2" t="str">
        <f>'Burger-F9-F10'!K28</f>
        <v/>
      </c>
      <c r="S697" s="2" t="str">
        <f>'Burger-F9-F10'!L28</f>
        <v/>
      </c>
      <c r="T697" s="2" t="str">
        <f>'Burger-F9-F10'!M28</f>
        <v/>
      </c>
      <c r="U697" s="2" t="str">
        <f>'Burger-F9-F10'!N28</f>
        <v/>
      </c>
      <c r="V697" s="2" t="str">
        <f>'Burger-F9-F10'!O28</f>
        <v/>
      </c>
      <c r="W697" s="2" t="str">
        <f>'Burger-F9-F10'!P28</f>
        <v/>
      </c>
      <c r="X697" s="5">
        <f>'Burger-F9-F10'!Q28</f>
        <v>0</v>
      </c>
      <c r="Y697" s="1"/>
      <c r="Z697" s="1"/>
      <c r="AA697" s="1"/>
    </row>
    <row r="698">
      <c r="A698" s="1"/>
      <c r="B698" s="14">
        <f t="shared" si="13"/>
        <v>25</v>
      </c>
      <c r="C698" s="15" t="str">
        <f t="shared" si="1"/>
        <v>diciembre</v>
      </c>
      <c r="D698" s="15">
        <f t="shared" si="2"/>
        <v>52</v>
      </c>
      <c r="E698" s="16" t="str">
        <f t="shared" si="3"/>
        <v>sábado</v>
      </c>
      <c r="F698" s="15">
        <f t="shared" si="4"/>
        <v>30</v>
      </c>
      <c r="G698" s="15" t="s">
        <v>25</v>
      </c>
      <c r="H698" s="3" t="str">
        <f>'Burger-F9-F10'!$G$3</f>
        <v>BURGER</v>
      </c>
      <c r="I698" s="24" t="str">
        <f>'Burger-F9-F10'!B29</f>
        <v/>
      </c>
      <c r="J698" s="2" t="str">
        <f>'Burger-F9-F10'!C29</f>
        <v/>
      </c>
      <c r="K698" s="2" t="str">
        <f>'Burger-F9-F10'!D29</f>
        <v/>
      </c>
      <c r="L698" s="2" t="str">
        <f>'Burger-F9-F10'!E29</f>
        <v/>
      </c>
      <c r="M698" s="2" t="str">
        <f>'Burger-F9-F10'!F29</f>
        <v/>
      </c>
      <c r="N698" s="2" t="str">
        <f>'Burger-F9-F10'!G29</f>
        <v/>
      </c>
      <c r="O698" s="2" t="str">
        <f>'Burger-F9-F10'!H29</f>
        <v/>
      </c>
      <c r="P698" s="2" t="str">
        <f>'Burger-F9-F10'!I29</f>
        <v/>
      </c>
      <c r="Q698" s="2" t="str">
        <f>'Burger-F9-F10'!J29</f>
        <v/>
      </c>
      <c r="R698" s="2" t="str">
        <f>'Burger-F9-F10'!K29</f>
        <v/>
      </c>
      <c r="S698" s="2" t="str">
        <f>'Burger-F9-F10'!L29</f>
        <v/>
      </c>
      <c r="T698" s="2" t="str">
        <f>'Burger-F9-F10'!M29</f>
        <v/>
      </c>
      <c r="U698" s="2" t="str">
        <f>'Burger-F9-F10'!N29</f>
        <v/>
      </c>
      <c r="V698" s="2" t="str">
        <f>'Burger-F9-F10'!O29</f>
        <v/>
      </c>
      <c r="W698" s="2" t="str">
        <f>'Burger-F9-F10'!P29</f>
        <v/>
      </c>
      <c r="X698" s="5">
        <f>'Burger-F9-F10'!Q29</f>
        <v>0</v>
      </c>
      <c r="Y698" s="1"/>
      <c r="Z698" s="1"/>
      <c r="AA698" s="1"/>
    </row>
    <row r="699">
      <c r="A699" s="1"/>
      <c r="B699" s="14">
        <f t="shared" si="13"/>
        <v>26</v>
      </c>
      <c r="C699" s="15" t="str">
        <f t="shared" si="1"/>
        <v>diciembre</v>
      </c>
      <c r="D699" s="15">
        <f t="shared" si="2"/>
        <v>52</v>
      </c>
      <c r="E699" s="16" t="str">
        <f t="shared" si="3"/>
        <v>sábado</v>
      </c>
      <c r="F699" s="15">
        <f t="shared" si="4"/>
        <v>30</v>
      </c>
      <c r="G699" s="15" t="s">
        <v>25</v>
      </c>
      <c r="H699" s="3" t="str">
        <f>'Burger-F9-F10'!$G$3</f>
        <v>BURGER</v>
      </c>
      <c r="I699" s="24" t="str">
        <f>'Burger-F9-F10'!B30</f>
        <v/>
      </c>
      <c r="J699" s="2" t="str">
        <f>'Burger-F9-F10'!C30</f>
        <v/>
      </c>
      <c r="K699" s="2" t="str">
        <f>'Burger-F9-F10'!D30</f>
        <v/>
      </c>
      <c r="L699" s="2" t="str">
        <f>'Burger-F9-F10'!E30</f>
        <v/>
      </c>
      <c r="M699" s="2" t="str">
        <f>'Burger-F9-F10'!F30</f>
        <v/>
      </c>
      <c r="N699" s="2" t="str">
        <f>'Burger-F9-F10'!G30</f>
        <v/>
      </c>
      <c r="O699" s="2" t="str">
        <f>'Burger-F9-F10'!H30</f>
        <v/>
      </c>
      <c r="P699" s="2" t="str">
        <f>'Burger-F9-F10'!I30</f>
        <v/>
      </c>
      <c r="Q699" s="2" t="str">
        <f>'Burger-F9-F10'!J30</f>
        <v/>
      </c>
      <c r="R699" s="2" t="str">
        <f>'Burger-F9-F10'!K30</f>
        <v/>
      </c>
      <c r="S699" s="2" t="str">
        <f>'Burger-F9-F10'!L30</f>
        <v/>
      </c>
      <c r="T699" s="2" t="str">
        <f>'Burger-F9-F10'!M30</f>
        <v/>
      </c>
      <c r="U699" s="2" t="str">
        <f>'Burger-F9-F10'!N30</f>
        <v/>
      </c>
      <c r="V699" s="2" t="str">
        <f>'Burger-F9-F10'!O30</f>
        <v/>
      </c>
      <c r="W699" s="2" t="str">
        <f>'Burger-F9-F10'!P30</f>
        <v/>
      </c>
      <c r="X699" s="5">
        <f>'Burger-F9-F10'!Q30</f>
        <v>0</v>
      </c>
      <c r="Y699" s="1"/>
      <c r="Z699" s="1"/>
      <c r="AA699" s="1"/>
    </row>
    <row r="700">
      <c r="A700" s="1"/>
      <c r="B700" s="14">
        <f t="shared" si="13"/>
        <v>27</v>
      </c>
      <c r="C700" s="15" t="str">
        <f t="shared" si="1"/>
        <v>diciembre</v>
      </c>
      <c r="D700" s="15">
        <f t="shared" si="2"/>
        <v>52</v>
      </c>
      <c r="E700" s="16" t="str">
        <f t="shared" si="3"/>
        <v>sábado</v>
      </c>
      <c r="F700" s="15">
        <f t="shared" si="4"/>
        <v>30</v>
      </c>
      <c r="G700" s="15" t="s">
        <v>25</v>
      </c>
      <c r="H700" s="3" t="str">
        <f>'Burger-F9-F10'!$G$3</f>
        <v>BURGER</v>
      </c>
      <c r="I700" s="24" t="str">
        <f>'Burger-F9-F10'!B31</f>
        <v/>
      </c>
      <c r="J700" s="2" t="str">
        <f>'Burger-F9-F10'!C31</f>
        <v/>
      </c>
      <c r="K700" s="2" t="str">
        <f>'Burger-F9-F10'!D31</f>
        <v/>
      </c>
      <c r="L700" s="2" t="str">
        <f>'Burger-F9-F10'!E31</f>
        <v/>
      </c>
      <c r="M700" s="2" t="str">
        <f>'Burger-F9-F10'!F31</f>
        <v/>
      </c>
      <c r="N700" s="2" t="str">
        <f>'Burger-F9-F10'!G31</f>
        <v/>
      </c>
      <c r="O700" s="2" t="str">
        <f>'Burger-F9-F10'!H31</f>
        <v/>
      </c>
      <c r="P700" s="2" t="str">
        <f>'Burger-F9-F10'!I31</f>
        <v/>
      </c>
      <c r="Q700" s="2" t="str">
        <f>'Burger-F9-F10'!J31</f>
        <v/>
      </c>
      <c r="R700" s="2" t="str">
        <f>'Burger-F9-F10'!K31</f>
        <v/>
      </c>
      <c r="S700" s="2" t="str">
        <f>'Burger-F9-F10'!L31</f>
        <v/>
      </c>
      <c r="T700" s="2" t="str">
        <f>'Burger-F9-F10'!M31</f>
        <v/>
      </c>
      <c r="U700" s="2" t="str">
        <f>'Burger-F9-F10'!N31</f>
        <v/>
      </c>
      <c r="V700" s="2" t="str">
        <f>'Burger-F9-F10'!O31</f>
        <v/>
      </c>
      <c r="W700" s="2" t="str">
        <f>'Burger-F9-F10'!P31</f>
        <v/>
      </c>
      <c r="X700" s="5">
        <f>'Burger-F9-F10'!Q31</f>
        <v>0</v>
      </c>
      <c r="Y700" s="1"/>
      <c r="Z700" s="1"/>
      <c r="AA700" s="1"/>
    </row>
    <row r="701">
      <c r="A701" s="1"/>
      <c r="B701" s="14">
        <f t="shared" si="13"/>
        <v>28</v>
      </c>
      <c r="C701" s="15" t="str">
        <f t="shared" si="1"/>
        <v>diciembre</v>
      </c>
      <c r="D701" s="15">
        <f t="shared" si="2"/>
        <v>52</v>
      </c>
      <c r="E701" s="16" t="str">
        <f t="shared" si="3"/>
        <v>sábado</v>
      </c>
      <c r="F701" s="15">
        <f t="shared" si="4"/>
        <v>30</v>
      </c>
      <c r="G701" s="15" t="s">
        <v>25</v>
      </c>
      <c r="H701" s="3" t="str">
        <f>'Burger-F9-F10'!$G$3</f>
        <v>BURGER</v>
      </c>
      <c r="I701" s="24" t="str">
        <f>'Burger-F9-F10'!B32</f>
        <v/>
      </c>
      <c r="J701" s="2" t="str">
        <f>'Burger-F9-F10'!C32</f>
        <v/>
      </c>
      <c r="K701" s="2" t="str">
        <f>'Burger-F9-F10'!D32</f>
        <v/>
      </c>
      <c r="L701" s="2" t="str">
        <f>'Burger-F9-F10'!E32</f>
        <v/>
      </c>
      <c r="M701" s="2" t="str">
        <f>'Burger-F9-F10'!F32</f>
        <v/>
      </c>
      <c r="N701" s="2" t="str">
        <f>'Burger-F9-F10'!G32</f>
        <v/>
      </c>
      <c r="O701" s="2" t="str">
        <f>'Burger-F9-F10'!H32</f>
        <v/>
      </c>
      <c r="P701" s="2" t="str">
        <f>'Burger-F9-F10'!I32</f>
        <v/>
      </c>
      <c r="Q701" s="2" t="str">
        <f>'Burger-F9-F10'!J32</f>
        <v/>
      </c>
      <c r="R701" s="2" t="str">
        <f>'Burger-F9-F10'!K32</f>
        <v/>
      </c>
      <c r="S701" s="2" t="str">
        <f>'Burger-F9-F10'!L32</f>
        <v/>
      </c>
      <c r="T701" s="2" t="str">
        <f>'Burger-F9-F10'!M32</f>
        <v/>
      </c>
      <c r="U701" s="2" t="str">
        <f>'Burger-F9-F10'!N32</f>
        <v/>
      </c>
      <c r="V701" s="2" t="str">
        <f>'Burger-F9-F10'!O32</f>
        <v/>
      </c>
      <c r="W701" s="2" t="str">
        <f>'Burger-F9-F10'!P32</f>
        <v/>
      </c>
      <c r="X701" s="5">
        <f>'Burger-F9-F10'!Q32</f>
        <v>0</v>
      </c>
      <c r="Y701" s="1"/>
      <c r="Z701" s="1"/>
      <c r="AA701" s="1"/>
    </row>
    <row r="702">
      <c r="A702" s="1"/>
      <c r="B702" s="14">
        <f t="shared" si="13"/>
        <v>29</v>
      </c>
      <c r="C702" s="15" t="str">
        <f t="shared" si="1"/>
        <v>diciembre</v>
      </c>
      <c r="D702" s="15">
        <f t="shared" si="2"/>
        <v>52</v>
      </c>
      <c r="E702" s="16" t="str">
        <f t="shared" si="3"/>
        <v>sábado</v>
      </c>
      <c r="F702" s="15">
        <f t="shared" si="4"/>
        <v>30</v>
      </c>
      <c r="G702" s="15" t="s">
        <v>25</v>
      </c>
      <c r="H702" s="3" t="str">
        <f>'Burger-F9-F10'!$G$3</f>
        <v>BURGER</v>
      </c>
      <c r="I702" s="24" t="str">
        <f>'Burger-F9-F10'!B33</f>
        <v/>
      </c>
      <c r="J702" s="2" t="str">
        <f>'Burger-F9-F10'!C33</f>
        <v/>
      </c>
      <c r="K702" s="2" t="str">
        <f>'Burger-F9-F10'!D33</f>
        <v/>
      </c>
      <c r="L702" s="2" t="str">
        <f>'Burger-F9-F10'!E33</f>
        <v/>
      </c>
      <c r="M702" s="2" t="str">
        <f>'Burger-F9-F10'!F33</f>
        <v/>
      </c>
      <c r="N702" s="2" t="str">
        <f>'Burger-F9-F10'!G33</f>
        <v/>
      </c>
      <c r="O702" s="2" t="str">
        <f>'Burger-F9-F10'!H33</f>
        <v/>
      </c>
      <c r="P702" s="2" t="str">
        <f>'Burger-F9-F10'!I33</f>
        <v/>
      </c>
      <c r="Q702" s="2" t="str">
        <f>'Burger-F9-F10'!J33</f>
        <v/>
      </c>
      <c r="R702" s="2" t="str">
        <f>'Burger-F9-F10'!K33</f>
        <v/>
      </c>
      <c r="S702" s="2" t="str">
        <f>'Burger-F9-F10'!L33</f>
        <v/>
      </c>
      <c r="T702" s="2" t="str">
        <f>'Burger-F9-F10'!M33</f>
        <v/>
      </c>
      <c r="U702" s="2" t="str">
        <f>'Burger-F9-F10'!N33</f>
        <v/>
      </c>
      <c r="V702" s="2" t="str">
        <f>'Burger-F9-F10'!O33</f>
        <v/>
      </c>
      <c r="W702" s="2" t="str">
        <f>'Burger-F9-F10'!P33</f>
        <v/>
      </c>
      <c r="X702" s="5" t="str">
        <f>'Burger-F9-F10'!Q33</f>
        <v/>
      </c>
      <c r="Y702" s="1"/>
      <c r="Z702" s="1"/>
      <c r="AA702" s="1"/>
    </row>
    <row r="703">
      <c r="A703" s="1"/>
      <c r="B703" s="14">
        <f t="shared" si="13"/>
        <v>30</v>
      </c>
      <c r="C703" s="15" t="str">
        <f t="shared" si="1"/>
        <v>diciembre</v>
      </c>
      <c r="D703" s="15">
        <f t="shared" si="2"/>
        <v>52</v>
      </c>
      <c r="E703" s="16" t="str">
        <f t="shared" si="3"/>
        <v>sábado</v>
      </c>
      <c r="F703" s="15">
        <f t="shared" si="4"/>
        <v>30</v>
      </c>
      <c r="G703" s="15" t="s">
        <v>25</v>
      </c>
      <c r="H703" s="3" t="str">
        <f>'Burger-F9-F10'!$G$3</f>
        <v>BURGER</v>
      </c>
      <c r="I703" s="24" t="str">
        <f>'Burger-F9-F10'!B34</f>
        <v/>
      </c>
      <c r="J703" s="2" t="str">
        <f>'Burger-F9-F10'!C34</f>
        <v/>
      </c>
      <c r="K703" s="2" t="str">
        <f>'Burger-F9-F10'!D34</f>
        <v/>
      </c>
      <c r="L703" s="2" t="str">
        <f>'Burger-F9-F10'!E34</f>
        <v/>
      </c>
      <c r="M703" s="2" t="str">
        <f>'Burger-F9-F10'!F34</f>
        <v/>
      </c>
      <c r="N703" s="2" t="str">
        <f>'Burger-F9-F10'!G34</f>
        <v/>
      </c>
      <c r="O703" s="2" t="str">
        <f>'Burger-F9-F10'!H34</f>
        <v/>
      </c>
      <c r="P703" s="2" t="str">
        <f>'Burger-F9-F10'!I34</f>
        <v/>
      </c>
      <c r="Q703" s="2" t="str">
        <f>'Burger-F9-F10'!J34</f>
        <v/>
      </c>
      <c r="R703" s="2" t="str">
        <f>'Burger-F9-F10'!K34</f>
        <v/>
      </c>
      <c r="S703" s="2" t="str">
        <f>'Burger-F9-F10'!L34</f>
        <v/>
      </c>
      <c r="T703" s="2" t="str">
        <f>'Burger-F9-F10'!M34</f>
        <v/>
      </c>
      <c r="U703" s="2" t="str">
        <f>'Burger-F9-F10'!N34</f>
        <v/>
      </c>
      <c r="V703" s="2" t="str">
        <f>'Burger-F9-F10'!O34</f>
        <v/>
      </c>
      <c r="W703" s="2" t="str">
        <f>'Burger-F9-F10'!P34</f>
        <v/>
      </c>
      <c r="X703" s="5" t="str">
        <f>'Burger-F9-F10'!Q34</f>
        <v/>
      </c>
      <c r="Y703" s="1"/>
      <c r="Z703" s="1"/>
      <c r="AA703" s="1"/>
    </row>
    <row r="704">
      <c r="A704" s="1"/>
      <c r="B704" s="14">
        <f t="shared" si="13"/>
        <v>31</v>
      </c>
      <c r="C704" s="15" t="str">
        <f t="shared" si="1"/>
        <v>diciembre</v>
      </c>
      <c r="D704" s="15">
        <f t="shared" si="2"/>
        <v>52</v>
      </c>
      <c r="E704" s="16" t="str">
        <f t="shared" si="3"/>
        <v>sábado</v>
      </c>
      <c r="F704" s="15">
        <f t="shared" si="4"/>
        <v>30</v>
      </c>
      <c r="G704" s="15" t="s">
        <v>25</v>
      </c>
      <c r="H704" s="3" t="str">
        <f>'Burger-F9-F10'!$G$3</f>
        <v>BURGER</v>
      </c>
      <c r="I704" s="24" t="str">
        <f>'Burger-F9-F10'!B35</f>
        <v/>
      </c>
      <c r="J704" s="2" t="str">
        <f>'Burger-F9-F10'!C35</f>
        <v/>
      </c>
      <c r="K704" s="2" t="str">
        <f>'Burger-F9-F10'!D35</f>
        <v/>
      </c>
      <c r="L704" s="2" t="str">
        <f>'Burger-F9-F10'!E35</f>
        <v/>
      </c>
      <c r="M704" s="2" t="str">
        <f>'Burger-F9-F10'!F35</f>
        <v/>
      </c>
      <c r="N704" s="2" t="str">
        <f>'Burger-F9-F10'!G35</f>
        <v/>
      </c>
      <c r="O704" s="2" t="str">
        <f>'Burger-F9-F10'!H35</f>
        <v/>
      </c>
      <c r="P704" s="2" t="str">
        <f>'Burger-F9-F10'!I35</f>
        <v/>
      </c>
      <c r="Q704" s="2" t="str">
        <f>'Burger-F9-F10'!J35</f>
        <v/>
      </c>
      <c r="R704" s="2" t="str">
        <f>'Burger-F9-F10'!K35</f>
        <v/>
      </c>
      <c r="S704" s="2" t="str">
        <f>'Burger-F9-F10'!L35</f>
        <v/>
      </c>
      <c r="T704" s="2" t="str">
        <f>'Burger-F9-F10'!M35</f>
        <v/>
      </c>
      <c r="U704" s="2" t="str">
        <f>'Burger-F9-F10'!N35</f>
        <v/>
      </c>
      <c r="V704" s="2" t="str">
        <f>'Burger-F9-F10'!O35</f>
        <v/>
      </c>
      <c r="W704" s="2" t="str">
        <f>'Burger-F9-F10'!P35</f>
        <v/>
      </c>
      <c r="X704" s="5" t="str">
        <f>'Burger-F9-F10'!Q35</f>
        <v/>
      </c>
      <c r="Y704" s="1"/>
      <c r="Z704" s="1"/>
      <c r="AA704" s="1"/>
    </row>
    <row r="705">
      <c r="A705" s="1"/>
      <c r="B705" s="14">
        <f t="shared" si="13"/>
        <v>32</v>
      </c>
      <c r="C705" s="15" t="str">
        <f t="shared" si="1"/>
        <v>diciembre</v>
      </c>
      <c r="D705" s="15">
        <f t="shared" si="2"/>
        <v>52</v>
      </c>
      <c r="E705" s="16" t="str">
        <f t="shared" si="3"/>
        <v>sábado</v>
      </c>
      <c r="F705" s="15">
        <f t="shared" si="4"/>
        <v>30</v>
      </c>
      <c r="G705" s="15" t="s">
        <v>25</v>
      </c>
      <c r="H705" s="3" t="str">
        <f>'Burger-F9-F10'!$G$3</f>
        <v>BURGER</v>
      </c>
      <c r="I705" s="24" t="str">
        <f>'Burger-F9-F10'!B36</f>
        <v/>
      </c>
      <c r="J705" s="2" t="str">
        <f>'Burger-F9-F10'!C36</f>
        <v/>
      </c>
      <c r="K705" s="2" t="str">
        <f>'Burger-F9-F10'!D36</f>
        <v/>
      </c>
      <c r="L705" s="2" t="str">
        <f>'Burger-F9-F10'!E36</f>
        <v/>
      </c>
      <c r="M705" s="2" t="str">
        <f>'Burger-F9-F10'!F36</f>
        <v/>
      </c>
      <c r="N705" s="2" t="str">
        <f>'Burger-F9-F10'!G36</f>
        <v/>
      </c>
      <c r="O705" s="2" t="str">
        <f>'Burger-F9-F10'!H36</f>
        <v/>
      </c>
      <c r="P705" s="2" t="str">
        <f>'Burger-F9-F10'!I36</f>
        <v/>
      </c>
      <c r="Q705" s="2" t="str">
        <f>'Burger-F9-F10'!J36</f>
        <v/>
      </c>
      <c r="R705" s="2" t="str">
        <f>'Burger-F9-F10'!K36</f>
        <v/>
      </c>
      <c r="S705" s="2" t="str">
        <f>'Burger-F9-F10'!L36</f>
        <v/>
      </c>
      <c r="T705" s="2" t="str">
        <f>'Burger-F9-F10'!M36</f>
        <v/>
      </c>
      <c r="U705" s="2" t="str">
        <f>'Burger-F9-F10'!N36</f>
        <v/>
      </c>
      <c r="V705" s="2" t="str">
        <f>'Burger-F9-F10'!O36</f>
        <v/>
      </c>
      <c r="W705" s="2" t="str">
        <f>'Burger-F9-F10'!P36</f>
        <v/>
      </c>
      <c r="X705" s="5">
        <f>'Burger-F9-F10'!Q36</f>
        <v>0</v>
      </c>
      <c r="Y705" s="1"/>
      <c r="Z705" s="1"/>
      <c r="AA705" s="1"/>
    </row>
    <row r="706">
      <c r="A706" s="1"/>
      <c r="B706" s="14">
        <f t="shared" si="13"/>
        <v>33</v>
      </c>
      <c r="C706" s="15" t="str">
        <f t="shared" si="1"/>
        <v>diciembre</v>
      </c>
      <c r="D706" s="15">
        <f t="shared" si="2"/>
        <v>52</v>
      </c>
      <c r="E706" s="16" t="str">
        <f t="shared" si="3"/>
        <v>sábado</v>
      </c>
      <c r="F706" s="15">
        <f t="shared" si="4"/>
        <v>30</v>
      </c>
      <c r="G706" s="15" t="s">
        <v>25</v>
      </c>
      <c r="H706" s="3" t="str">
        <f>'Burger-F9-F10'!$G$3</f>
        <v>BURGER</v>
      </c>
      <c r="I706" s="24" t="str">
        <f>'Burger-F9-F10'!B37</f>
        <v/>
      </c>
      <c r="J706" s="2" t="str">
        <f>'Burger-F9-F10'!C37</f>
        <v/>
      </c>
      <c r="K706" s="2" t="str">
        <f>'Burger-F9-F10'!D37</f>
        <v/>
      </c>
      <c r="L706" s="2" t="str">
        <f>'Burger-F9-F10'!E37</f>
        <v/>
      </c>
      <c r="M706" s="2" t="str">
        <f>'Burger-F9-F10'!F37</f>
        <v/>
      </c>
      <c r="N706" s="2" t="str">
        <f>'Burger-F9-F10'!G37</f>
        <v/>
      </c>
      <c r="O706" s="2" t="str">
        <f>'Burger-F9-F10'!H37</f>
        <v/>
      </c>
      <c r="P706" s="2" t="str">
        <f>'Burger-F9-F10'!I37</f>
        <v/>
      </c>
      <c r="Q706" s="2" t="str">
        <f>'Burger-F9-F10'!J37</f>
        <v/>
      </c>
      <c r="R706" s="2" t="str">
        <f>'Burger-F9-F10'!K37</f>
        <v/>
      </c>
      <c r="S706" s="2" t="str">
        <f>'Burger-F9-F10'!L37</f>
        <v/>
      </c>
      <c r="T706" s="2" t="str">
        <f>'Burger-F9-F10'!M37</f>
        <v/>
      </c>
      <c r="U706" s="2" t="str">
        <f>'Burger-F9-F10'!N37</f>
        <v/>
      </c>
      <c r="V706" s="2" t="str">
        <f>'Burger-F9-F10'!O37</f>
        <v/>
      </c>
      <c r="W706" s="2" t="str">
        <f>'Burger-F9-F10'!P37</f>
        <v/>
      </c>
      <c r="X706" s="5">
        <f>'Burger-F9-F10'!Q37</f>
        <v>0</v>
      </c>
      <c r="Y706" s="1"/>
      <c r="Z706" s="1"/>
      <c r="AA706" s="1"/>
    </row>
    <row r="707">
      <c r="A707" s="1"/>
      <c r="B707" s="14">
        <f t="shared" si="13"/>
        <v>34</v>
      </c>
      <c r="C707" s="15" t="str">
        <f t="shared" si="1"/>
        <v>diciembre</v>
      </c>
      <c r="D707" s="15">
        <f t="shared" si="2"/>
        <v>52</v>
      </c>
      <c r="E707" s="16" t="str">
        <f t="shared" si="3"/>
        <v>sábado</v>
      </c>
      <c r="F707" s="15">
        <f t="shared" si="4"/>
        <v>30</v>
      </c>
      <c r="G707" s="15" t="s">
        <v>25</v>
      </c>
      <c r="H707" s="3" t="str">
        <f>'Burger-F9-F10'!$G$3</f>
        <v>BURGER</v>
      </c>
      <c r="I707" s="24" t="str">
        <f>'Burger-F9-F10'!B38</f>
        <v/>
      </c>
      <c r="J707" s="2" t="str">
        <f>'Burger-F9-F10'!C38</f>
        <v/>
      </c>
      <c r="K707" s="2" t="str">
        <f>'Burger-F9-F10'!D38</f>
        <v/>
      </c>
      <c r="L707" s="2" t="str">
        <f>'Burger-F9-F10'!E38</f>
        <v/>
      </c>
      <c r="M707" s="2" t="str">
        <f>'Burger-F9-F10'!F38</f>
        <v/>
      </c>
      <c r="N707" s="2" t="str">
        <f>'Burger-F9-F10'!G38</f>
        <v/>
      </c>
      <c r="O707" s="2" t="str">
        <f>'Burger-F9-F10'!H38</f>
        <v/>
      </c>
      <c r="P707" s="2" t="str">
        <f>'Burger-F9-F10'!I38</f>
        <v/>
      </c>
      <c r="Q707" s="2" t="str">
        <f>'Burger-F9-F10'!J38</f>
        <v/>
      </c>
      <c r="R707" s="2" t="str">
        <f>'Burger-F9-F10'!K38</f>
        <v/>
      </c>
      <c r="S707" s="2" t="str">
        <f>'Burger-F9-F10'!L38</f>
        <v/>
      </c>
      <c r="T707" s="2" t="str">
        <f>'Burger-F9-F10'!M38</f>
        <v/>
      </c>
      <c r="U707" s="2" t="str">
        <f>'Burger-F9-F10'!N38</f>
        <v/>
      </c>
      <c r="V707" s="2" t="str">
        <f>'Burger-F9-F10'!O38</f>
        <v/>
      </c>
      <c r="W707" s="2" t="str">
        <f>'Burger-F9-F10'!P38</f>
        <v/>
      </c>
      <c r="X707" s="5">
        <f>'Burger-F9-F10'!Q38</f>
        <v>0</v>
      </c>
      <c r="Y707" s="1"/>
      <c r="Z707" s="1"/>
      <c r="AA707" s="1"/>
    </row>
    <row r="708">
      <c r="A708" s="1"/>
      <c r="B708" s="14">
        <f t="shared" si="13"/>
        <v>35</v>
      </c>
      <c r="C708" s="15" t="str">
        <f t="shared" si="1"/>
        <v>diciembre</v>
      </c>
      <c r="D708" s="15">
        <f t="shared" si="2"/>
        <v>52</v>
      </c>
      <c r="E708" s="16" t="str">
        <f t="shared" si="3"/>
        <v>sábado</v>
      </c>
      <c r="F708" s="15">
        <f t="shared" si="4"/>
        <v>30</v>
      </c>
      <c r="G708" s="15" t="s">
        <v>25</v>
      </c>
      <c r="H708" s="3" t="str">
        <f>'Burger-F9-F10'!$G$3</f>
        <v>BURGER</v>
      </c>
      <c r="I708" s="24" t="str">
        <f>'Burger-F9-F10'!B39</f>
        <v/>
      </c>
      <c r="J708" s="2" t="str">
        <f>'Burger-F9-F10'!C39</f>
        <v/>
      </c>
      <c r="K708" s="2" t="str">
        <f>'Burger-F9-F10'!D39</f>
        <v/>
      </c>
      <c r="L708" s="2" t="str">
        <f>'Burger-F9-F10'!E39</f>
        <v/>
      </c>
      <c r="M708" s="2" t="str">
        <f>'Burger-F9-F10'!F39</f>
        <v/>
      </c>
      <c r="N708" s="2" t="str">
        <f>'Burger-F9-F10'!G39</f>
        <v/>
      </c>
      <c r="O708" s="2" t="str">
        <f>'Burger-F9-F10'!H39</f>
        <v/>
      </c>
      <c r="P708" s="2" t="str">
        <f>'Burger-F9-F10'!I39</f>
        <v/>
      </c>
      <c r="Q708" s="2" t="str">
        <f>'Burger-F9-F10'!J39</f>
        <v/>
      </c>
      <c r="R708" s="2" t="str">
        <f>'Burger-F9-F10'!K39</f>
        <v/>
      </c>
      <c r="S708" s="2" t="str">
        <f>'Burger-F9-F10'!L39</f>
        <v/>
      </c>
      <c r="T708" s="2" t="str">
        <f>'Burger-F9-F10'!M39</f>
        <v/>
      </c>
      <c r="U708" s="2" t="str">
        <f>'Burger-F9-F10'!N39</f>
        <v/>
      </c>
      <c r="V708" s="2" t="str">
        <f>'Burger-F9-F10'!O39</f>
        <v/>
      </c>
      <c r="W708" s="2" t="str">
        <f>'Burger-F9-F10'!P39</f>
        <v/>
      </c>
      <c r="X708" s="5">
        <f>'Burger-F9-F10'!Q39</f>
        <v>0</v>
      </c>
      <c r="Y708" s="1"/>
      <c r="Z708" s="1"/>
      <c r="AA708" s="1"/>
    </row>
    <row r="709">
      <c r="A709" s="1"/>
      <c r="B709" s="14">
        <f t="shared" si="13"/>
        <v>36</v>
      </c>
      <c r="C709" s="15" t="str">
        <f t="shared" si="1"/>
        <v>diciembre</v>
      </c>
      <c r="D709" s="15">
        <f t="shared" si="2"/>
        <v>52</v>
      </c>
      <c r="E709" s="16" t="str">
        <f t="shared" si="3"/>
        <v>sábado</v>
      </c>
      <c r="F709" s="15">
        <f t="shared" si="4"/>
        <v>30</v>
      </c>
      <c r="G709" s="15" t="s">
        <v>25</v>
      </c>
      <c r="H709" s="3" t="str">
        <f>'Burger-F9-F10'!$G$3</f>
        <v>BURGER</v>
      </c>
      <c r="I709" s="24" t="str">
        <f>'Burger-F9-F10'!B40</f>
        <v/>
      </c>
      <c r="J709" s="2" t="str">
        <f>'Burger-F9-F10'!C40</f>
        <v/>
      </c>
      <c r="K709" s="2" t="str">
        <f>'Burger-F9-F10'!D40</f>
        <v/>
      </c>
      <c r="L709" s="2" t="str">
        <f>'Burger-F9-F10'!E40</f>
        <v/>
      </c>
      <c r="M709" s="2" t="str">
        <f>'Burger-F9-F10'!F40</f>
        <v/>
      </c>
      <c r="N709" s="2" t="str">
        <f>'Burger-F9-F10'!G40</f>
        <v/>
      </c>
      <c r="O709" s="2" t="str">
        <f>'Burger-F9-F10'!H40</f>
        <v/>
      </c>
      <c r="P709" s="2" t="str">
        <f>'Burger-F9-F10'!I40</f>
        <v/>
      </c>
      <c r="Q709" s="2" t="str">
        <f>'Burger-F9-F10'!J40</f>
        <v/>
      </c>
      <c r="R709" s="2" t="str">
        <f>'Burger-F9-F10'!K40</f>
        <v/>
      </c>
      <c r="S709" s="2" t="str">
        <f>'Burger-F9-F10'!L40</f>
        <v/>
      </c>
      <c r="T709" s="2" t="str">
        <f>'Burger-F9-F10'!M40</f>
        <v/>
      </c>
      <c r="U709" s="2" t="str">
        <f>'Burger-F9-F10'!N40</f>
        <v/>
      </c>
      <c r="V709" s="2" t="str">
        <f>'Burger-F9-F10'!O40</f>
        <v/>
      </c>
      <c r="W709" s="2" t="str">
        <f>'Burger-F9-F10'!P40</f>
        <v/>
      </c>
      <c r="X709" s="5">
        <f>'Burger-F9-F10'!Q40</f>
        <v>0</v>
      </c>
      <c r="Y709" s="1"/>
      <c r="Z709" s="1"/>
      <c r="AA709" s="1"/>
    </row>
    <row r="710">
      <c r="A710" s="1"/>
      <c r="B710" s="14">
        <f t="shared" si="13"/>
        <v>37</v>
      </c>
      <c r="C710" s="15" t="str">
        <f t="shared" si="1"/>
        <v>diciembre</v>
      </c>
      <c r="D710" s="15">
        <f t="shared" si="2"/>
        <v>52</v>
      </c>
      <c r="E710" s="16" t="str">
        <f t="shared" si="3"/>
        <v>sábado</v>
      </c>
      <c r="F710" s="15">
        <f t="shared" si="4"/>
        <v>30</v>
      </c>
      <c r="G710" s="15" t="s">
        <v>25</v>
      </c>
      <c r="H710" s="3" t="str">
        <f>'Burger-F9-F10'!$G$3</f>
        <v>BURGER</v>
      </c>
      <c r="I710" s="24" t="str">
        <f>'Burger-F9-F10'!B41</f>
        <v/>
      </c>
      <c r="J710" s="2" t="str">
        <f>'Burger-F9-F10'!C41</f>
        <v/>
      </c>
      <c r="K710" s="2" t="str">
        <f>'Burger-F9-F10'!D41</f>
        <v/>
      </c>
      <c r="L710" s="2" t="str">
        <f>'Burger-F9-F10'!E41</f>
        <v/>
      </c>
      <c r="M710" s="2" t="str">
        <f>'Burger-F9-F10'!F41</f>
        <v/>
      </c>
      <c r="N710" s="2" t="str">
        <f>'Burger-F9-F10'!G41</f>
        <v/>
      </c>
      <c r="O710" s="2" t="str">
        <f>'Burger-F9-F10'!H41</f>
        <v/>
      </c>
      <c r="P710" s="2" t="str">
        <f>'Burger-F9-F10'!I41</f>
        <v/>
      </c>
      <c r="Q710" s="2" t="str">
        <f>'Burger-F9-F10'!J41</f>
        <v/>
      </c>
      <c r="R710" s="2" t="str">
        <f>'Burger-F9-F10'!K41</f>
        <v/>
      </c>
      <c r="S710" s="2" t="str">
        <f>'Burger-F9-F10'!L41</f>
        <v/>
      </c>
      <c r="T710" s="2" t="str">
        <f>'Burger-F9-F10'!M41</f>
        <v/>
      </c>
      <c r="U710" s="2" t="str">
        <f>'Burger-F9-F10'!N41</f>
        <v/>
      </c>
      <c r="V710" s="2" t="str">
        <f>'Burger-F9-F10'!O41</f>
        <v/>
      </c>
      <c r="W710" s="2" t="str">
        <f>'Burger-F9-F10'!P41</f>
        <v/>
      </c>
      <c r="X710" s="5">
        <f>'Burger-F9-F10'!Q41</f>
        <v>0</v>
      </c>
      <c r="Y710" s="1"/>
      <c r="Z710" s="1"/>
      <c r="AA710" s="1"/>
    </row>
    <row r="711">
      <c r="A711" s="1"/>
      <c r="B711" s="14">
        <f t="shared" si="13"/>
        <v>38</v>
      </c>
      <c r="C711" s="15" t="str">
        <f t="shared" si="1"/>
        <v>diciembre</v>
      </c>
      <c r="D711" s="15">
        <f t="shared" si="2"/>
        <v>52</v>
      </c>
      <c r="E711" s="16" t="str">
        <f t="shared" si="3"/>
        <v>sábado</v>
      </c>
      <c r="F711" s="15">
        <f t="shared" si="4"/>
        <v>30</v>
      </c>
      <c r="G711" s="15" t="s">
        <v>25</v>
      </c>
      <c r="H711" s="3" t="str">
        <f>'Burger-F9-F10'!$G$3</f>
        <v>BURGER</v>
      </c>
      <c r="I711" s="24" t="str">
        <f>'Burger-F9-F10'!B42</f>
        <v/>
      </c>
      <c r="J711" s="2" t="str">
        <f>'Burger-F9-F10'!C42</f>
        <v/>
      </c>
      <c r="K711" s="2" t="str">
        <f>'Burger-F9-F10'!D42</f>
        <v/>
      </c>
      <c r="L711" s="2" t="str">
        <f>'Burger-F9-F10'!E42</f>
        <v/>
      </c>
      <c r="M711" s="2" t="str">
        <f>'Burger-F9-F10'!F42</f>
        <v/>
      </c>
      <c r="N711" s="2" t="str">
        <f>'Burger-F9-F10'!G42</f>
        <v/>
      </c>
      <c r="O711" s="2" t="str">
        <f>'Burger-F9-F10'!H42</f>
        <v/>
      </c>
      <c r="P711" s="2" t="str">
        <f>'Burger-F9-F10'!I42</f>
        <v/>
      </c>
      <c r="Q711" s="2" t="str">
        <f>'Burger-F9-F10'!J42</f>
        <v/>
      </c>
      <c r="R711" s="2" t="str">
        <f>'Burger-F9-F10'!K42</f>
        <v/>
      </c>
      <c r="S711" s="2" t="str">
        <f>'Burger-F9-F10'!L42</f>
        <v/>
      </c>
      <c r="T711" s="2" t="str">
        <f>'Burger-F9-F10'!M42</f>
        <v/>
      </c>
      <c r="U711" s="2" t="str">
        <f>'Burger-F9-F10'!N42</f>
        <v/>
      </c>
      <c r="V711" s="2" t="str">
        <f>'Burger-F9-F10'!O42</f>
        <v/>
      </c>
      <c r="W711" s="2" t="str">
        <f>'Burger-F9-F10'!P42</f>
        <v/>
      </c>
      <c r="X711" s="5">
        <f>'Burger-F9-F10'!Q42</f>
        <v>0</v>
      </c>
      <c r="Y711" s="1"/>
      <c r="Z711" s="1"/>
      <c r="AA711" s="1"/>
    </row>
    <row r="712">
      <c r="A712" s="1"/>
      <c r="B712" s="14">
        <f t="shared" si="13"/>
        <v>39</v>
      </c>
      <c r="C712" s="15" t="str">
        <f t="shared" si="1"/>
        <v>diciembre</v>
      </c>
      <c r="D712" s="15">
        <f t="shared" si="2"/>
        <v>52</v>
      </c>
      <c r="E712" s="16" t="str">
        <f t="shared" si="3"/>
        <v>sábado</v>
      </c>
      <c r="F712" s="15">
        <f t="shared" si="4"/>
        <v>30</v>
      </c>
      <c r="G712" s="15" t="s">
        <v>25</v>
      </c>
      <c r="H712" s="3" t="str">
        <f>'Burger-F9-F10'!$G$3</f>
        <v>BURGER</v>
      </c>
      <c r="I712" s="24" t="str">
        <f>'Burger-F9-F10'!B43</f>
        <v/>
      </c>
      <c r="J712" s="2" t="str">
        <f>'Burger-F9-F10'!C43</f>
        <v/>
      </c>
      <c r="K712" s="2" t="str">
        <f>'Burger-F9-F10'!D43</f>
        <v/>
      </c>
      <c r="L712" s="2" t="str">
        <f>'Burger-F9-F10'!E43</f>
        <v/>
      </c>
      <c r="M712" s="2" t="str">
        <f>'Burger-F9-F10'!F43</f>
        <v/>
      </c>
      <c r="N712" s="2" t="str">
        <f>'Burger-F9-F10'!G43</f>
        <v/>
      </c>
      <c r="O712" s="2" t="str">
        <f>'Burger-F9-F10'!H43</f>
        <v/>
      </c>
      <c r="P712" s="2" t="str">
        <f>'Burger-F9-F10'!I43</f>
        <v/>
      </c>
      <c r="Q712" s="2" t="str">
        <f>'Burger-F9-F10'!J43</f>
        <v/>
      </c>
      <c r="R712" s="2" t="str">
        <f>'Burger-F9-F10'!K43</f>
        <v/>
      </c>
      <c r="S712" s="2" t="str">
        <f>'Burger-F9-F10'!L43</f>
        <v/>
      </c>
      <c r="T712" s="2" t="str">
        <f>'Burger-F9-F10'!M43</f>
        <v/>
      </c>
      <c r="U712" s="2" t="str">
        <f>'Burger-F9-F10'!N43</f>
        <v/>
      </c>
      <c r="V712" s="2" t="str">
        <f>'Burger-F9-F10'!O43</f>
        <v/>
      </c>
      <c r="W712" s="2" t="str">
        <f>'Burger-F9-F10'!P43</f>
        <v/>
      </c>
      <c r="X712" s="5">
        <f>'Burger-F9-F10'!Q43</f>
        <v>0</v>
      </c>
      <c r="Y712" s="1"/>
      <c r="Z712" s="1"/>
      <c r="AA712" s="1"/>
    </row>
    <row r="713">
      <c r="A713" s="1"/>
      <c r="B713" s="14">
        <f t="shared" si="13"/>
        <v>40</v>
      </c>
      <c r="C713" s="15" t="str">
        <f t="shared" si="1"/>
        <v>diciembre</v>
      </c>
      <c r="D713" s="15">
        <f t="shared" si="2"/>
        <v>52</v>
      </c>
      <c r="E713" s="16" t="str">
        <f t="shared" si="3"/>
        <v>sábado</v>
      </c>
      <c r="F713" s="15">
        <f t="shared" si="4"/>
        <v>30</v>
      </c>
      <c r="G713" s="15" t="s">
        <v>25</v>
      </c>
      <c r="H713" s="3" t="str">
        <f>'Burger-F9-F10'!$G$3</f>
        <v>BURGER</v>
      </c>
      <c r="I713" s="24" t="str">
        <f>'Burger-F9-F10'!B44</f>
        <v/>
      </c>
      <c r="J713" s="2" t="str">
        <f>'Burger-F9-F10'!C44</f>
        <v/>
      </c>
      <c r="K713" s="2" t="str">
        <f>'Burger-F9-F10'!D44</f>
        <v/>
      </c>
      <c r="L713" s="2" t="str">
        <f>'Burger-F9-F10'!E44</f>
        <v/>
      </c>
      <c r="M713" s="2" t="str">
        <f>'Burger-F9-F10'!F44</f>
        <v/>
      </c>
      <c r="N713" s="2" t="str">
        <f>'Burger-F9-F10'!G44</f>
        <v/>
      </c>
      <c r="O713" s="2" t="str">
        <f>'Burger-F9-F10'!H44</f>
        <v/>
      </c>
      <c r="P713" s="2" t="str">
        <f>'Burger-F9-F10'!I44</f>
        <v/>
      </c>
      <c r="Q713" s="2" t="str">
        <f>'Burger-F9-F10'!J44</f>
        <v/>
      </c>
      <c r="R713" s="2" t="str">
        <f>'Burger-F9-F10'!K44</f>
        <v/>
      </c>
      <c r="S713" s="2" t="str">
        <f>'Burger-F9-F10'!L44</f>
        <v/>
      </c>
      <c r="T713" s="2" t="str">
        <f>'Burger-F9-F10'!M44</f>
        <v/>
      </c>
      <c r="U713" s="2" t="str">
        <f>'Burger-F9-F10'!N44</f>
        <v/>
      </c>
      <c r="V713" s="2" t="str">
        <f>'Burger-F9-F10'!O44</f>
        <v/>
      </c>
      <c r="W713" s="2" t="str">
        <f>'Burger-F9-F10'!P44</f>
        <v/>
      </c>
      <c r="X713" s="5">
        <f>'Burger-F9-F10'!Q44</f>
        <v>0</v>
      </c>
      <c r="Y713" s="1"/>
      <c r="Z713" s="1"/>
      <c r="AA713" s="1"/>
    </row>
    <row r="714">
      <c r="A714" s="1"/>
      <c r="B714" s="14">
        <f t="shared" si="13"/>
        <v>41</v>
      </c>
      <c r="C714" s="15" t="str">
        <f t="shared" si="1"/>
        <v>diciembre</v>
      </c>
      <c r="D714" s="15">
        <f t="shared" si="2"/>
        <v>52</v>
      </c>
      <c r="E714" s="16" t="str">
        <f t="shared" si="3"/>
        <v>sábado</v>
      </c>
      <c r="F714" s="15">
        <f t="shared" si="4"/>
        <v>30</v>
      </c>
      <c r="G714" s="15" t="s">
        <v>25</v>
      </c>
      <c r="H714" s="3" t="str">
        <f>'Burger-F9-F10'!$G$3</f>
        <v>BURGER</v>
      </c>
      <c r="I714" s="24" t="str">
        <f>'Burger-F9-F10'!B45</f>
        <v/>
      </c>
      <c r="J714" s="2" t="str">
        <f>'Burger-F9-F10'!C45</f>
        <v/>
      </c>
      <c r="K714" s="2" t="str">
        <f>'Burger-F9-F10'!D45</f>
        <v/>
      </c>
      <c r="L714" s="2" t="str">
        <f>'Burger-F9-F10'!E45</f>
        <v/>
      </c>
      <c r="M714" s="2" t="str">
        <f>'Burger-F9-F10'!F45</f>
        <v/>
      </c>
      <c r="N714" s="2" t="str">
        <f>'Burger-F9-F10'!G45</f>
        <v/>
      </c>
      <c r="O714" s="2" t="str">
        <f>'Burger-F9-F10'!H45</f>
        <v/>
      </c>
      <c r="P714" s="2" t="str">
        <f>'Burger-F9-F10'!I45</f>
        <v/>
      </c>
      <c r="Q714" s="2" t="str">
        <f>'Burger-F9-F10'!J45</f>
        <v/>
      </c>
      <c r="R714" s="2" t="str">
        <f>'Burger-F9-F10'!K45</f>
        <v/>
      </c>
      <c r="S714" s="2" t="str">
        <f>'Burger-F9-F10'!L45</f>
        <v/>
      </c>
      <c r="T714" s="2" t="str">
        <f>'Burger-F9-F10'!M45</f>
        <v/>
      </c>
      <c r="U714" s="2" t="str">
        <f>'Burger-F9-F10'!N45</f>
        <v/>
      </c>
      <c r="V714" s="2" t="str">
        <f>'Burger-F9-F10'!O45</f>
        <v/>
      </c>
      <c r="W714" s="2" t="str">
        <f>'Burger-F9-F10'!P45</f>
        <v/>
      </c>
      <c r="X714" s="5">
        <f>'Burger-F9-F10'!Q45</f>
        <v>0</v>
      </c>
      <c r="Y714" s="1"/>
      <c r="Z714" s="1"/>
      <c r="AA714" s="1"/>
    </row>
    <row r="715">
      <c r="A715" s="1"/>
      <c r="B715" s="14">
        <f t="shared" si="13"/>
        <v>42</v>
      </c>
      <c r="C715" s="15" t="str">
        <f t="shared" si="1"/>
        <v>diciembre</v>
      </c>
      <c r="D715" s="15">
        <f t="shared" si="2"/>
        <v>52</v>
      </c>
      <c r="E715" s="16" t="str">
        <f t="shared" si="3"/>
        <v>sábado</v>
      </c>
      <c r="F715" s="15">
        <f t="shared" si="4"/>
        <v>30</v>
      </c>
      <c r="G715" s="15" t="s">
        <v>25</v>
      </c>
      <c r="H715" s="3" t="str">
        <f>'Burger-F9-F10'!$G$3</f>
        <v>BURGER</v>
      </c>
      <c r="I715" s="24" t="str">
        <f>'Burger-F9-F10'!B46</f>
        <v/>
      </c>
      <c r="J715" s="2" t="str">
        <f>'Burger-F9-F10'!C46</f>
        <v/>
      </c>
      <c r="K715" s="2" t="str">
        <f>'Burger-F9-F10'!D46</f>
        <v/>
      </c>
      <c r="L715" s="2" t="str">
        <f>'Burger-F9-F10'!E46</f>
        <v/>
      </c>
      <c r="M715" s="2" t="str">
        <f>'Burger-F9-F10'!F46</f>
        <v/>
      </c>
      <c r="N715" s="2" t="str">
        <f>'Burger-F9-F10'!G46</f>
        <v/>
      </c>
      <c r="O715" s="2" t="str">
        <f>'Burger-F9-F10'!H46</f>
        <v/>
      </c>
      <c r="P715" s="2" t="str">
        <f>'Burger-F9-F10'!I46</f>
        <v/>
      </c>
      <c r="Q715" s="2" t="str">
        <f>'Burger-F9-F10'!J46</f>
        <v/>
      </c>
      <c r="R715" s="2" t="str">
        <f>'Burger-F9-F10'!K46</f>
        <v/>
      </c>
      <c r="S715" s="2" t="str">
        <f>'Burger-F9-F10'!L46</f>
        <v/>
      </c>
      <c r="T715" s="2" t="str">
        <f>'Burger-F9-F10'!M46</f>
        <v/>
      </c>
      <c r="U715" s="2" t="str">
        <f>'Burger-F9-F10'!N46</f>
        <v/>
      </c>
      <c r="V715" s="2" t="str">
        <f>'Burger-F9-F10'!O46</f>
        <v/>
      </c>
      <c r="W715" s="2" t="str">
        <f>'Burger-F9-F10'!P46</f>
        <v/>
      </c>
      <c r="X715" s="5">
        <f>'Burger-F9-F10'!Q46</f>
        <v>0</v>
      </c>
      <c r="Y715" s="1"/>
      <c r="Z715" s="1"/>
      <c r="AA715" s="1"/>
    </row>
    <row r="716">
      <c r="A716" s="1"/>
      <c r="B716" s="14">
        <f t="shared" si="13"/>
        <v>43</v>
      </c>
      <c r="C716" s="15" t="str">
        <f t="shared" si="1"/>
        <v>diciembre</v>
      </c>
      <c r="D716" s="15">
        <f t="shared" si="2"/>
        <v>52</v>
      </c>
      <c r="E716" s="16" t="str">
        <f t="shared" si="3"/>
        <v>sábado</v>
      </c>
      <c r="F716" s="15">
        <f t="shared" si="4"/>
        <v>30</v>
      </c>
      <c r="G716" s="15" t="s">
        <v>25</v>
      </c>
      <c r="H716" s="3" t="str">
        <f>'Burger-F9-F10'!$G$3</f>
        <v>BURGER</v>
      </c>
      <c r="I716" s="24" t="str">
        <f>'Burger-F9-F10'!B47</f>
        <v/>
      </c>
      <c r="J716" s="2" t="str">
        <f>'Burger-F9-F10'!C47</f>
        <v/>
      </c>
      <c r="K716" s="2" t="str">
        <f>'Burger-F9-F10'!D47</f>
        <v/>
      </c>
      <c r="L716" s="2" t="str">
        <f>'Burger-F9-F10'!E47</f>
        <v/>
      </c>
      <c r="M716" s="2" t="str">
        <f>'Burger-F9-F10'!F47</f>
        <v/>
      </c>
      <c r="N716" s="2" t="str">
        <f>'Burger-F9-F10'!G47</f>
        <v/>
      </c>
      <c r="O716" s="2" t="str">
        <f>'Burger-F9-F10'!H47</f>
        <v/>
      </c>
      <c r="P716" s="2" t="str">
        <f>'Burger-F9-F10'!I47</f>
        <v/>
      </c>
      <c r="Q716" s="2" t="str">
        <f>'Burger-F9-F10'!J47</f>
        <v/>
      </c>
      <c r="R716" s="2" t="str">
        <f>'Burger-F9-F10'!K47</f>
        <v/>
      </c>
      <c r="S716" s="2" t="str">
        <f>'Burger-F9-F10'!L47</f>
        <v/>
      </c>
      <c r="T716" s="2" t="str">
        <f>'Burger-F9-F10'!M47</f>
        <v/>
      </c>
      <c r="U716" s="2" t="str">
        <f>'Burger-F9-F10'!N47</f>
        <v/>
      </c>
      <c r="V716" s="2" t="str">
        <f>'Burger-F9-F10'!O47</f>
        <v/>
      </c>
      <c r="W716" s="2" t="str">
        <f>'Burger-F9-F10'!P47</f>
        <v/>
      </c>
      <c r="X716" s="5">
        <f>'Burger-F9-F10'!Q47</f>
        <v>0</v>
      </c>
      <c r="Y716" s="1"/>
      <c r="Z716" s="1"/>
      <c r="AA716" s="1"/>
    </row>
    <row r="717">
      <c r="A717" s="1"/>
      <c r="B717" s="14">
        <f t="shared" si="13"/>
        <v>44</v>
      </c>
      <c r="C717" s="15" t="str">
        <f t="shared" si="1"/>
        <v>diciembre</v>
      </c>
      <c r="D717" s="15">
        <f t="shared" si="2"/>
        <v>52</v>
      </c>
      <c r="E717" s="16" t="str">
        <f t="shared" si="3"/>
        <v>sábado</v>
      </c>
      <c r="F717" s="15">
        <f t="shared" si="4"/>
        <v>30</v>
      </c>
      <c r="G717" s="15" t="s">
        <v>25</v>
      </c>
      <c r="H717" s="3" t="str">
        <f>'Burger-F9-F10'!$G$3</f>
        <v>BURGER</v>
      </c>
      <c r="I717" s="24" t="str">
        <f>'Burger-F9-F10'!B48</f>
        <v/>
      </c>
      <c r="J717" s="2" t="str">
        <f>'Burger-F9-F10'!C48</f>
        <v/>
      </c>
      <c r="K717" s="2" t="str">
        <f>'Burger-F9-F10'!D48</f>
        <v/>
      </c>
      <c r="L717" s="2" t="str">
        <f>'Burger-F9-F10'!E48</f>
        <v/>
      </c>
      <c r="M717" s="2" t="str">
        <f>'Burger-F9-F10'!F48</f>
        <v/>
      </c>
      <c r="N717" s="2" t="str">
        <f>'Burger-F9-F10'!G48</f>
        <v/>
      </c>
      <c r="O717" s="2" t="str">
        <f>'Burger-F9-F10'!H48</f>
        <v/>
      </c>
      <c r="P717" s="2" t="str">
        <f>'Burger-F9-F10'!I48</f>
        <v/>
      </c>
      <c r="Q717" s="2" t="str">
        <f>'Burger-F9-F10'!J48</f>
        <v/>
      </c>
      <c r="R717" s="2" t="str">
        <f>'Burger-F9-F10'!K48</f>
        <v/>
      </c>
      <c r="S717" s="2" t="str">
        <f>'Burger-F9-F10'!L48</f>
        <v/>
      </c>
      <c r="T717" s="2" t="str">
        <f>'Burger-F9-F10'!M48</f>
        <v/>
      </c>
      <c r="U717" s="2" t="str">
        <f>'Burger-F9-F10'!N48</f>
        <v/>
      </c>
      <c r="V717" s="2" t="str">
        <f>'Burger-F9-F10'!O48</f>
        <v/>
      </c>
      <c r="W717" s="2" t="str">
        <f>'Burger-F9-F10'!P48</f>
        <v/>
      </c>
      <c r="X717" s="5">
        <f>'Burger-F9-F10'!Q48</f>
        <v>0</v>
      </c>
      <c r="Y717" s="1"/>
      <c r="Z717" s="1"/>
      <c r="AA717" s="1"/>
    </row>
    <row r="718">
      <c r="A718" s="1"/>
      <c r="B718" s="14">
        <f t="shared" si="13"/>
        <v>45</v>
      </c>
      <c r="C718" s="15" t="str">
        <f t="shared" si="1"/>
        <v>diciembre</v>
      </c>
      <c r="D718" s="15">
        <f t="shared" si="2"/>
        <v>52</v>
      </c>
      <c r="E718" s="16" t="str">
        <f t="shared" si="3"/>
        <v>sábado</v>
      </c>
      <c r="F718" s="15">
        <f t="shared" si="4"/>
        <v>30</v>
      </c>
      <c r="G718" s="15" t="s">
        <v>25</v>
      </c>
      <c r="H718" s="3" t="str">
        <f>'Burger-F9-F10'!$G$3</f>
        <v>BURGER</v>
      </c>
      <c r="I718" s="24" t="str">
        <f>'Burger-F9-F10'!B49</f>
        <v/>
      </c>
      <c r="J718" s="2" t="str">
        <f>'Burger-F9-F10'!C49</f>
        <v/>
      </c>
      <c r="K718" s="2" t="str">
        <f>'Burger-F9-F10'!D49</f>
        <v/>
      </c>
      <c r="L718" s="2" t="str">
        <f>'Burger-F9-F10'!E49</f>
        <v/>
      </c>
      <c r="M718" s="2" t="str">
        <f>'Burger-F9-F10'!F49</f>
        <v/>
      </c>
      <c r="N718" s="2" t="str">
        <f>'Burger-F9-F10'!G49</f>
        <v/>
      </c>
      <c r="O718" s="2" t="str">
        <f>'Burger-F9-F10'!H49</f>
        <v/>
      </c>
      <c r="P718" s="2" t="str">
        <f>'Burger-F9-F10'!I49</f>
        <v/>
      </c>
      <c r="Q718" s="2" t="str">
        <f>'Burger-F9-F10'!J49</f>
        <v/>
      </c>
      <c r="R718" s="2" t="str">
        <f>'Burger-F9-F10'!K49</f>
        <v/>
      </c>
      <c r="S718" s="2" t="str">
        <f>'Burger-F9-F10'!L49</f>
        <v/>
      </c>
      <c r="T718" s="2" t="str">
        <f>'Burger-F9-F10'!M49</f>
        <v/>
      </c>
      <c r="U718" s="2" t="str">
        <f>'Burger-F9-F10'!N49</f>
        <v/>
      </c>
      <c r="V718" s="2" t="str">
        <f>'Burger-F9-F10'!O49</f>
        <v/>
      </c>
      <c r="W718" s="2" t="str">
        <f>'Burger-F9-F10'!P49</f>
        <v/>
      </c>
      <c r="X718" s="5">
        <f>'Burger-F9-F10'!Q49</f>
        <v>0</v>
      </c>
      <c r="Y718" s="1"/>
      <c r="Z718" s="1"/>
      <c r="AA718" s="1"/>
    </row>
    <row r="719">
      <c r="A719" s="1"/>
      <c r="B719" s="14">
        <f t="shared" si="13"/>
        <v>46</v>
      </c>
      <c r="C719" s="15" t="str">
        <f t="shared" si="1"/>
        <v>diciembre</v>
      </c>
      <c r="D719" s="15">
        <f t="shared" si="2"/>
        <v>52</v>
      </c>
      <c r="E719" s="16" t="str">
        <f t="shared" si="3"/>
        <v>sábado</v>
      </c>
      <c r="F719" s="15">
        <f t="shared" si="4"/>
        <v>30</v>
      </c>
      <c r="G719" s="15" t="s">
        <v>25</v>
      </c>
      <c r="H719" s="3" t="str">
        <f>'Burger-F9-F10'!$G$3</f>
        <v>BURGER</v>
      </c>
      <c r="I719" s="24" t="str">
        <f>'Burger-F9-F10'!B50</f>
        <v/>
      </c>
      <c r="J719" s="2" t="str">
        <f>'Burger-F9-F10'!C50</f>
        <v/>
      </c>
      <c r="K719" s="2" t="str">
        <f>'Burger-F9-F10'!D50</f>
        <v/>
      </c>
      <c r="L719" s="2" t="str">
        <f>'Burger-F9-F10'!E50</f>
        <v/>
      </c>
      <c r="M719" s="2" t="str">
        <f>'Burger-F9-F10'!F50</f>
        <v/>
      </c>
      <c r="N719" s="2" t="str">
        <f>'Burger-F9-F10'!G50</f>
        <v/>
      </c>
      <c r="O719" s="2" t="str">
        <f>'Burger-F9-F10'!H50</f>
        <v/>
      </c>
      <c r="P719" s="2" t="str">
        <f>'Burger-F9-F10'!I50</f>
        <v/>
      </c>
      <c r="Q719" s="2" t="str">
        <f>'Burger-F9-F10'!J50</f>
        <v/>
      </c>
      <c r="R719" s="2" t="str">
        <f>'Burger-F9-F10'!K50</f>
        <v/>
      </c>
      <c r="S719" s="2" t="str">
        <f>'Burger-F9-F10'!L50</f>
        <v/>
      </c>
      <c r="T719" s="2" t="str">
        <f>'Burger-F9-F10'!M50</f>
        <v/>
      </c>
      <c r="U719" s="2" t="str">
        <f>'Burger-F9-F10'!N50</f>
        <v/>
      </c>
      <c r="V719" s="2" t="str">
        <f>'Burger-F9-F10'!O50</f>
        <v/>
      </c>
      <c r="W719" s="2" t="str">
        <f>'Burger-F9-F10'!P50</f>
        <v/>
      </c>
      <c r="X719" s="5">
        <f>'Burger-F9-F10'!Q50</f>
        <v>0</v>
      </c>
      <c r="Y719" s="1"/>
      <c r="Z719" s="1"/>
      <c r="AA719" s="1"/>
    </row>
    <row r="720">
      <c r="A720" s="1"/>
      <c r="B720" s="14">
        <f t="shared" si="13"/>
        <v>47</v>
      </c>
      <c r="C720" s="15" t="str">
        <f t="shared" si="1"/>
        <v>diciembre</v>
      </c>
      <c r="D720" s="15">
        <f t="shared" si="2"/>
        <v>52</v>
      </c>
      <c r="E720" s="16" t="str">
        <f t="shared" si="3"/>
        <v>sábado</v>
      </c>
      <c r="F720" s="15">
        <f t="shared" si="4"/>
        <v>30</v>
      </c>
      <c r="G720" s="15" t="s">
        <v>25</v>
      </c>
      <c r="H720" s="3" t="str">
        <f>'Burger-F9-F10'!$G$3</f>
        <v>BURGER</v>
      </c>
      <c r="I720" s="24" t="str">
        <f>'Burger-F9-F10'!B51</f>
        <v/>
      </c>
      <c r="J720" s="2" t="str">
        <f>'Burger-F9-F10'!C51</f>
        <v/>
      </c>
      <c r="K720" s="2" t="str">
        <f>'Burger-F9-F10'!D51</f>
        <v/>
      </c>
      <c r="L720" s="2" t="str">
        <f>'Burger-F9-F10'!E51</f>
        <v/>
      </c>
      <c r="M720" s="2" t="str">
        <f>'Burger-F9-F10'!F51</f>
        <v/>
      </c>
      <c r="N720" s="2" t="str">
        <f>'Burger-F9-F10'!G51</f>
        <v/>
      </c>
      <c r="O720" s="2" t="str">
        <f>'Burger-F9-F10'!H51</f>
        <v/>
      </c>
      <c r="P720" s="2" t="str">
        <f>'Burger-F9-F10'!I51</f>
        <v/>
      </c>
      <c r="Q720" s="2" t="str">
        <f>'Burger-F9-F10'!J51</f>
        <v/>
      </c>
      <c r="R720" s="2" t="str">
        <f>'Burger-F9-F10'!K51</f>
        <v/>
      </c>
      <c r="S720" s="2" t="str">
        <f>'Burger-F9-F10'!L51</f>
        <v/>
      </c>
      <c r="T720" s="2" t="str">
        <f>'Burger-F9-F10'!M51</f>
        <v/>
      </c>
      <c r="U720" s="2" t="str">
        <f>'Burger-F9-F10'!N51</f>
        <v/>
      </c>
      <c r="V720" s="2" t="str">
        <f>'Burger-F9-F10'!O51</f>
        <v/>
      </c>
      <c r="W720" s="2" t="str">
        <f>'Burger-F9-F10'!P51</f>
        <v/>
      </c>
      <c r="X720" s="5">
        <f>'Burger-F9-F10'!Q51</f>
        <v>0</v>
      </c>
      <c r="Y720" s="1"/>
      <c r="Z720" s="1"/>
      <c r="AA720" s="1"/>
    </row>
    <row r="721">
      <c r="A721" s="1"/>
      <c r="B721" s="14">
        <f t="shared" si="13"/>
        <v>48</v>
      </c>
      <c r="C721" s="15" t="str">
        <f t="shared" si="1"/>
        <v>diciembre</v>
      </c>
      <c r="D721" s="15">
        <f t="shared" si="2"/>
        <v>52</v>
      </c>
      <c r="E721" s="16" t="str">
        <f t="shared" si="3"/>
        <v>sábado</v>
      </c>
      <c r="F721" s="15">
        <f t="shared" si="4"/>
        <v>30</v>
      </c>
      <c r="G721" s="15" t="s">
        <v>25</v>
      </c>
      <c r="H721" s="3" t="str">
        <f>'Burger-F9-F10'!$G$3</f>
        <v>BURGER</v>
      </c>
      <c r="I721" s="24" t="str">
        <f>'Burger-F9-F10'!B52</f>
        <v/>
      </c>
      <c r="J721" s="2" t="str">
        <f>'Burger-F9-F10'!C52</f>
        <v/>
      </c>
      <c r="K721" s="2" t="str">
        <f>'Burger-F9-F10'!D52</f>
        <v/>
      </c>
      <c r="L721" s="2" t="str">
        <f>'Burger-F9-F10'!E52</f>
        <v/>
      </c>
      <c r="M721" s="2" t="str">
        <f>'Burger-F9-F10'!F52</f>
        <v/>
      </c>
      <c r="N721" s="2" t="str">
        <f>'Burger-F9-F10'!G52</f>
        <v/>
      </c>
      <c r="O721" s="2" t="str">
        <f>'Burger-F9-F10'!H52</f>
        <v/>
      </c>
      <c r="P721" s="2" t="str">
        <f>'Burger-F9-F10'!I52</f>
        <v/>
      </c>
      <c r="Q721" s="2" t="str">
        <f>'Burger-F9-F10'!J52</f>
        <v/>
      </c>
      <c r="R721" s="2" t="str">
        <f>'Burger-F9-F10'!K52</f>
        <v/>
      </c>
      <c r="S721" s="2" t="str">
        <f>'Burger-F9-F10'!L52</f>
        <v/>
      </c>
      <c r="T721" s="2" t="str">
        <f>'Burger-F9-F10'!M52</f>
        <v/>
      </c>
      <c r="U721" s="2" t="str">
        <f>'Burger-F9-F10'!N52</f>
        <v/>
      </c>
      <c r="V721" s="2" t="str">
        <f>'Burger-F9-F10'!O52</f>
        <v/>
      </c>
      <c r="W721" s="2" t="str">
        <f>'Burger-F9-F10'!P52</f>
        <v/>
      </c>
      <c r="X721" s="5">
        <f>'Burger-F9-F10'!Q52</f>
        <v>0</v>
      </c>
      <c r="Y721" s="1"/>
      <c r="Z721" s="1"/>
      <c r="AA721" s="1"/>
    </row>
    <row r="722">
      <c r="A722" s="1"/>
      <c r="B722" s="14">
        <f t="shared" si="13"/>
        <v>49</v>
      </c>
      <c r="C722" s="15" t="str">
        <f t="shared" si="1"/>
        <v>diciembre</v>
      </c>
      <c r="D722" s="15">
        <f t="shared" si="2"/>
        <v>52</v>
      </c>
      <c r="E722" s="16" t="str">
        <f t="shared" si="3"/>
        <v>sábado</v>
      </c>
      <c r="F722" s="15">
        <f t="shared" si="4"/>
        <v>30</v>
      </c>
      <c r="G722" s="15" t="s">
        <v>25</v>
      </c>
      <c r="H722" s="3" t="str">
        <f>'Burger-F9-F10'!$G$3</f>
        <v>BURGER</v>
      </c>
      <c r="I722" s="24" t="str">
        <f>'Burger-F9-F10'!B53</f>
        <v/>
      </c>
      <c r="J722" s="2" t="str">
        <f>'Burger-F9-F10'!C53</f>
        <v/>
      </c>
      <c r="K722" s="2" t="str">
        <f>'Burger-F9-F10'!D53</f>
        <v/>
      </c>
      <c r="L722" s="2" t="str">
        <f>'Burger-F9-F10'!E53</f>
        <v/>
      </c>
      <c r="M722" s="2" t="str">
        <f>'Burger-F9-F10'!F53</f>
        <v/>
      </c>
      <c r="N722" s="2" t="str">
        <f>'Burger-F9-F10'!G53</f>
        <v/>
      </c>
      <c r="O722" s="2" t="str">
        <f>'Burger-F9-F10'!H53</f>
        <v/>
      </c>
      <c r="P722" s="2" t="str">
        <f>'Burger-F9-F10'!I53</f>
        <v/>
      </c>
      <c r="Q722" s="2" t="str">
        <f>'Burger-F9-F10'!J53</f>
        <v/>
      </c>
      <c r="R722" s="2" t="str">
        <f>'Burger-F9-F10'!K53</f>
        <v/>
      </c>
      <c r="S722" s="2" t="str">
        <f>'Burger-F9-F10'!L53</f>
        <v/>
      </c>
      <c r="T722" s="2" t="str">
        <f>'Burger-F9-F10'!M53</f>
        <v/>
      </c>
      <c r="U722" s="2" t="str">
        <f>'Burger-F9-F10'!N53</f>
        <v/>
      </c>
      <c r="V722" s="2" t="str">
        <f>'Burger-F9-F10'!O53</f>
        <v/>
      </c>
      <c r="W722" s="2" t="str">
        <f>'Burger-F9-F10'!P53</f>
        <v/>
      </c>
      <c r="X722" s="5">
        <f>'Burger-F9-F10'!Q53</f>
        <v>0</v>
      </c>
      <c r="Y722" s="1"/>
      <c r="Z722" s="1"/>
      <c r="AA722" s="1"/>
    </row>
    <row r="723">
      <c r="A723" s="1"/>
      <c r="B723" s="14">
        <f t="shared" si="13"/>
        <v>50</v>
      </c>
      <c r="C723" s="15" t="str">
        <f t="shared" si="1"/>
        <v>diciembre</v>
      </c>
      <c r="D723" s="15">
        <f t="shared" si="2"/>
        <v>52</v>
      </c>
      <c r="E723" s="16" t="str">
        <f t="shared" si="3"/>
        <v>sábado</v>
      </c>
      <c r="F723" s="15">
        <f t="shared" si="4"/>
        <v>30</v>
      </c>
      <c r="G723" s="15" t="s">
        <v>25</v>
      </c>
      <c r="H723" s="3" t="str">
        <f>'Burger-F9-F10'!$G$3</f>
        <v>BURGER</v>
      </c>
      <c r="I723" s="24" t="str">
        <f>'Burger-F9-F10'!B54</f>
        <v/>
      </c>
      <c r="J723" s="2" t="str">
        <f>'Burger-F9-F10'!C54</f>
        <v/>
      </c>
      <c r="K723" s="2" t="str">
        <f>'Burger-F9-F10'!D54</f>
        <v/>
      </c>
      <c r="L723" s="2" t="str">
        <f>'Burger-F9-F10'!E54</f>
        <v/>
      </c>
      <c r="M723" s="2" t="str">
        <f>'Burger-F9-F10'!F54</f>
        <v/>
      </c>
      <c r="N723" s="2" t="str">
        <f>'Burger-F9-F10'!G54</f>
        <v/>
      </c>
      <c r="O723" s="2" t="str">
        <f>'Burger-F9-F10'!H54</f>
        <v/>
      </c>
      <c r="P723" s="2" t="str">
        <f>'Burger-F9-F10'!I54</f>
        <v/>
      </c>
      <c r="Q723" s="2" t="str">
        <f>'Burger-F9-F10'!J54</f>
        <v/>
      </c>
      <c r="R723" s="2" t="str">
        <f>'Burger-F9-F10'!K54</f>
        <v/>
      </c>
      <c r="S723" s="2" t="str">
        <f>'Burger-F9-F10'!L54</f>
        <v/>
      </c>
      <c r="T723" s="2" t="str">
        <f>'Burger-F9-F10'!M54</f>
        <v/>
      </c>
      <c r="U723" s="2" t="str">
        <f>'Burger-F9-F10'!N54</f>
        <v/>
      </c>
      <c r="V723" s="2" t="str">
        <f>'Burger-F9-F10'!O54</f>
        <v/>
      </c>
      <c r="W723" s="2" t="str">
        <f>'Burger-F9-F10'!P54</f>
        <v/>
      </c>
      <c r="X723" s="5">
        <f>'Burger-F9-F10'!Q54</f>
        <v>0</v>
      </c>
      <c r="Y723" s="1"/>
      <c r="Z723" s="1"/>
      <c r="AA723" s="1"/>
    </row>
    <row r="724">
      <c r="A724" s="1"/>
      <c r="B724" s="14">
        <f t="shared" si="13"/>
        <v>51</v>
      </c>
      <c r="C724" s="15" t="str">
        <f t="shared" si="1"/>
        <v>diciembre</v>
      </c>
      <c r="D724" s="15">
        <f t="shared" si="2"/>
        <v>52</v>
      </c>
      <c r="E724" s="16" t="str">
        <f t="shared" si="3"/>
        <v>sábado</v>
      </c>
      <c r="F724" s="15">
        <f t="shared" si="4"/>
        <v>30</v>
      </c>
      <c r="G724" s="15" t="s">
        <v>25</v>
      </c>
      <c r="H724" s="3" t="str">
        <f>'Burger-F9-F10'!$G$3</f>
        <v>BURGER</v>
      </c>
      <c r="I724" s="24" t="str">
        <f>'Burger-F9-F10'!B55</f>
        <v/>
      </c>
      <c r="J724" s="2" t="str">
        <f>'Burger-F9-F10'!C55</f>
        <v/>
      </c>
      <c r="K724" s="2" t="str">
        <f>'Burger-F9-F10'!D55</f>
        <v/>
      </c>
      <c r="L724" s="2" t="str">
        <f>'Burger-F9-F10'!E55</f>
        <v/>
      </c>
      <c r="M724" s="2" t="str">
        <f>'Burger-F9-F10'!F55</f>
        <v/>
      </c>
      <c r="N724" s="2" t="str">
        <f>'Burger-F9-F10'!G55</f>
        <v/>
      </c>
      <c r="O724" s="2" t="str">
        <f>'Burger-F9-F10'!H55</f>
        <v/>
      </c>
      <c r="P724" s="2" t="str">
        <f>'Burger-F9-F10'!I55</f>
        <v/>
      </c>
      <c r="Q724" s="2" t="str">
        <f>'Burger-F9-F10'!J55</f>
        <v/>
      </c>
      <c r="R724" s="2" t="str">
        <f>'Burger-F9-F10'!K55</f>
        <v/>
      </c>
      <c r="S724" s="2" t="str">
        <f>'Burger-F9-F10'!L55</f>
        <v/>
      </c>
      <c r="T724" s="2" t="str">
        <f>'Burger-F9-F10'!M55</f>
        <v/>
      </c>
      <c r="U724" s="2" t="str">
        <f>'Burger-F9-F10'!N55</f>
        <v/>
      </c>
      <c r="V724" s="2" t="str">
        <f>'Burger-F9-F10'!O55</f>
        <v/>
      </c>
      <c r="W724" s="2" t="str">
        <f>'Burger-F9-F10'!P55</f>
        <v/>
      </c>
      <c r="X724" s="5">
        <f>'Burger-F9-F10'!Q55</f>
        <v>0</v>
      </c>
      <c r="Y724" s="1"/>
      <c r="Z724" s="1"/>
      <c r="AA724" s="1"/>
    </row>
    <row r="725">
      <c r="A725" s="1"/>
      <c r="B725" s="14">
        <f t="shared" si="13"/>
        <v>52</v>
      </c>
      <c r="C725" s="15" t="str">
        <f t="shared" si="1"/>
        <v>diciembre</v>
      </c>
      <c r="D725" s="15">
        <f t="shared" si="2"/>
        <v>52</v>
      </c>
      <c r="E725" s="16" t="str">
        <f t="shared" si="3"/>
        <v>sábado</v>
      </c>
      <c r="F725" s="15">
        <f t="shared" si="4"/>
        <v>30</v>
      </c>
      <c r="G725" s="15" t="s">
        <v>25</v>
      </c>
      <c r="H725" s="3" t="str">
        <f>'Burger-F9-F10'!$G$3</f>
        <v>BURGER</v>
      </c>
      <c r="I725" s="24" t="str">
        <f>'Burger-F9-F10'!B56</f>
        <v/>
      </c>
      <c r="J725" s="2" t="str">
        <f>'Burger-F9-F10'!C56</f>
        <v/>
      </c>
      <c r="K725" s="2" t="str">
        <f>'Burger-F9-F10'!D56</f>
        <v/>
      </c>
      <c r="L725" s="2" t="str">
        <f>'Burger-F9-F10'!E56</f>
        <v/>
      </c>
      <c r="M725" s="2" t="str">
        <f>'Burger-F9-F10'!F56</f>
        <v/>
      </c>
      <c r="N725" s="2" t="str">
        <f>'Burger-F9-F10'!G56</f>
        <v/>
      </c>
      <c r="O725" s="2" t="str">
        <f>'Burger-F9-F10'!H56</f>
        <v/>
      </c>
      <c r="P725" s="2" t="str">
        <f>'Burger-F9-F10'!I56</f>
        <v/>
      </c>
      <c r="Q725" s="2" t="str">
        <f>'Burger-F9-F10'!J56</f>
        <v/>
      </c>
      <c r="R725" s="2" t="str">
        <f>'Burger-F9-F10'!K56</f>
        <v/>
      </c>
      <c r="S725" s="2" t="str">
        <f>'Burger-F9-F10'!L56</f>
        <v/>
      </c>
      <c r="T725" s="2" t="str">
        <f>'Burger-F9-F10'!M56</f>
        <v/>
      </c>
      <c r="U725" s="2" t="str">
        <f>'Burger-F9-F10'!N56</f>
        <v/>
      </c>
      <c r="V725" s="2" t="str">
        <f>'Burger-F9-F10'!O56</f>
        <v/>
      </c>
      <c r="W725" s="2" t="str">
        <f>'Burger-F9-F10'!P56</f>
        <v/>
      </c>
      <c r="X725" s="5">
        <f>'Burger-F9-F10'!Q56</f>
        <v>0</v>
      </c>
      <c r="Y725" s="1"/>
      <c r="Z725" s="1"/>
      <c r="AA725" s="1"/>
    </row>
    <row r="726">
      <c r="A726" s="1"/>
      <c r="B726" s="14">
        <f t="shared" si="13"/>
        <v>53</v>
      </c>
      <c r="C726" s="15" t="str">
        <f t="shared" si="1"/>
        <v>diciembre</v>
      </c>
      <c r="D726" s="15">
        <f t="shared" si="2"/>
        <v>52</v>
      </c>
      <c r="E726" s="16" t="str">
        <f t="shared" si="3"/>
        <v>sábado</v>
      </c>
      <c r="F726" s="15">
        <f t="shared" si="4"/>
        <v>30</v>
      </c>
      <c r="G726" s="15" t="s">
        <v>25</v>
      </c>
      <c r="H726" s="3" t="str">
        <f>'Burger-F9-F10'!$G$3</f>
        <v>BURGER</v>
      </c>
      <c r="I726" s="24" t="str">
        <f>'Burger-F9-F10'!B57</f>
        <v/>
      </c>
      <c r="J726" s="2" t="str">
        <f>'Burger-F9-F10'!C57</f>
        <v/>
      </c>
      <c r="K726" s="2" t="str">
        <f>'Burger-F9-F10'!D57</f>
        <v/>
      </c>
      <c r="L726" s="2" t="str">
        <f>'Burger-F9-F10'!E57</f>
        <v/>
      </c>
      <c r="M726" s="2" t="str">
        <f>'Burger-F9-F10'!F57</f>
        <v/>
      </c>
      <c r="N726" s="2" t="str">
        <f>'Burger-F9-F10'!G57</f>
        <v/>
      </c>
      <c r="O726" s="2" t="str">
        <f>'Burger-F9-F10'!H57</f>
        <v/>
      </c>
      <c r="P726" s="2" t="str">
        <f>'Burger-F9-F10'!I57</f>
        <v/>
      </c>
      <c r="Q726" s="2" t="str">
        <f>'Burger-F9-F10'!J57</f>
        <v/>
      </c>
      <c r="R726" s="2" t="str">
        <f>'Burger-F9-F10'!K57</f>
        <v/>
      </c>
      <c r="S726" s="2" t="str">
        <f>'Burger-F9-F10'!L57</f>
        <v/>
      </c>
      <c r="T726" s="2" t="str">
        <f>'Burger-F9-F10'!M57</f>
        <v/>
      </c>
      <c r="U726" s="2" t="str">
        <f>'Burger-F9-F10'!N57</f>
        <v/>
      </c>
      <c r="V726" s="2" t="str">
        <f>'Burger-F9-F10'!O57</f>
        <v/>
      </c>
      <c r="W726" s="2" t="str">
        <f>'Burger-F9-F10'!P57</f>
        <v/>
      </c>
      <c r="X726" s="5">
        <f>'Burger-F9-F10'!Q57</f>
        <v>0</v>
      </c>
      <c r="Y726" s="1"/>
      <c r="Z726" s="1"/>
      <c r="AA726" s="1"/>
    </row>
    <row r="727">
      <c r="A727" s="1"/>
      <c r="B727" s="14">
        <f t="shared" si="13"/>
        <v>54</v>
      </c>
      <c r="C727" s="15" t="str">
        <f t="shared" si="1"/>
        <v>diciembre</v>
      </c>
      <c r="D727" s="15">
        <f t="shared" si="2"/>
        <v>52</v>
      </c>
      <c r="E727" s="16" t="str">
        <f t="shared" si="3"/>
        <v>sábado</v>
      </c>
      <c r="F727" s="15">
        <f t="shared" si="4"/>
        <v>30</v>
      </c>
      <c r="G727" s="15" t="s">
        <v>25</v>
      </c>
      <c r="H727" s="3" t="str">
        <f>'Burger-F9-F10'!$G$3</f>
        <v>BURGER</v>
      </c>
      <c r="I727" s="24" t="str">
        <f>'Burger-F9-F10'!B58</f>
        <v/>
      </c>
      <c r="J727" s="2" t="str">
        <f>'Burger-F9-F10'!C58</f>
        <v/>
      </c>
      <c r="K727" s="2" t="str">
        <f>'Burger-F9-F10'!D58</f>
        <v/>
      </c>
      <c r="L727" s="2" t="str">
        <f>'Burger-F9-F10'!E58</f>
        <v/>
      </c>
      <c r="M727" s="2" t="str">
        <f>'Burger-F9-F10'!F58</f>
        <v/>
      </c>
      <c r="N727" s="2" t="str">
        <f>'Burger-F9-F10'!G58</f>
        <v/>
      </c>
      <c r="O727" s="2" t="str">
        <f>'Burger-F9-F10'!H58</f>
        <v/>
      </c>
      <c r="P727" s="2" t="str">
        <f>'Burger-F9-F10'!I58</f>
        <v/>
      </c>
      <c r="Q727" s="2" t="str">
        <f>'Burger-F9-F10'!J58</f>
        <v/>
      </c>
      <c r="R727" s="2" t="str">
        <f>'Burger-F9-F10'!K58</f>
        <v/>
      </c>
      <c r="S727" s="2" t="str">
        <f>'Burger-F9-F10'!L58</f>
        <v/>
      </c>
      <c r="T727" s="2" t="str">
        <f>'Burger-F9-F10'!M58</f>
        <v/>
      </c>
      <c r="U727" s="2" t="str">
        <f>'Burger-F9-F10'!N58</f>
        <v/>
      </c>
      <c r="V727" s="2" t="str">
        <f>'Burger-F9-F10'!O58</f>
        <v/>
      </c>
      <c r="W727" s="2" t="str">
        <f>'Burger-F9-F10'!P58</f>
        <v/>
      </c>
      <c r="X727" s="5">
        <f>'Burger-F9-F10'!Q58</f>
        <v>0</v>
      </c>
      <c r="Y727" s="1"/>
      <c r="Z727" s="1"/>
      <c r="AA727" s="1"/>
    </row>
    <row r="728">
      <c r="A728" s="1"/>
      <c r="B728" s="14">
        <f t="shared" si="13"/>
        <v>55</v>
      </c>
      <c r="C728" s="15" t="str">
        <f t="shared" si="1"/>
        <v>diciembre</v>
      </c>
      <c r="D728" s="15">
        <f t="shared" si="2"/>
        <v>52</v>
      </c>
      <c r="E728" s="16" t="str">
        <f t="shared" si="3"/>
        <v>sábado</v>
      </c>
      <c r="F728" s="15">
        <f t="shared" si="4"/>
        <v>30</v>
      </c>
      <c r="G728" s="15" t="s">
        <v>25</v>
      </c>
      <c r="H728" s="3" t="str">
        <f>'Burger-F9-F10'!$G$3</f>
        <v>BURGER</v>
      </c>
      <c r="I728" s="24" t="str">
        <f>'Burger-F9-F10'!B59</f>
        <v/>
      </c>
      <c r="J728" s="2" t="str">
        <f>'Burger-F9-F10'!C59</f>
        <v/>
      </c>
      <c r="K728" s="2" t="str">
        <f>'Burger-F9-F10'!D59</f>
        <v/>
      </c>
      <c r="L728" s="2" t="str">
        <f>'Burger-F9-F10'!E59</f>
        <v/>
      </c>
      <c r="M728" s="2" t="str">
        <f>'Burger-F9-F10'!F59</f>
        <v/>
      </c>
      <c r="N728" s="2" t="str">
        <f>'Burger-F9-F10'!G59</f>
        <v/>
      </c>
      <c r="O728" s="2" t="str">
        <f>'Burger-F9-F10'!H59</f>
        <v/>
      </c>
      <c r="P728" s="2" t="str">
        <f>'Burger-F9-F10'!I59</f>
        <v/>
      </c>
      <c r="Q728" s="2" t="str">
        <f>'Burger-F9-F10'!J59</f>
        <v/>
      </c>
      <c r="R728" s="2" t="str">
        <f>'Burger-F9-F10'!K59</f>
        <v/>
      </c>
      <c r="S728" s="2" t="str">
        <f>'Burger-F9-F10'!L59</f>
        <v/>
      </c>
      <c r="T728" s="2" t="str">
        <f>'Burger-F9-F10'!M59</f>
        <v/>
      </c>
      <c r="U728" s="2" t="str">
        <f>'Burger-F9-F10'!N59</f>
        <v/>
      </c>
      <c r="V728" s="2" t="str">
        <f>'Burger-F9-F10'!O59</f>
        <v/>
      </c>
      <c r="W728" s="2" t="str">
        <f>'Burger-F9-F10'!P59</f>
        <v/>
      </c>
      <c r="X728" s="5">
        <f>'Burger-F9-F10'!Q59</f>
        <v>0</v>
      </c>
      <c r="Y728" s="1"/>
      <c r="Z728" s="1"/>
      <c r="AA728" s="1"/>
    </row>
    <row r="729">
      <c r="A729" s="1"/>
      <c r="B729" s="14">
        <f t="shared" si="13"/>
        <v>56</v>
      </c>
      <c r="C729" s="15" t="str">
        <f t="shared" si="1"/>
        <v>diciembre</v>
      </c>
      <c r="D729" s="15">
        <f t="shared" si="2"/>
        <v>52</v>
      </c>
      <c r="E729" s="16" t="str">
        <f t="shared" si="3"/>
        <v>sábado</v>
      </c>
      <c r="F729" s="15">
        <f t="shared" si="4"/>
        <v>30</v>
      </c>
      <c r="G729" s="15" t="s">
        <v>25</v>
      </c>
      <c r="H729" s="3" t="str">
        <f>'Burger-F9-F10'!$G$3</f>
        <v>BURGER</v>
      </c>
      <c r="I729" s="24" t="str">
        <f>'Burger-F9-F10'!B60</f>
        <v/>
      </c>
      <c r="J729" s="2" t="str">
        <f>'Burger-F9-F10'!C60</f>
        <v/>
      </c>
      <c r="K729" s="2" t="str">
        <f>'Burger-F9-F10'!D60</f>
        <v/>
      </c>
      <c r="L729" s="2" t="str">
        <f>'Burger-F9-F10'!E60</f>
        <v/>
      </c>
      <c r="M729" s="2" t="str">
        <f>'Burger-F9-F10'!F60</f>
        <v/>
      </c>
      <c r="N729" s="2" t="str">
        <f>'Burger-F9-F10'!G60</f>
        <v/>
      </c>
      <c r="O729" s="2" t="str">
        <f>'Burger-F9-F10'!H60</f>
        <v/>
      </c>
      <c r="P729" s="2" t="str">
        <f>'Burger-F9-F10'!I60</f>
        <v/>
      </c>
      <c r="Q729" s="2" t="str">
        <f>'Burger-F9-F10'!J60</f>
        <v/>
      </c>
      <c r="R729" s="2" t="str">
        <f>'Burger-F9-F10'!K60</f>
        <v/>
      </c>
      <c r="S729" s="2" t="str">
        <f>'Burger-F9-F10'!L60</f>
        <v/>
      </c>
      <c r="T729" s="2" t="str">
        <f>'Burger-F9-F10'!M60</f>
        <v/>
      </c>
      <c r="U729" s="2" t="str">
        <f>'Burger-F9-F10'!N60</f>
        <v/>
      </c>
      <c r="V729" s="2" t="str">
        <f>'Burger-F9-F10'!O60</f>
        <v/>
      </c>
      <c r="W729" s="2" t="str">
        <f>'Burger-F9-F10'!P60</f>
        <v/>
      </c>
      <c r="X729" s="5">
        <f>'Burger-F9-F10'!Q60</f>
        <v>0</v>
      </c>
      <c r="Y729" s="1"/>
      <c r="Z729" s="1"/>
      <c r="AA729" s="1"/>
    </row>
    <row r="730">
      <c r="A730" s="1"/>
      <c r="B730" s="14">
        <f t="shared" si="13"/>
        <v>57</v>
      </c>
      <c r="C730" s="15" t="str">
        <f t="shared" si="1"/>
        <v>diciembre</v>
      </c>
      <c r="D730" s="15">
        <f t="shared" si="2"/>
        <v>52</v>
      </c>
      <c r="E730" s="16" t="str">
        <f t="shared" si="3"/>
        <v>sábado</v>
      </c>
      <c r="F730" s="15">
        <f t="shared" si="4"/>
        <v>30</v>
      </c>
      <c r="G730" s="15" t="s">
        <v>25</v>
      </c>
      <c r="H730" s="3" t="str">
        <f>'Burger-F9-F10'!$G$3</f>
        <v>BURGER</v>
      </c>
      <c r="I730" s="24" t="str">
        <f>'Burger-F9-F10'!B61</f>
        <v/>
      </c>
      <c r="J730" s="2" t="str">
        <f>'Burger-F9-F10'!C61</f>
        <v/>
      </c>
      <c r="K730" s="2" t="str">
        <f>'Burger-F9-F10'!D61</f>
        <v/>
      </c>
      <c r="L730" s="2" t="str">
        <f>'Burger-F9-F10'!E61</f>
        <v/>
      </c>
      <c r="M730" s="2" t="str">
        <f>'Burger-F9-F10'!F61</f>
        <v/>
      </c>
      <c r="N730" s="2" t="str">
        <f>'Burger-F9-F10'!G61</f>
        <v/>
      </c>
      <c r="O730" s="2" t="str">
        <f>'Burger-F9-F10'!H61</f>
        <v/>
      </c>
      <c r="P730" s="2" t="str">
        <f>'Burger-F9-F10'!I61</f>
        <v/>
      </c>
      <c r="Q730" s="2" t="str">
        <f>'Burger-F9-F10'!J61</f>
        <v/>
      </c>
      <c r="R730" s="2" t="str">
        <f>'Burger-F9-F10'!K61</f>
        <v/>
      </c>
      <c r="S730" s="2" t="str">
        <f>'Burger-F9-F10'!L61</f>
        <v/>
      </c>
      <c r="T730" s="2" t="str">
        <f>'Burger-F9-F10'!M61</f>
        <v/>
      </c>
      <c r="U730" s="2" t="str">
        <f>'Burger-F9-F10'!N61</f>
        <v/>
      </c>
      <c r="V730" s="2" t="str">
        <f>'Burger-F9-F10'!O61</f>
        <v/>
      </c>
      <c r="W730" s="2" t="str">
        <f>'Burger-F9-F10'!P61</f>
        <v/>
      </c>
      <c r="X730" s="5">
        <f>'Burger-F9-F10'!Q61</f>
        <v>0</v>
      </c>
      <c r="Y730" s="1"/>
      <c r="Z730" s="1"/>
      <c r="AA730" s="1"/>
    </row>
    <row r="731">
      <c r="A731" s="1"/>
      <c r="B731" s="14">
        <f t="shared" si="13"/>
        <v>58</v>
      </c>
      <c r="C731" s="15" t="str">
        <f t="shared" si="1"/>
        <v>diciembre</v>
      </c>
      <c r="D731" s="15">
        <f t="shared" si="2"/>
        <v>52</v>
      </c>
      <c r="E731" s="16" t="str">
        <f t="shared" si="3"/>
        <v>sábado</v>
      </c>
      <c r="F731" s="15">
        <f t="shared" si="4"/>
        <v>30</v>
      </c>
      <c r="G731" s="15" t="s">
        <v>25</v>
      </c>
      <c r="H731" s="3" t="str">
        <f>'Burger-F9-F10'!$G$3</f>
        <v>BURGER</v>
      </c>
      <c r="I731" s="24" t="str">
        <f>'Burger-F9-F10'!B62</f>
        <v/>
      </c>
      <c r="J731" s="2" t="str">
        <f>'Burger-F9-F10'!C62</f>
        <v/>
      </c>
      <c r="K731" s="2" t="str">
        <f>'Burger-F9-F10'!D62</f>
        <v/>
      </c>
      <c r="L731" s="2" t="str">
        <f>'Burger-F9-F10'!E62</f>
        <v/>
      </c>
      <c r="M731" s="2" t="str">
        <f>'Burger-F9-F10'!F62</f>
        <v/>
      </c>
      <c r="N731" s="2" t="str">
        <f>'Burger-F9-F10'!G62</f>
        <v/>
      </c>
      <c r="O731" s="2" t="str">
        <f>'Burger-F9-F10'!H62</f>
        <v/>
      </c>
      <c r="P731" s="2" t="str">
        <f>'Burger-F9-F10'!I62</f>
        <v/>
      </c>
      <c r="Q731" s="2" t="str">
        <f>'Burger-F9-F10'!J62</f>
        <v/>
      </c>
      <c r="R731" s="2" t="str">
        <f>'Burger-F9-F10'!K62</f>
        <v/>
      </c>
      <c r="S731" s="2" t="str">
        <f>'Burger-F9-F10'!L62</f>
        <v/>
      </c>
      <c r="T731" s="2" t="str">
        <f>'Burger-F9-F10'!M62</f>
        <v/>
      </c>
      <c r="U731" s="2" t="str">
        <f>'Burger-F9-F10'!N62</f>
        <v/>
      </c>
      <c r="V731" s="2" t="str">
        <f>'Burger-F9-F10'!O62</f>
        <v/>
      </c>
      <c r="W731" s="2" t="str">
        <f>'Burger-F9-F10'!P62</f>
        <v/>
      </c>
      <c r="X731" s="5">
        <f>'Burger-F9-F10'!Q62</f>
        <v>0</v>
      </c>
      <c r="Y731" s="1"/>
      <c r="Z731" s="1"/>
      <c r="AA731" s="1"/>
    </row>
    <row r="732">
      <c r="A732" s="1"/>
      <c r="B732" s="14">
        <f t="shared" si="13"/>
        <v>59</v>
      </c>
      <c r="C732" s="15" t="str">
        <f t="shared" si="1"/>
        <v>diciembre</v>
      </c>
      <c r="D732" s="15">
        <f t="shared" si="2"/>
        <v>52</v>
      </c>
      <c r="E732" s="16" t="str">
        <f t="shared" si="3"/>
        <v>sábado</v>
      </c>
      <c r="F732" s="15">
        <f t="shared" si="4"/>
        <v>30</v>
      </c>
      <c r="G732" s="15" t="s">
        <v>25</v>
      </c>
      <c r="H732" s="3" t="str">
        <f>'Burger-F9-F10'!$G$3</f>
        <v>BURGER</v>
      </c>
      <c r="I732" s="24" t="str">
        <f>'Burger-F9-F10'!B63</f>
        <v/>
      </c>
      <c r="J732" s="2" t="str">
        <f>'Burger-F9-F10'!C63</f>
        <v/>
      </c>
      <c r="K732" s="2" t="str">
        <f>'Burger-F9-F10'!D63</f>
        <v/>
      </c>
      <c r="L732" s="2" t="str">
        <f>'Burger-F9-F10'!E63</f>
        <v/>
      </c>
      <c r="M732" s="2" t="str">
        <f>'Burger-F9-F10'!F63</f>
        <v/>
      </c>
      <c r="N732" s="2" t="str">
        <f>'Burger-F9-F10'!G63</f>
        <v/>
      </c>
      <c r="O732" s="2" t="str">
        <f>'Burger-F9-F10'!H63</f>
        <v/>
      </c>
      <c r="P732" s="2" t="str">
        <f>'Burger-F9-F10'!I63</f>
        <v/>
      </c>
      <c r="Q732" s="2" t="str">
        <f>'Burger-F9-F10'!J63</f>
        <v/>
      </c>
      <c r="R732" s="2" t="str">
        <f>'Burger-F9-F10'!K63</f>
        <v/>
      </c>
      <c r="S732" s="2" t="str">
        <f>'Burger-F9-F10'!L63</f>
        <v/>
      </c>
      <c r="T732" s="2" t="str">
        <f>'Burger-F9-F10'!M63</f>
        <v/>
      </c>
      <c r="U732" s="2" t="str">
        <f>'Burger-F9-F10'!N63</f>
        <v/>
      </c>
      <c r="V732" s="2" t="str">
        <f>'Burger-F9-F10'!O63</f>
        <v/>
      </c>
      <c r="W732" s="2" t="str">
        <f>'Burger-F9-F10'!P63</f>
        <v/>
      </c>
      <c r="X732" s="5">
        <f>'Burger-F9-F10'!Q63</f>
        <v>0</v>
      </c>
      <c r="Y732" s="1"/>
      <c r="Z732" s="1"/>
      <c r="AA732" s="1"/>
    </row>
    <row r="733">
      <c r="A733" s="1"/>
      <c r="B733" s="14">
        <f t="shared" si="13"/>
        <v>60</v>
      </c>
      <c r="C733" s="15" t="str">
        <f t="shared" si="1"/>
        <v>diciembre</v>
      </c>
      <c r="D733" s="15">
        <f t="shared" si="2"/>
        <v>52</v>
      </c>
      <c r="E733" s="16" t="str">
        <f t="shared" si="3"/>
        <v>sábado</v>
      </c>
      <c r="F733" s="15">
        <f t="shared" si="4"/>
        <v>30</v>
      </c>
      <c r="G733" s="15" t="s">
        <v>25</v>
      </c>
      <c r="H733" s="3" t="str">
        <f>'Burger-F9-F10'!$G$3</f>
        <v>BURGER</v>
      </c>
      <c r="I733" s="24" t="str">
        <f>'Burger-F9-F10'!B64</f>
        <v/>
      </c>
      <c r="J733" s="2" t="str">
        <f>'Burger-F9-F10'!C64</f>
        <v/>
      </c>
      <c r="K733" s="2" t="str">
        <f>'Burger-F9-F10'!D64</f>
        <v/>
      </c>
      <c r="L733" s="2" t="str">
        <f>'Burger-F9-F10'!E64</f>
        <v/>
      </c>
      <c r="M733" s="2" t="str">
        <f>'Burger-F9-F10'!F64</f>
        <v/>
      </c>
      <c r="N733" s="2" t="str">
        <f>'Burger-F9-F10'!G64</f>
        <v/>
      </c>
      <c r="O733" s="5" t="str">
        <f>'Burger-F9-F10'!H64</f>
        <v/>
      </c>
      <c r="P733" s="5" t="str">
        <f>'Burger-F9-F10'!I64</f>
        <v/>
      </c>
      <c r="Q733" s="5" t="str">
        <f>'Burger-F9-F10'!J64</f>
        <v/>
      </c>
      <c r="R733" s="5" t="str">
        <f>'Burger-F9-F10'!K64</f>
        <v/>
      </c>
      <c r="S733" s="2" t="str">
        <f>'Burger-F9-F10'!L64</f>
        <v/>
      </c>
      <c r="T733" s="2" t="str">
        <f>'Burger-F9-F10'!M64</f>
        <v/>
      </c>
      <c r="U733" s="34" t="str">
        <f>'Burger-F9-F10'!N64</f>
        <v/>
      </c>
      <c r="V733" s="34" t="str">
        <f>'Burger-F9-F10'!O64</f>
        <v/>
      </c>
      <c r="W733" s="2" t="str">
        <f>'Burger-F9-F10'!P64</f>
        <v/>
      </c>
      <c r="X733" s="5" t="str">
        <f>'Burger-F9-F10'!Q64</f>
        <v/>
      </c>
      <c r="Y733" s="1"/>
      <c r="Z733" s="1"/>
      <c r="AA733" s="1"/>
    </row>
    <row r="734">
      <c r="A734" s="1"/>
      <c r="B734" s="14">
        <f t="shared" si="13"/>
        <v>61</v>
      </c>
      <c r="C734" s="15" t="str">
        <f t="shared" si="1"/>
        <v>diciembre</v>
      </c>
      <c r="D734" s="15">
        <f t="shared" si="2"/>
        <v>52</v>
      </c>
      <c r="E734" s="16" t="str">
        <f t="shared" si="3"/>
        <v>sábado</v>
      </c>
      <c r="F734" s="15">
        <f t="shared" si="4"/>
        <v>30</v>
      </c>
      <c r="G734" s="15" t="s">
        <v>25</v>
      </c>
      <c r="H734" s="3" t="str">
        <f>'Burger-F9-F10'!$G$3</f>
        <v>BURGER</v>
      </c>
      <c r="I734" s="24" t="str">
        <f>'Burger-F9-F10'!B65</f>
        <v/>
      </c>
      <c r="J734" s="2" t="str">
        <f>'Burger-F9-F10'!C65</f>
        <v/>
      </c>
      <c r="K734" s="2" t="str">
        <f>'Burger-F9-F10'!D65</f>
        <v/>
      </c>
      <c r="L734" s="2" t="str">
        <f>'Burger-F9-F10'!E65</f>
        <v/>
      </c>
      <c r="M734" s="2" t="str">
        <f>'Burger-F9-F10'!F65</f>
        <v/>
      </c>
      <c r="N734" s="2" t="str">
        <f>'Burger-F9-F10'!G65</f>
        <v/>
      </c>
      <c r="O734" s="5" t="str">
        <f>'Burger-F9-F10'!H65</f>
        <v/>
      </c>
      <c r="P734" s="5" t="str">
        <f>'Burger-F9-F10'!I65</f>
        <v/>
      </c>
      <c r="Q734" s="5" t="str">
        <f>'Burger-F9-F10'!J65</f>
        <v/>
      </c>
      <c r="R734" s="5" t="str">
        <f>'Burger-F9-F10'!K65</f>
        <v/>
      </c>
      <c r="S734" s="2" t="str">
        <f>'Burger-F9-F10'!L65</f>
        <v/>
      </c>
      <c r="T734" s="2" t="str">
        <f>'Burger-F9-F10'!M65</f>
        <v/>
      </c>
      <c r="U734" s="34" t="str">
        <f>'Burger-F9-F10'!N65</f>
        <v/>
      </c>
      <c r="V734" s="34" t="str">
        <f>'Burger-F9-F10'!O65</f>
        <v/>
      </c>
      <c r="W734" s="2" t="str">
        <f>'Burger-F9-F10'!P65</f>
        <v/>
      </c>
      <c r="X734" s="5" t="str">
        <f>'Burger-F9-F10'!Q65</f>
        <v/>
      </c>
      <c r="Y734" s="1"/>
      <c r="Z734" s="1"/>
      <c r="AA734" s="1"/>
    </row>
    <row r="735">
      <c r="A735" s="1"/>
      <c r="B735" s="14">
        <f t="shared" si="13"/>
        <v>62</v>
      </c>
      <c r="C735" s="15" t="str">
        <f t="shared" si="1"/>
        <v>diciembre</v>
      </c>
      <c r="D735" s="15">
        <f t="shared" si="2"/>
        <v>52</v>
      </c>
      <c r="E735" s="16" t="str">
        <f t="shared" si="3"/>
        <v>sábado</v>
      </c>
      <c r="F735" s="15">
        <f t="shared" si="4"/>
        <v>30</v>
      </c>
      <c r="G735" s="15" t="s">
        <v>25</v>
      </c>
      <c r="H735" s="3" t="str">
        <f>'Burger-F9-F10'!$G$3</f>
        <v>BURGER</v>
      </c>
      <c r="I735" s="24" t="str">
        <f>'Burger-F9-F10'!B66</f>
        <v/>
      </c>
      <c r="J735" s="2" t="str">
        <f>'Burger-F9-F10'!C66</f>
        <v/>
      </c>
      <c r="K735" s="2" t="str">
        <f>'Burger-F9-F10'!D66</f>
        <v/>
      </c>
      <c r="L735" s="2" t="str">
        <f>'Burger-F9-F10'!E66</f>
        <v/>
      </c>
      <c r="M735" s="2" t="str">
        <f>'Burger-F9-F10'!F66</f>
        <v/>
      </c>
      <c r="N735" s="2" t="str">
        <f>'Burger-F9-F10'!G66</f>
        <v/>
      </c>
      <c r="O735" s="5" t="str">
        <f>'Burger-F9-F10'!H66</f>
        <v/>
      </c>
      <c r="P735" s="5" t="str">
        <f>'Burger-F9-F10'!I66</f>
        <v/>
      </c>
      <c r="Q735" s="5" t="str">
        <f>'Burger-F9-F10'!J66</f>
        <v/>
      </c>
      <c r="R735" s="5" t="str">
        <f>'Burger-F9-F10'!K66</f>
        <v/>
      </c>
      <c r="S735" s="2" t="str">
        <f>'Burger-F9-F10'!L66</f>
        <v/>
      </c>
      <c r="T735" s="2" t="str">
        <f>'Burger-F9-F10'!M66</f>
        <v/>
      </c>
      <c r="U735" s="34" t="str">
        <f>'Burger-F9-F10'!N66</f>
        <v/>
      </c>
      <c r="V735" s="34" t="str">
        <f>'Burger-F9-F10'!O66</f>
        <v/>
      </c>
      <c r="W735" s="2" t="str">
        <f>'Burger-F9-F10'!P66</f>
        <v/>
      </c>
      <c r="X735" s="5" t="str">
        <f>'Burger-F9-F10'!Q66</f>
        <v/>
      </c>
      <c r="Y735" s="1"/>
      <c r="Z735" s="1"/>
      <c r="AA735" s="1"/>
    </row>
    <row r="736">
      <c r="A736" s="1"/>
      <c r="B736" s="14">
        <v>1.0</v>
      </c>
      <c r="C736" s="22" t="str">
        <f t="shared" si="1"/>
        <v>diciembre</v>
      </c>
      <c r="D736" s="22">
        <f t="shared" si="2"/>
        <v>52</v>
      </c>
      <c r="E736" s="23" t="str">
        <f t="shared" si="3"/>
        <v>lunes</v>
      </c>
      <c r="F736" s="22">
        <f t="shared" si="4"/>
        <v>22</v>
      </c>
      <c r="G736" s="22" t="s">
        <v>26</v>
      </c>
      <c r="H736" s="3" t="str">
        <f>'CyC-F11-F12'!$G$3</f>
        <v>CyC F9</v>
      </c>
      <c r="I736" s="24">
        <f>'CyC-F11-F12'!B5</f>
        <v>46013</v>
      </c>
      <c r="J736" s="2">
        <f>'CyC-F11-F12'!C5</f>
        <v>44402809</v>
      </c>
      <c r="K736" s="2" t="str">
        <f>'CyC-F11-F12'!D5</f>
        <v>Pedro Gonzales Correa </v>
      </c>
      <c r="L736" s="2" t="str">
        <f>'CyC-F11-F12'!E5</f>
        <v>pegc68@gmail.com</v>
      </c>
      <c r="M736" s="2" t="str">
        <f>'CyC-F11-F12'!F5</f>
        <v>SANTA ANITA</v>
      </c>
      <c r="N736" s="2">
        <f>'CyC-F11-F12'!G5</f>
        <v>959379754</v>
      </c>
      <c r="O736" s="5" t="str">
        <f>'CyC-F11-F12'!H5</f>
        <v>x</v>
      </c>
      <c r="P736" s="2" t="str">
        <f>'CyC-F11-F12'!I5</f>
        <v/>
      </c>
      <c r="Q736" s="2">
        <f>'CyC-F11-F12'!J5</f>
        <v>185</v>
      </c>
      <c r="R736" s="2" t="str">
        <f>'CyC-F11-F12'!K5</f>
        <v/>
      </c>
      <c r="S736" s="2" t="str">
        <f>'CyC-F11-F12'!L5</f>
        <v>PAGO</v>
      </c>
      <c r="T736" s="2" t="str">
        <f>'CyC-F11-F12'!M5</f>
        <v>YAPE JL</v>
      </c>
      <c r="U736" s="2">
        <f>'CyC-F11-F12'!N5</f>
        <v>185</v>
      </c>
      <c r="V736" s="2" t="str">
        <f>'CyC-F11-F12'!O5</f>
        <v/>
      </c>
      <c r="W736" s="2" t="str">
        <f>'CyC-F11-F12'!P5</f>
        <v>Yadhira</v>
      </c>
      <c r="X736" s="34">
        <f>'CyC-F11-F12'!Q5</f>
        <v>185</v>
      </c>
      <c r="Y736" s="1"/>
      <c r="Z736" s="1"/>
      <c r="AA736" s="1"/>
    </row>
    <row r="737">
      <c r="A737" s="1"/>
      <c r="B737" s="14">
        <f t="shared" ref="B737:B797" si="14">B736+1</f>
        <v>2</v>
      </c>
      <c r="C737" s="22" t="str">
        <f t="shared" si="1"/>
        <v>diciembre</v>
      </c>
      <c r="D737" s="22">
        <f t="shared" si="2"/>
        <v>52</v>
      </c>
      <c r="E737" s="23" t="str">
        <f t="shared" si="3"/>
        <v>miércoles</v>
      </c>
      <c r="F737" s="22">
        <f t="shared" si="4"/>
        <v>24</v>
      </c>
      <c r="G737" s="22" t="s">
        <v>26</v>
      </c>
      <c r="H737" s="3" t="str">
        <f>'CyC-F11-F12'!$G$3</f>
        <v>CyC F9</v>
      </c>
      <c r="I737" s="24">
        <f>'CyC-F11-F12'!B6</f>
        <v>46015</v>
      </c>
      <c r="J737" s="2">
        <f>'CyC-F11-F12'!C6</f>
        <v>43328710</v>
      </c>
      <c r="K737" s="2" t="str">
        <f>'CyC-F11-F12'!D6</f>
        <v>Fernando García Rojas</v>
      </c>
      <c r="L737" s="2" t="str">
        <f>'CyC-F11-F12'!E6</f>
        <v>anthonygb89@gmail.com</v>
      </c>
      <c r="M737" s="2" t="str">
        <f>'CyC-F11-F12'!F6</f>
        <v>MIRAFLORES</v>
      </c>
      <c r="N737" s="2" t="str">
        <f>'CyC-F11-F12'!G6</f>
        <v>985 546 938</v>
      </c>
      <c r="O737" s="5" t="str">
        <f>'CyC-F11-F12'!H6</f>
        <v>x</v>
      </c>
      <c r="P737" s="5" t="str">
        <f>'CyC-F11-F12'!I6</f>
        <v/>
      </c>
      <c r="Q737" s="5">
        <f>'CyC-F11-F12'!J6</f>
        <v>100</v>
      </c>
      <c r="R737" s="5">
        <f>'CyC-F11-F12'!K6</f>
        <v>90</v>
      </c>
      <c r="S737" s="2" t="str">
        <f>'CyC-F11-F12'!L6</f>
        <v>COBR</v>
      </c>
      <c r="T737" s="2" t="str">
        <f>'CyC-F11-F12'!M6</f>
        <v>YAPE JL</v>
      </c>
      <c r="U737" s="34">
        <f>'CyC-F11-F12'!N6</f>
        <v>100</v>
      </c>
      <c r="V737" s="34">
        <f>'CyC-F11-F12'!O6</f>
        <v>90</v>
      </c>
      <c r="W737" s="2" t="str">
        <f>'CyC-F11-F12'!P6</f>
        <v>Greici</v>
      </c>
      <c r="X737" s="34">
        <f>'CyC-F11-F12'!Q6</f>
        <v>190</v>
      </c>
      <c r="Y737" s="1"/>
      <c r="Z737" s="1"/>
      <c r="AA737" s="1"/>
    </row>
    <row r="738">
      <c r="A738" s="1"/>
      <c r="B738" s="14">
        <f t="shared" si="14"/>
        <v>3</v>
      </c>
      <c r="C738" s="22" t="str">
        <f t="shared" si="1"/>
        <v>diciembre</v>
      </c>
      <c r="D738" s="22">
        <f t="shared" si="2"/>
        <v>52</v>
      </c>
      <c r="E738" s="23" t="str">
        <f t="shared" si="3"/>
        <v>jueves</v>
      </c>
      <c r="F738" s="22">
        <f t="shared" si="4"/>
        <v>25</v>
      </c>
      <c r="G738" s="22" t="s">
        <v>26</v>
      </c>
      <c r="H738" s="3" t="str">
        <f>'CyC-F11-F12'!$G$3</f>
        <v>CyC F9</v>
      </c>
      <c r="I738" s="24">
        <f>'CyC-F11-F12'!B7</f>
        <v>46016</v>
      </c>
      <c r="J738" s="2" t="str">
        <f>'CyC-F11-F12'!C7</f>
        <v/>
      </c>
      <c r="K738" s="2" t="str">
        <f>'CyC-F11-F12'!D7</f>
        <v>HILDA MERCEDES ZAVALA RAMOS </v>
      </c>
      <c r="L738" s="2" t="str">
        <f>'CyC-F11-F12'!E7</f>
        <v>Julio.aliagaz@pucp.edu.pe</v>
      </c>
      <c r="M738" s="2" t="str">
        <f>'CyC-F11-F12'!F7</f>
        <v/>
      </c>
      <c r="N738" s="2" t="str">
        <f>'CyC-F11-F12'!G7</f>
        <v/>
      </c>
      <c r="O738" s="5" t="str">
        <f>'CyC-F11-F12'!H7</f>
        <v>x</v>
      </c>
      <c r="P738" s="5" t="str">
        <f>'CyC-F11-F12'!I7</f>
        <v/>
      </c>
      <c r="Q738" s="5">
        <f>'CyC-F11-F12'!J7</f>
        <v>80</v>
      </c>
      <c r="R738" s="5">
        <f>'CyC-F11-F12'!K7</f>
        <v>85</v>
      </c>
      <c r="S738" s="2" t="str">
        <f>'CyC-F11-F12'!L7</f>
        <v>PAGO</v>
      </c>
      <c r="T738" s="2" t="str">
        <f>'CyC-F11-F12'!M7</f>
        <v>YAPE JL</v>
      </c>
      <c r="U738" s="34">
        <f>'CyC-F11-F12'!N7</f>
        <v>80</v>
      </c>
      <c r="V738" s="34">
        <f>'CyC-F11-F12'!O7</f>
        <v>85</v>
      </c>
      <c r="W738" s="2" t="str">
        <f>'CyC-F11-F12'!P7</f>
        <v>Katherine</v>
      </c>
      <c r="X738" s="34">
        <f>'CyC-F11-F12'!Q7</f>
        <v>165</v>
      </c>
      <c r="Y738" s="1"/>
      <c r="Z738" s="1"/>
      <c r="AA738" s="1"/>
    </row>
    <row r="739">
      <c r="A739" s="1"/>
      <c r="B739" s="14">
        <f t="shared" si="14"/>
        <v>4</v>
      </c>
      <c r="C739" s="22" t="str">
        <f t="shared" si="1"/>
        <v>diciembre</v>
      </c>
      <c r="D739" s="22">
        <f t="shared" si="2"/>
        <v>52</v>
      </c>
      <c r="E739" s="23" t="str">
        <f t="shared" si="3"/>
        <v>jueves</v>
      </c>
      <c r="F739" s="22">
        <f t="shared" si="4"/>
        <v>25</v>
      </c>
      <c r="G739" s="22" t="s">
        <v>26</v>
      </c>
      <c r="H739" s="3" t="str">
        <f>'CyC-F11-F12'!$G$3</f>
        <v>CyC F9</v>
      </c>
      <c r="I739" s="24">
        <f>'CyC-F11-F12'!B8</f>
        <v>46016</v>
      </c>
      <c r="J739" s="2" t="str">
        <f>'CyC-F11-F12'!C8</f>
        <v/>
      </c>
      <c r="K739" s="2" t="str">
        <f>'CyC-F11-F12'!D8</f>
        <v>JULIO GODOFREDO ALIAGA SUÁREZ</v>
      </c>
      <c r="L739" s="2" t="str">
        <f>'CyC-F11-F12'!E8</f>
        <v>Julio.aliagaz@pucp.edu.pe</v>
      </c>
      <c r="M739" s="2" t="str">
        <f>'CyC-F11-F12'!F8</f>
        <v/>
      </c>
      <c r="N739" s="2" t="str">
        <f>'CyC-F11-F12'!G8</f>
        <v/>
      </c>
      <c r="O739" s="5" t="str">
        <f>'CyC-F11-F12'!H8</f>
        <v>x</v>
      </c>
      <c r="P739" s="5" t="str">
        <f>'CyC-F11-F12'!I8</f>
        <v/>
      </c>
      <c r="Q739" s="5">
        <f>'CyC-F11-F12'!J8</f>
        <v>80</v>
      </c>
      <c r="R739" s="5">
        <f>'CyC-F11-F12'!K8</f>
        <v>85</v>
      </c>
      <c r="S739" s="2" t="str">
        <f>'CyC-F11-F12'!L8</f>
        <v>PAGO</v>
      </c>
      <c r="T739" s="2" t="str">
        <f>'CyC-F11-F12'!M8</f>
        <v>YAPE JL</v>
      </c>
      <c r="U739" s="34">
        <f>'CyC-F11-F12'!N8</f>
        <v>80</v>
      </c>
      <c r="V739" s="34">
        <f>'CyC-F11-F12'!O8</f>
        <v>85</v>
      </c>
      <c r="W739" s="2" t="str">
        <f>'CyC-F11-F12'!P8</f>
        <v>Katherine</v>
      </c>
      <c r="X739" s="34">
        <f>'CyC-F11-F12'!Q8</f>
        <v>165</v>
      </c>
      <c r="Y739" s="1"/>
      <c r="Z739" s="1"/>
      <c r="AA739" s="1"/>
    </row>
    <row r="740">
      <c r="A740" s="1"/>
      <c r="B740" s="14">
        <f t="shared" si="14"/>
        <v>5</v>
      </c>
      <c r="C740" s="22" t="str">
        <f t="shared" si="1"/>
        <v>enero</v>
      </c>
      <c r="D740" s="22">
        <f t="shared" si="2"/>
        <v>1</v>
      </c>
      <c r="E740" s="23" t="str">
        <f t="shared" si="3"/>
        <v>viernes</v>
      </c>
      <c r="F740" s="22">
        <f t="shared" si="4"/>
        <v>2</v>
      </c>
      <c r="G740" s="22" t="s">
        <v>26</v>
      </c>
      <c r="H740" s="3" t="str">
        <f>'CyC-F11-F12'!$G$3</f>
        <v>CyC F9</v>
      </c>
      <c r="I740" s="24">
        <f>'CyC-F11-F12'!B9</f>
        <v>46024</v>
      </c>
      <c r="J740" s="2">
        <f>'CyC-F11-F12'!C9</f>
        <v>40030613</v>
      </c>
      <c r="K740" s="2" t="str">
        <f>'CyC-F11-F12'!D9</f>
        <v>Elio Rios Cardenas
</v>
      </c>
      <c r="L740" s="2" t="str">
        <f>'CyC-F11-F12'!E9</f>
        <v>emz2011@hotmail.com</v>
      </c>
      <c r="M740" s="2" t="str">
        <f>'CyC-F11-F12'!F9</f>
        <v>SAN ISIDRO</v>
      </c>
      <c r="N740" s="2" t="str">
        <f>'CyC-F11-F12'!G9</f>
        <v> 991 708 648</v>
      </c>
      <c r="O740" s="5" t="str">
        <f>'CyC-F11-F12'!H9</f>
        <v>x</v>
      </c>
      <c r="P740" s="5" t="str">
        <f>'CyC-F11-F12'!I9</f>
        <v/>
      </c>
      <c r="Q740" s="5">
        <f>'CyC-F11-F12'!J9</f>
        <v>190</v>
      </c>
      <c r="R740" s="5" t="str">
        <f>'CyC-F11-F12'!K9</f>
        <v/>
      </c>
      <c r="S740" s="2" t="str">
        <f>'CyC-F11-F12'!L9</f>
        <v>PAGO</v>
      </c>
      <c r="T740" s="2" t="str">
        <f>'CyC-F11-F12'!M9</f>
        <v>PLIN JL</v>
      </c>
      <c r="U740" s="34">
        <f>'CyC-F11-F12'!N9</f>
        <v>190</v>
      </c>
      <c r="V740" s="34" t="str">
        <f>'CyC-F11-F12'!O9</f>
        <v/>
      </c>
      <c r="W740" s="2" t="str">
        <f>'CyC-F11-F12'!P9</f>
        <v>Yadhira</v>
      </c>
      <c r="X740" s="34">
        <f>'CyC-F11-F12'!Q9</f>
        <v>190</v>
      </c>
      <c r="Y740" s="1"/>
      <c r="Z740" s="1"/>
      <c r="AA740" s="1"/>
    </row>
    <row r="741">
      <c r="A741" s="1"/>
      <c r="B741" s="14">
        <f t="shared" si="14"/>
        <v>6</v>
      </c>
      <c r="C741" s="22" t="str">
        <f t="shared" si="1"/>
        <v>diciembre</v>
      </c>
      <c r="D741" s="22">
        <f t="shared" si="2"/>
        <v>53</v>
      </c>
      <c r="E741" s="23" t="str">
        <f t="shared" si="3"/>
        <v>miércoles</v>
      </c>
      <c r="F741" s="22">
        <f t="shared" si="4"/>
        <v>31</v>
      </c>
      <c r="G741" s="22" t="s">
        <v>26</v>
      </c>
      <c r="H741" s="3" t="str">
        <f>'CyC-F11-F12'!$G$3</f>
        <v>CyC F9</v>
      </c>
      <c r="I741" s="24">
        <f>'CyC-F11-F12'!B10</f>
        <v>46022</v>
      </c>
      <c r="J741" s="2">
        <f>'CyC-F11-F12'!C10</f>
        <v>9257561</v>
      </c>
      <c r="K741" s="2" t="str">
        <f>'CyC-F11-F12'!D10</f>
        <v>Haydee Loayza</v>
      </c>
      <c r="L741" s="2" t="str">
        <f>'CyC-F11-F12'!E10</f>
        <v>naturaquimi@gmail.com</v>
      </c>
      <c r="M741" s="2" t="str">
        <f>'CyC-F11-F12'!F10</f>
        <v>SJM</v>
      </c>
      <c r="N741" s="2" t="str">
        <f>'CyC-F11-F12'!G10</f>
        <v>995 755 666</v>
      </c>
      <c r="O741" s="5" t="str">
        <f>'CyC-F11-F12'!H10</f>
        <v>x</v>
      </c>
      <c r="P741" s="5" t="str">
        <f>'CyC-F11-F12'!I10</f>
        <v/>
      </c>
      <c r="Q741" s="5">
        <f>'CyC-F11-F12'!J10</f>
        <v>185</v>
      </c>
      <c r="R741" s="5" t="str">
        <f>'CyC-F11-F12'!K10</f>
        <v/>
      </c>
      <c r="S741" s="2" t="str">
        <f>'CyC-F11-F12'!L10</f>
        <v>PAGO</v>
      </c>
      <c r="T741" s="2" t="str">
        <f>'CyC-F11-F12'!M10</f>
        <v>PLIN JL</v>
      </c>
      <c r="U741" s="34">
        <f>'CyC-F11-F12'!N10</f>
        <v>185</v>
      </c>
      <c r="V741" s="34" t="str">
        <f>'CyC-F11-F12'!O10</f>
        <v/>
      </c>
      <c r="W741" s="2" t="str">
        <f>'CyC-F11-F12'!P10</f>
        <v>Greici</v>
      </c>
      <c r="X741" s="34">
        <f>'CyC-F11-F12'!Q10</f>
        <v>185</v>
      </c>
      <c r="Y741" s="1"/>
      <c r="Z741" s="1"/>
      <c r="AA741" s="1"/>
    </row>
    <row r="742">
      <c r="A742" s="1"/>
      <c r="B742" s="14">
        <f t="shared" si="14"/>
        <v>7</v>
      </c>
      <c r="C742" s="22" t="str">
        <f t="shared" si="1"/>
        <v>enero</v>
      </c>
      <c r="D742" s="22">
        <f t="shared" si="2"/>
        <v>2</v>
      </c>
      <c r="E742" s="23" t="str">
        <f t="shared" si="3"/>
        <v>martes</v>
      </c>
      <c r="F742" s="22">
        <f t="shared" si="4"/>
        <v>6</v>
      </c>
      <c r="G742" s="22" t="s">
        <v>26</v>
      </c>
      <c r="H742" s="3" t="str">
        <f>'CyC-F11-F12'!$G$3</f>
        <v>CyC F9</v>
      </c>
      <c r="I742" s="24">
        <f>'Burger-F7-F8'!B23</f>
        <v>46028</v>
      </c>
      <c r="J742" s="2">
        <f>'Burger-F7-F8'!C23</f>
        <v>48550749</v>
      </c>
      <c r="K742" s="2" t="str">
        <f>'Burger-F7-F8'!D23</f>
        <v> Brandon Barros Vizano</v>
      </c>
      <c r="L742" s="2" t="str">
        <f>'Burger-F7-F8'!E23</f>
        <v>brandon_honor2@outlook.com</v>
      </c>
      <c r="M742" s="2" t="str">
        <f>'Burger-F7-F8'!F23</f>
        <v>LOS OLIVOS</v>
      </c>
      <c r="N742" s="2" t="str">
        <f>'CyC-F11-F12'!G11</f>
        <v/>
      </c>
      <c r="O742" s="5" t="str">
        <f>'CyC-F11-F12'!H11</f>
        <v>x</v>
      </c>
      <c r="P742" s="5" t="str">
        <f>'CyC-F11-F12'!I11</f>
        <v/>
      </c>
      <c r="Q742" s="5">
        <f>'CyC-F11-F12'!J11</f>
        <v>190</v>
      </c>
      <c r="R742" s="5" t="str">
        <f>'CyC-F11-F12'!K11</f>
        <v/>
      </c>
      <c r="S742" s="2" t="str">
        <f>'CyC-F11-F12'!L11</f>
        <v>PAGO</v>
      </c>
      <c r="T742" s="2" t="str">
        <f>'CyC-F11-F12'!M11</f>
        <v>YAPE JL</v>
      </c>
      <c r="U742" s="34">
        <f>'CyC-F11-F12'!N11</f>
        <v>190</v>
      </c>
      <c r="V742" s="34" t="str">
        <f>'CyC-F11-F12'!O11</f>
        <v/>
      </c>
      <c r="W742" s="2" t="str">
        <f>'CyC-F11-F12'!P11</f>
        <v>Gabriela</v>
      </c>
      <c r="X742" s="34">
        <f>'CyC-F11-F12'!Q11</f>
        <v>190</v>
      </c>
      <c r="Y742" s="1"/>
      <c r="Z742" s="1"/>
      <c r="AA742" s="1"/>
    </row>
    <row r="743">
      <c r="A743" s="1"/>
      <c r="B743" s="14">
        <f t="shared" si="14"/>
        <v>8</v>
      </c>
      <c r="C743" s="22" t="str">
        <f t="shared" si="1"/>
        <v>enero</v>
      </c>
      <c r="D743" s="22">
        <f t="shared" si="2"/>
        <v>2</v>
      </c>
      <c r="E743" s="23" t="str">
        <f t="shared" si="3"/>
        <v>lunes</v>
      </c>
      <c r="F743" s="22">
        <f t="shared" si="4"/>
        <v>5</v>
      </c>
      <c r="G743" s="22" t="s">
        <v>26</v>
      </c>
      <c r="H743" s="3" t="str">
        <f>'CyC-F11-F12'!$G$3</f>
        <v>CyC F9</v>
      </c>
      <c r="I743" s="24">
        <f>'CyC-F11-F12'!B12</f>
        <v>46027</v>
      </c>
      <c r="J743" s="2" t="str">
        <f>'CyC-F11-F12'!C12</f>
        <v/>
      </c>
      <c r="K743" s="2" t="str">
        <f>'CyC-F11-F12'!D12</f>
        <v>Karen Sánchez vilcamiche</v>
      </c>
      <c r="L743" s="2" t="str">
        <f>'CyC-F11-F12'!E12</f>
        <v/>
      </c>
      <c r="M743" s="2" t="str">
        <f>'CyC-F11-F12'!F12</f>
        <v/>
      </c>
      <c r="N743" s="2" t="str">
        <f>'CyC-F11-F12'!G12</f>
        <v/>
      </c>
      <c r="O743" s="5" t="str">
        <f>'CyC-F11-F12'!H12</f>
        <v>x</v>
      </c>
      <c r="P743" s="5" t="str">
        <f>'CyC-F11-F12'!I12</f>
        <v/>
      </c>
      <c r="Q743" s="5">
        <f>'CyC-F11-F12'!J12</f>
        <v>50</v>
      </c>
      <c r="R743" s="5">
        <f>'CyC-F11-F12'!K12</f>
        <v>130</v>
      </c>
      <c r="S743" s="2" t="str">
        <f>'CyC-F11-F12'!L12</f>
        <v>COBR</v>
      </c>
      <c r="T743" s="2" t="str">
        <f>'CyC-F11-F12'!M12</f>
        <v>YAPE JL</v>
      </c>
      <c r="U743" s="34">
        <f>'CyC-F11-F12'!N12</f>
        <v>50</v>
      </c>
      <c r="V743" s="34">
        <f>'CyC-F11-F12'!O12</f>
        <v>130</v>
      </c>
      <c r="W743" s="2" t="str">
        <f>'CyC-F11-F12'!P12</f>
        <v>Katherine</v>
      </c>
      <c r="X743" s="34">
        <f>'CyC-F11-F12'!Q12</f>
        <v>180</v>
      </c>
      <c r="Y743" s="1"/>
      <c r="Z743" s="1"/>
      <c r="AA743" s="1"/>
    </row>
    <row r="744">
      <c r="A744" s="1"/>
      <c r="B744" s="14">
        <f t="shared" si="14"/>
        <v>9</v>
      </c>
      <c r="C744" s="22" t="str">
        <f t="shared" si="1"/>
        <v>enero</v>
      </c>
      <c r="D744" s="22">
        <f t="shared" si="2"/>
        <v>2</v>
      </c>
      <c r="E744" s="23" t="str">
        <f t="shared" si="3"/>
        <v>martes</v>
      </c>
      <c r="F744" s="22">
        <f t="shared" si="4"/>
        <v>6</v>
      </c>
      <c r="G744" s="22" t="s">
        <v>26</v>
      </c>
      <c r="H744" s="3" t="str">
        <f>'CyC-F11-F12'!$G$3</f>
        <v>CyC F9</v>
      </c>
      <c r="I744" s="24">
        <f>'CyC-F11-F12'!B13</f>
        <v>46028</v>
      </c>
      <c r="J744" s="2" t="str">
        <f>'CyC-F11-F12'!C13</f>
        <v/>
      </c>
      <c r="K744" s="2" t="str">
        <f>'CyC-F11-F12'!D13</f>
        <v>Luis Alberto Neyra Coveñas</v>
      </c>
      <c r="L744" s="2" t="str">
        <f>'CyC-F11-F12'!E13</f>
        <v/>
      </c>
      <c r="M744" s="2" t="str">
        <f>'CyC-F11-F12'!F13</f>
        <v/>
      </c>
      <c r="N744" s="2" t="str">
        <f>'CyC-F11-F12'!G13</f>
        <v/>
      </c>
      <c r="O744" s="5" t="str">
        <f>'CyC-F11-F12'!H13</f>
        <v>x</v>
      </c>
      <c r="P744" s="5" t="str">
        <f>'CyC-F11-F12'!I13</f>
        <v/>
      </c>
      <c r="Q744" s="5">
        <f>'CyC-F11-F12'!J13</f>
        <v>160</v>
      </c>
      <c r="R744" s="5" t="str">
        <f>'CyC-F11-F12'!K13</f>
        <v/>
      </c>
      <c r="S744" s="2" t="str">
        <f>'CyC-F11-F12'!L13</f>
        <v>PAGO</v>
      </c>
      <c r="T744" s="2" t="str">
        <f>'CyC-F11-F12'!M13</f>
        <v>YAPE JL</v>
      </c>
      <c r="U744" s="34">
        <f>'CyC-F11-F12'!N13</f>
        <v>160</v>
      </c>
      <c r="V744" s="34" t="str">
        <f>'CyC-F11-F12'!O13</f>
        <v/>
      </c>
      <c r="W744" s="2" t="str">
        <f>'CyC-F11-F12'!P13</f>
        <v>Katherine</v>
      </c>
      <c r="X744" s="34">
        <f>'CyC-F11-F12'!Q13</f>
        <v>160</v>
      </c>
      <c r="Y744" s="1"/>
      <c r="Z744" s="1"/>
      <c r="AA744" s="1"/>
    </row>
    <row r="745">
      <c r="A745" s="1"/>
      <c r="B745" s="14">
        <f t="shared" si="14"/>
        <v>10</v>
      </c>
      <c r="C745" s="22" t="str">
        <f t="shared" si="1"/>
        <v>enero</v>
      </c>
      <c r="D745" s="22">
        <f t="shared" si="2"/>
        <v>2</v>
      </c>
      <c r="E745" s="23" t="str">
        <f t="shared" si="3"/>
        <v>martes</v>
      </c>
      <c r="F745" s="22">
        <f t="shared" si="4"/>
        <v>6</v>
      </c>
      <c r="G745" s="22" t="s">
        <v>26</v>
      </c>
      <c r="H745" s="3" t="str">
        <f>'CyC-F11-F12'!$G$3</f>
        <v>CyC F9</v>
      </c>
      <c r="I745" s="24">
        <f>'CyC-F11-F12'!B39</f>
        <v>46028</v>
      </c>
      <c r="J745" s="25" t="str">
        <f>'CyC-F11-F12'!C39</f>
        <v>09683891</v>
      </c>
      <c r="K745" s="2" t="str">
        <f>'CyC-F11-F12'!D39</f>
        <v>Julio la cerna Roncal</v>
      </c>
      <c r="L745" s="2" t="str">
        <f>'CyC-F11-F12'!E39</f>
        <v>Galvimetall@yahoo.es</v>
      </c>
      <c r="M745" s="2" t="str">
        <f>'CyC-F11-F12'!F39</f>
        <v>CERCADO</v>
      </c>
      <c r="N745" s="2" t="str">
        <f>'CyC-F11-F12'!G39</f>
        <v>982 569 272</v>
      </c>
      <c r="O745" s="5" t="str">
        <f>'CyC-F11-F12'!H39</f>
        <v/>
      </c>
      <c r="P745" s="5" t="str">
        <f>'CyC-F11-F12'!I39</f>
        <v>x</v>
      </c>
      <c r="Q745" s="5">
        <f>'CyC-F11-F12'!J39</f>
        <v>100</v>
      </c>
      <c r="R745" s="5">
        <f>'CyC-F11-F12'!K39</f>
        <v>90</v>
      </c>
      <c r="S745" s="2" t="str">
        <f>'CyC-F11-F12'!L39</f>
        <v>COBR</v>
      </c>
      <c r="T745" s="2" t="str">
        <f>'CyC-F11-F12'!M39</f>
        <v>YAPE JL</v>
      </c>
      <c r="U745" s="34" t="str">
        <f>'CyC-F11-F12'!N14</f>
        <v/>
      </c>
      <c r="V745" s="34" t="str">
        <f>'CyC-F11-F12'!O14</f>
        <v/>
      </c>
      <c r="W745" s="2" t="str">
        <f>'CyC-F11-F12'!P14</f>
        <v/>
      </c>
      <c r="X745" s="34">
        <f>'CyC-F11-F12'!Q14</f>
        <v>0</v>
      </c>
      <c r="Y745" s="1"/>
      <c r="Z745" s="1"/>
      <c r="AA745" s="1"/>
    </row>
    <row r="746">
      <c r="A746" s="1"/>
      <c r="B746" s="14">
        <f t="shared" si="14"/>
        <v>11</v>
      </c>
      <c r="C746" s="22" t="str">
        <f t="shared" si="1"/>
        <v>enero</v>
      </c>
      <c r="D746" s="22">
        <f t="shared" si="2"/>
        <v>2</v>
      </c>
      <c r="E746" s="23" t="str">
        <f t="shared" si="3"/>
        <v>miércoles</v>
      </c>
      <c r="F746" s="22">
        <f t="shared" si="4"/>
        <v>7</v>
      </c>
      <c r="G746" s="22" t="s">
        <v>26</v>
      </c>
      <c r="H746" s="3" t="str">
        <f>'CyC-F11-F12'!$G$3</f>
        <v>CyC F9</v>
      </c>
      <c r="I746" s="24">
        <f>'CyC-F11-F12'!B15</f>
        <v>46029</v>
      </c>
      <c r="J746" s="2">
        <f>'CyC-F11-F12'!C15</f>
        <v>46819641</v>
      </c>
      <c r="K746" s="2" t="str">
        <f>'CyC-F11-F12'!D15</f>
        <v>Andres Lucana</v>
      </c>
      <c r="L746" s="2" t="str">
        <f>'CyC-F11-F12'!E15</f>
        <v>Andres.lucanal@gmail.com</v>
      </c>
      <c r="M746" s="2" t="str">
        <f>'CyC-F11-F12'!F15</f>
        <v>CERCADO</v>
      </c>
      <c r="N746" s="2" t="str">
        <f>'CyC-F11-F12'!G15</f>
        <v>942 808 819</v>
      </c>
      <c r="O746" s="5" t="str">
        <f>'CyC-F11-F12'!H15</f>
        <v>X</v>
      </c>
      <c r="P746" s="5" t="str">
        <f>'CyC-F11-F12'!I15</f>
        <v/>
      </c>
      <c r="Q746" s="5">
        <f>'CyC-F11-F12'!J15</f>
        <v>190</v>
      </c>
      <c r="R746" s="5" t="str">
        <f>'CyC-F11-F12'!K15</f>
        <v/>
      </c>
      <c r="S746" s="2" t="str">
        <f>'CyC-F11-F12'!L15</f>
        <v>PAGO</v>
      </c>
      <c r="T746" s="2" t="str">
        <f>'CyC-F11-F12'!M15</f>
        <v>YAPE JL</v>
      </c>
      <c r="U746" s="34">
        <f>'CyC-F11-F12'!N15</f>
        <v>190</v>
      </c>
      <c r="V746" s="34" t="str">
        <f>'CyC-F11-F12'!O15</f>
        <v/>
      </c>
      <c r="W746" s="2" t="str">
        <f>'CyC-F11-F12'!P15</f>
        <v>Yadhira</v>
      </c>
      <c r="X746" s="34">
        <f>'CyC-F11-F12'!Q15</f>
        <v>190</v>
      </c>
      <c r="Y746" s="1"/>
      <c r="Z746" s="1"/>
      <c r="AA746" s="1"/>
    </row>
    <row r="747">
      <c r="A747" s="1"/>
      <c r="B747" s="14">
        <f t="shared" si="14"/>
        <v>12</v>
      </c>
      <c r="C747" s="22" t="str">
        <f t="shared" si="1"/>
        <v>enero</v>
      </c>
      <c r="D747" s="22">
        <f t="shared" si="2"/>
        <v>2</v>
      </c>
      <c r="E747" s="23" t="str">
        <f t="shared" si="3"/>
        <v>lunes</v>
      </c>
      <c r="F747" s="22">
        <f t="shared" si="4"/>
        <v>5</v>
      </c>
      <c r="G747" s="22" t="s">
        <v>26</v>
      </c>
      <c r="H747" s="3" t="str">
        <f>'CyC-F11-F12'!$G$3</f>
        <v>CyC F9</v>
      </c>
      <c r="I747" s="24">
        <f>'CyC-F11-F12'!B16</f>
        <v>46027</v>
      </c>
      <c r="J747" s="2">
        <f>'CyC-F11-F12'!C16</f>
        <v>46123466</v>
      </c>
      <c r="K747" s="2" t="str">
        <f>'CyC-F11-F12'!D16</f>
        <v>Pilar coveñas Ramos</v>
      </c>
      <c r="L747" s="2" t="str">
        <f>'CyC-F11-F12'!E16</f>
        <v>naturaquimi@gmail.com</v>
      </c>
      <c r="M747" s="2" t="str">
        <f>'CyC-F11-F12'!F16</f>
        <v>SMP</v>
      </c>
      <c r="N747" s="2" t="str">
        <f>'CyC-F11-F12'!G16</f>
        <v>965 713 303</v>
      </c>
      <c r="O747" s="5" t="str">
        <f>'CyC-F11-F12'!H16</f>
        <v>X</v>
      </c>
      <c r="P747" s="5" t="str">
        <f>'CyC-F11-F12'!I16</f>
        <v/>
      </c>
      <c r="Q747" s="5">
        <f>'CyC-F11-F12'!J16</f>
        <v>225</v>
      </c>
      <c r="R747" s="5">
        <f>'CyC-F11-F12'!K16</f>
        <v>225</v>
      </c>
      <c r="S747" s="2" t="str">
        <f>'CyC-F11-F12'!L16</f>
        <v>COBR</v>
      </c>
      <c r="T747" s="2" t="str">
        <f>'CyC-F11-F12'!M16</f>
        <v>YAPE JL</v>
      </c>
      <c r="U747" s="34">
        <f>'CyC-F11-F12'!N16</f>
        <v>225</v>
      </c>
      <c r="V747" s="34">
        <f>'CyC-F11-F12'!O16</f>
        <v>225</v>
      </c>
      <c r="W747" s="2" t="str">
        <f>'CyC-F11-F12'!P16</f>
        <v>Greici</v>
      </c>
      <c r="X747" s="34">
        <f>'CyC-F11-F12'!Q16</f>
        <v>450</v>
      </c>
      <c r="Y747" s="1"/>
      <c r="Z747" s="1"/>
      <c r="AA747" s="1"/>
    </row>
    <row r="748">
      <c r="A748" s="1"/>
      <c r="B748" s="14">
        <f t="shared" si="14"/>
        <v>13</v>
      </c>
      <c r="C748" s="22" t="str">
        <f t="shared" si="1"/>
        <v>enero</v>
      </c>
      <c r="D748" s="22">
        <f t="shared" si="2"/>
        <v>2</v>
      </c>
      <c r="E748" s="23" t="str">
        <f t="shared" si="3"/>
        <v>domingo</v>
      </c>
      <c r="F748" s="22">
        <f t="shared" si="4"/>
        <v>4</v>
      </c>
      <c r="G748" s="22" t="s">
        <v>26</v>
      </c>
      <c r="H748" s="3" t="str">
        <f>'CyC-F11-F12'!$G$3</f>
        <v>CyC F9</v>
      </c>
      <c r="I748" s="24">
        <f>'CyC-F11-F12'!B17</f>
        <v>46026</v>
      </c>
      <c r="J748" s="2" t="str">
        <f>#REF!</f>
        <v>#REF!</v>
      </c>
      <c r="K748" s="2" t="str">
        <f>'CyC-F11-F12'!D17</f>
        <v>CINDY ARAUCANO</v>
      </c>
      <c r="L748" s="2" t="str">
        <f>'CyC-F11-F12'!E17</f>
        <v>elibenaraucano@gmail.com</v>
      </c>
      <c r="M748" s="2" t="str">
        <f>'CyC-F11-F12'!F17</f>
        <v>CARABAYLLO</v>
      </c>
      <c r="N748" s="2">
        <f>'CyC-F11-F12'!C17</f>
        <v>44836199</v>
      </c>
      <c r="O748" s="5" t="str">
        <f>'CyC-F11-F12'!H17</f>
        <v>X</v>
      </c>
      <c r="P748" s="5" t="str">
        <f>'CyC-F11-F12'!I17</f>
        <v/>
      </c>
      <c r="Q748" s="5">
        <f>'CyC-F11-F12'!J17</f>
        <v>50</v>
      </c>
      <c r="R748" s="5">
        <f>'CyC-F11-F12'!K17</f>
        <v>120</v>
      </c>
      <c r="S748" s="2" t="str">
        <f>'CyC-F11-F12'!L17</f>
        <v>COBR</v>
      </c>
      <c r="T748" s="2" t="str">
        <f>'CyC-F11-F12'!M17</f>
        <v>YAPE JL</v>
      </c>
      <c r="U748" s="34">
        <f>'CyC-F11-F12'!N17</f>
        <v>50</v>
      </c>
      <c r="V748" s="34">
        <f>'CyC-F11-F12'!O17</f>
        <v>120</v>
      </c>
      <c r="W748" s="2" t="str">
        <f>'CyC-F11-F12'!P17</f>
        <v>Greici</v>
      </c>
      <c r="X748" s="34">
        <f>'CyC-F11-F12'!Q17</f>
        <v>170</v>
      </c>
      <c r="Y748" s="1"/>
      <c r="Z748" s="1"/>
      <c r="AA748" s="1"/>
    </row>
    <row r="749">
      <c r="A749" s="1"/>
      <c r="B749" s="14">
        <f t="shared" si="14"/>
        <v>14</v>
      </c>
      <c r="C749" s="22" t="str">
        <f t="shared" si="1"/>
        <v>enero</v>
      </c>
      <c r="D749" s="22">
        <f t="shared" si="2"/>
        <v>2</v>
      </c>
      <c r="E749" s="23" t="str">
        <f t="shared" si="3"/>
        <v>miércoles</v>
      </c>
      <c r="F749" s="22">
        <f t="shared" si="4"/>
        <v>7</v>
      </c>
      <c r="G749" s="22" t="s">
        <v>26</v>
      </c>
      <c r="H749" s="3" t="str">
        <f>'CyC-F11-F12'!$G$3</f>
        <v>CyC F9</v>
      </c>
      <c r="I749" s="24">
        <f>'CyC-F11-F12'!B18</f>
        <v>46029</v>
      </c>
      <c r="J749" s="2">
        <f>'CyC-F11-F12'!C18</f>
        <v>76240906</v>
      </c>
      <c r="K749" s="2" t="str">
        <f>'CyC-F11-F12'!D18</f>
        <v>Kelly Jahuira Centeno</v>
      </c>
      <c r="L749" s="2" t="str">
        <f>'CyC-F11-F12'!E18</f>
        <v>Kelly.jahuiracenteno123@gmail.com</v>
      </c>
      <c r="M749" s="2" t="str">
        <f>'CyC-F11-F12'!F18</f>
        <v>Comas</v>
      </c>
      <c r="N749" s="2" t="str">
        <f>'CyC-F11-F12'!G18</f>
        <v>950 523 640</v>
      </c>
      <c r="O749" s="5" t="str">
        <f>'CyC-F11-F12'!H18</f>
        <v>x</v>
      </c>
      <c r="P749" s="5" t="str">
        <f>'CyC-F11-F12'!I18</f>
        <v/>
      </c>
      <c r="Q749" s="5">
        <f>'CyC-F11-F12'!J18</f>
        <v>166.66</v>
      </c>
      <c r="R749" s="5" t="str">
        <f>'CyC-F11-F12'!K18</f>
        <v/>
      </c>
      <c r="S749" s="2" t="str">
        <f>'CyC-F11-F12'!L18</f>
        <v>PAGO</v>
      </c>
      <c r="T749" s="2" t="str">
        <f>'CyC-F11-F12'!M18</f>
        <v>YAPE JL</v>
      </c>
      <c r="U749" s="34">
        <f>'CyC-F11-F12'!N18</f>
        <v>166.66</v>
      </c>
      <c r="V749" s="34" t="str">
        <f>'CyC-F11-F12'!O18</f>
        <v/>
      </c>
      <c r="W749" s="2" t="str">
        <f>'CyC-F11-F12'!P18</f>
        <v>Gabriela</v>
      </c>
      <c r="X749" s="34">
        <f>'CyC-F11-F12'!Q18</f>
        <v>166.66</v>
      </c>
      <c r="Y749" s="1"/>
      <c r="Z749" s="1"/>
      <c r="AA749" s="1"/>
    </row>
    <row r="750">
      <c r="A750" s="1"/>
      <c r="B750" s="14">
        <f t="shared" si="14"/>
        <v>15</v>
      </c>
      <c r="C750" s="22" t="str">
        <f t="shared" si="1"/>
        <v>enero</v>
      </c>
      <c r="D750" s="22">
        <f t="shared" si="2"/>
        <v>2</v>
      </c>
      <c r="E750" s="23" t="str">
        <f t="shared" si="3"/>
        <v>miércoles</v>
      </c>
      <c r="F750" s="22">
        <f t="shared" si="4"/>
        <v>7</v>
      </c>
      <c r="G750" s="22" t="s">
        <v>26</v>
      </c>
      <c r="H750" s="3" t="str">
        <f>'CyC-F11-F12'!$G$3</f>
        <v>CyC F9</v>
      </c>
      <c r="I750" s="24">
        <f>'CyC-F11-F12'!B19</f>
        <v>46029</v>
      </c>
      <c r="J750" s="2">
        <f>'CyC-F11-F12'!C19</f>
        <v>71461985</v>
      </c>
      <c r="K750" s="2" t="str">
        <f>'CyC-F11-F12'!D19</f>
        <v>Annie Jahuira Centeno</v>
      </c>
      <c r="L750" s="2" t="str">
        <f>'CyC-F11-F12'!E19</f>
        <v>Jahuiraannie123@gmail.com</v>
      </c>
      <c r="M750" s="2" t="str">
        <f>'CyC-F11-F12'!F19</f>
        <v>Comas</v>
      </c>
      <c r="N750" s="2" t="str">
        <f>'CyC-F11-F12'!G19</f>
        <v>950 523 640</v>
      </c>
      <c r="O750" s="5" t="str">
        <f>'CyC-F11-F12'!H19</f>
        <v>x</v>
      </c>
      <c r="P750" s="5" t="str">
        <f>'CyC-F11-F12'!I19</f>
        <v/>
      </c>
      <c r="Q750" s="5">
        <f>'CyC-F11-F12'!J19</f>
        <v>166.66</v>
      </c>
      <c r="R750" s="5" t="str">
        <f>'CyC-F11-F12'!K19</f>
        <v/>
      </c>
      <c r="S750" s="2" t="str">
        <f>'CyC-F11-F12'!L19</f>
        <v>PAGO</v>
      </c>
      <c r="T750" s="2" t="str">
        <f>'CyC-F11-F12'!M19</f>
        <v>YAPE JL</v>
      </c>
      <c r="U750" s="34">
        <f>'CyC-F11-F12'!N19</f>
        <v>166.66</v>
      </c>
      <c r="V750" s="34" t="str">
        <f>'CyC-F11-F12'!O19</f>
        <v/>
      </c>
      <c r="W750" s="2" t="str">
        <f>'CyC-F11-F12'!P19</f>
        <v>Gabriela</v>
      </c>
      <c r="X750" s="34">
        <f>'CyC-F11-F12'!Q19</f>
        <v>166.66</v>
      </c>
      <c r="Y750" s="1"/>
      <c r="Z750" s="1"/>
      <c r="AA750" s="1"/>
    </row>
    <row r="751">
      <c r="A751" s="1"/>
      <c r="B751" s="14">
        <f t="shared" si="14"/>
        <v>16</v>
      </c>
      <c r="C751" s="22" t="str">
        <f t="shared" si="1"/>
        <v>enero</v>
      </c>
      <c r="D751" s="22">
        <f t="shared" si="2"/>
        <v>2</v>
      </c>
      <c r="E751" s="23" t="str">
        <f t="shared" si="3"/>
        <v>miércoles</v>
      </c>
      <c r="F751" s="22">
        <f t="shared" si="4"/>
        <v>7</v>
      </c>
      <c r="G751" s="22" t="s">
        <v>26</v>
      </c>
      <c r="H751" s="3" t="str">
        <f>'CyC-F11-F12'!$G$3</f>
        <v>CyC F9</v>
      </c>
      <c r="I751" s="24">
        <f>'CyC-F11-F12'!B20</f>
        <v>46029</v>
      </c>
      <c r="J751" s="2">
        <f>'CyC-F11-F12'!C20</f>
        <v>10183460</v>
      </c>
      <c r="K751" s="2" t="str">
        <f>'CyC-F11-F12'!D20</f>
        <v>Dina Centeno Cruz</v>
      </c>
      <c r="L751" s="2" t="str">
        <f>'CyC-F11-F12'!E20</f>
        <v>Dinacenteno66@gmail.com</v>
      </c>
      <c r="M751" s="2" t="str">
        <f>'CyC-F11-F12'!F20</f>
        <v>Comas</v>
      </c>
      <c r="N751" s="2" t="str">
        <f>'CyC-F11-F12'!G20</f>
        <v>950 523 640</v>
      </c>
      <c r="O751" s="5" t="str">
        <f>'CyC-F11-F12'!H20</f>
        <v>x</v>
      </c>
      <c r="P751" s="5" t="str">
        <f>'CyC-F11-F12'!I20</f>
        <v/>
      </c>
      <c r="Q751" s="5">
        <f>'CyC-F11-F12'!J20</f>
        <v>166.66</v>
      </c>
      <c r="R751" s="5" t="str">
        <f>'CyC-F11-F12'!K20</f>
        <v/>
      </c>
      <c r="S751" s="2" t="str">
        <f>'CyC-F11-F12'!L20</f>
        <v>PAGO</v>
      </c>
      <c r="T751" s="2" t="str">
        <f>'CyC-F11-F12'!M20</f>
        <v>YAPE JL</v>
      </c>
      <c r="U751" s="34">
        <f>'CyC-F11-F12'!N20</f>
        <v>166.6</v>
      </c>
      <c r="V751" s="34" t="str">
        <f>'CyC-F11-F12'!O20</f>
        <v/>
      </c>
      <c r="W751" s="2" t="str">
        <f>'CyC-F11-F12'!P20</f>
        <v>Gabriela</v>
      </c>
      <c r="X751" s="34">
        <f>'CyC-F11-F12'!Q20</f>
        <v>166.6</v>
      </c>
      <c r="Y751" s="1"/>
      <c r="Z751" s="1"/>
      <c r="AA751" s="1"/>
    </row>
    <row r="752">
      <c r="A752" s="1"/>
      <c r="B752" s="14">
        <f t="shared" si="14"/>
        <v>17</v>
      </c>
      <c r="C752" s="22" t="str">
        <f t="shared" si="1"/>
        <v>enero</v>
      </c>
      <c r="D752" s="22">
        <f t="shared" si="2"/>
        <v>2</v>
      </c>
      <c r="E752" s="23" t="str">
        <f t="shared" si="3"/>
        <v>jueves</v>
      </c>
      <c r="F752" s="22">
        <f t="shared" si="4"/>
        <v>8</v>
      </c>
      <c r="G752" s="22" t="s">
        <v>26</v>
      </c>
      <c r="H752" s="3" t="str">
        <f>'CyC-F11-F12'!$G$3</f>
        <v>CyC F9</v>
      </c>
      <c r="I752" s="24">
        <f>'CyC-F11-F12'!B21</f>
        <v>46030</v>
      </c>
      <c r="J752" s="2" t="str">
        <f>'CyC-F11-F12'!C21</f>
        <v/>
      </c>
      <c r="K752" s="2" t="str">
        <f>'CyC-F11-F12'!D21</f>
        <v>Victor Alfonso Garcia Castro</v>
      </c>
      <c r="L752" s="2" t="str">
        <f>'CyC-F11-F12'!E21</f>
        <v/>
      </c>
      <c r="M752" s="2" t="str">
        <f>'CyC-F11-F12'!F21</f>
        <v>La Victoria</v>
      </c>
      <c r="N752" s="2" t="str">
        <f>'CyC-F11-F12'!G21</f>
        <v/>
      </c>
      <c r="O752" s="5" t="str">
        <f>'CyC-F11-F12'!H21</f>
        <v>x</v>
      </c>
      <c r="P752" s="5" t="str">
        <f>'CyC-F11-F12'!I21</f>
        <v/>
      </c>
      <c r="Q752" s="5">
        <f>'CyC-F11-F12'!J21</f>
        <v>190</v>
      </c>
      <c r="R752" s="5" t="str">
        <f>'CyC-F11-F12'!K21</f>
        <v/>
      </c>
      <c r="S752" s="2" t="str">
        <f>'CyC-F11-F12'!L21</f>
        <v>PAGO</v>
      </c>
      <c r="T752" s="2" t="str">
        <f>'CyC-F11-F12'!M21</f>
        <v>YAPE JL</v>
      </c>
      <c r="U752" s="34">
        <f>'CyC-F11-F12'!N21</f>
        <v>190</v>
      </c>
      <c r="V752" s="34" t="str">
        <f>'CyC-F11-F12'!O21</f>
        <v/>
      </c>
      <c r="W752" s="2" t="str">
        <f>'CyC-F11-F12'!P21</f>
        <v>Katherine</v>
      </c>
      <c r="X752" s="34">
        <f>'CyC-F11-F12'!Q21</f>
        <v>190</v>
      </c>
      <c r="Y752" s="1"/>
      <c r="Z752" s="1"/>
      <c r="AA752" s="1"/>
    </row>
    <row r="753">
      <c r="A753" s="1"/>
      <c r="B753" s="14">
        <f t="shared" si="14"/>
        <v>18</v>
      </c>
      <c r="C753" s="22" t="str">
        <f t="shared" si="1"/>
        <v>enero</v>
      </c>
      <c r="D753" s="22">
        <f t="shared" si="2"/>
        <v>2</v>
      </c>
      <c r="E753" s="23" t="str">
        <f t="shared" si="3"/>
        <v>jueves</v>
      </c>
      <c r="F753" s="22">
        <f t="shared" si="4"/>
        <v>8</v>
      </c>
      <c r="G753" s="22" t="s">
        <v>26</v>
      </c>
      <c r="H753" s="3" t="str">
        <f>'CyC-F11-F12'!$G$3</f>
        <v>CyC F9</v>
      </c>
      <c r="I753" s="24">
        <f>'CyC-F11-F12'!B22</f>
        <v>46030</v>
      </c>
      <c r="J753" s="2">
        <f>'CyC-F11-F12'!C22</f>
        <v>7524514</v>
      </c>
      <c r="K753" s="2" t="str">
        <f>'CyC-F11-F12'!D22</f>
        <v>Magaly Díaz</v>
      </c>
      <c r="L753" s="2" t="str">
        <f>'CyC-F11-F12'!E22</f>
        <v>Moyobamba051116@gmail.com</v>
      </c>
      <c r="M753" s="2" t="str">
        <f>'CyC-F11-F12'!F22</f>
        <v>La Victoria </v>
      </c>
      <c r="N753" s="2" t="str">
        <f>'CyC-F11-F12'!G22</f>
        <v>991 031 685</v>
      </c>
      <c r="O753" s="5" t="str">
        <f>'CyC-F11-F12'!H22</f>
        <v>x</v>
      </c>
      <c r="P753" s="5" t="str">
        <f>'CyC-F11-F12'!I22</f>
        <v/>
      </c>
      <c r="Q753" s="5">
        <f>'CyC-F11-F12'!J22</f>
        <v>95</v>
      </c>
      <c r="R753" s="5">
        <f>'CyC-F11-F12'!K22</f>
        <v>95</v>
      </c>
      <c r="S753" s="2" t="str">
        <f>'CyC-F11-F12'!L22</f>
        <v>COBR</v>
      </c>
      <c r="T753" s="2" t="str">
        <f>'CyC-F11-F12'!M22</f>
        <v>YAPE JL</v>
      </c>
      <c r="U753" s="34">
        <f>'CyC-F11-F12'!N22</f>
        <v>95</v>
      </c>
      <c r="V753" s="34">
        <f>'CyC-F11-F12'!O22</f>
        <v>95</v>
      </c>
      <c r="W753" s="2" t="str">
        <f>'CyC-F11-F12'!P22</f>
        <v>Gabriela</v>
      </c>
      <c r="X753" s="34">
        <f>'CyC-F11-F12'!Q22</f>
        <v>190</v>
      </c>
      <c r="Y753" s="1"/>
      <c r="Z753" s="1"/>
      <c r="AA753" s="1"/>
    </row>
    <row r="754">
      <c r="A754" s="1"/>
      <c r="B754" s="14">
        <f t="shared" si="14"/>
        <v>19</v>
      </c>
      <c r="C754" s="22" t="str">
        <f t="shared" si="1"/>
        <v>enero</v>
      </c>
      <c r="D754" s="22">
        <f t="shared" si="2"/>
        <v>2</v>
      </c>
      <c r="E754" s="23" t="str">
        <f t="shared" si="3"/>
        <v>lunes</v>
      </c>
      <c r="F754" s="22">
        <f t="shared" si="4"/>
        <v>5</v>
      </c>
      <c r="G754" s="22" t="s">
        <v>26</v>
      </c>
      <c r="H754" s="3" t="str">
        <f>'CyC-F11-F12'!$G$3</f>
        <v>CyC F9</v>
      </c>
      <c r="I754" s="24">
        <f>'CyC-F11-F12'!B23</f>
        <v>46027</v>
      </c>
      <c r="J754" s="2" t="str">
        <f>'CyC-F11-F12'!C23</f>
        <v/>
      </c>
      <c r="K754" s="2" t="str">
        <f>'CyC-F11-F12'!D23</f>
        <v>Luis Alberto Marquina Arias</v>
      </c>
      <c r="L754" s="2" t="str">
        <f>'CyC-F11-F12'!E23</f>
        <v/>
      </c>
      <c r="M754" s="2" t="str">
        <f>'CyC-F11-F12'!F23</f>
        <v/>
      </c>
      <c r="N754" s="2" t="str">
        <f>'CyC-F11-F12'!G23</f>
        <v/>
      </c>
      <c r="O754" s="5" t="str">
        <f>'CyC-F11-F12'!H23</f>
        <v>x</v>
      </c>
      <c r="P754" s="5" t="str">
        <f>'CyC-F11-F12'!I23</f>
        <v/>
      </c>
      <c r="Q754" s="5">
        <f>'CyC-F11-F12'!J23</f>
        <v>0</v>
      </c>
      <c r="R754" s="5" t="str">
        <f>'CyC-F11-F12'!K23</f>
        <v/>
      </c>
      <c r="S754" s="2" t="str">
        <f>'CyC-F11-F12'!L23</f>
        <v>PAGO</v>
      </c>
      <c r="T754" s="2" t="str">
        <f>'CyC-F11-F12'!M23</f>
        <v>YAPE JL</v>
      </c>
      <c r="U754" s="34">
        <f>'CyC-F11-F12'!N23</f>
        <v>0</v>
      </c>
      <c r="V754" s="34" t="str">
        <f>'CyC-F11-F12'!O23</f>
        <v/>
      </c>
      <c r="W754" s="2" t="str">
        <f>'CyC-F11-F12'!P23</f>
        <v/>
      </c>
      <c r="X754" s="34">
        <f>'CyC-F11-F12'!Q23</f>
        <v>0</v>
      </c>
      <c r="Y754" s="1"/>
      <c r="Z754" s="1"/>
      <c r="AA754" s="1"/>
    </row>
    <row r="755">
      <c r="A755" s="1"/>
      <c r="B755" s="14">
        <f t="shared" si="14"/>
        <v>20</v>
      </c>
      <c r="C755" s="22" t="str">
        <f t="shared" si="1"/>
        <v>enero</v>
      </c>
      <c r="D755" s="22">
        <f t="shared" si="2"/>
        <v>2</v>
      </c>
      <c r="E755" s="23" t="str">
        <f t="shared" si="3"/>
        <v>lunes</v>
      </c>
      <c r="F755" s="22">
        <f t="shared" si="4"/>
        <v>5</v>
      </c>
      <c r="G755" s="22" t="s">
        <v>26</v>
      </c>
      <c r="H755" s="3" t="str">
        <f>'CyC-F11-F12'!$G$3</f>
        <v>CyC F9</v>
      </c>
      <c r="I755" s="24">
        <f>'CyC-F11-F12'!B24</f>
        <v>46027</v>
      </c>
      <c r="J755" s="2" t="str">
        <f>'CyC-F11-F12'!C24</f>
        <v/>
      </c>
      <c r="K755" s="2" t="str">
        <f>'CyC-F11-F12'!D24</f>
        <v>María Luisa Díaz García</v>
      </c>
      <c r="L755" s="2" t="str">
        <f>'CyC-F11-F12'!E24</f>
        <v/>
      </c>
      <c r="M755" s="2" t="str">
        <f>'CyC-F11-F12'!F24</f>
        <v/>
      </c>
      <c r="N755" s="2" t="str">
        <f>'CyC-F11-F12'!G24</f>
        <v/>
      </c>
      <c r="O755" s="5" t="str">
        <f>'CyC-F11-F12'!H24</f>
        <v>x</v>
      </c>
      <c r="P755" s="5" t="str">
        <f>'CyC-F11-F12'!I24</f>
        <v/>
      </c>
      <c r="Q755" s="5">
        <f>'CyC-F11-F12'!J24</f>
        <v>0</v>
      </c>
      <c r="R755" s="5" t="str">
        <f>'CyC-F11-F12'!K24</f>
        <v/>
      </c>
      <c r="S755" s="2" t="str">
        <f>'CyC-F11-F12'!L24</f>
        <v>PAGO</v>
      </c>
      <c r="T755" s="2" t="str">
        <f>'CyC-F11-F12'!M24</f>
        <v>YAPE JL</v>
      </c>
      <c r="U755" s="34">
        <f>'CyC-F11-F12'!N24</f>
        <v>0</v>
      </c>
      <c r="V755" s="34" t="str">
        <f>'CyC-F11-F12'!O24</f>
        <v/>
      </c>
      <c r="W755" s="2" t="str">
        <f>'CyC-F11-F12'!P24</f>
        <v/>
      </c>
      <c r="X755" s="34">
        <f>'CyC-F11-F12'!Q24</f>
        <v>0</v>
      </c>
      <c r="Y755" s="1"/>
      <c r="Z755" s="1"/>
      <c r="AA755" s="1"/>
    </row>
    <row r="756">
      <c r="A756" s="1"/>
      <c r="B756" s="14">
        <f t="shared" si="14"/>
        <v>21</v>
      </c>
      <c r="C756" s="22" t="str">
        <f t="shared" si="1"/>
        <v>enero</v>
      </c>
      <c r="D756" s="22">
        <f t="shared" si="2"/>
        <v>2</v>
      </c>
      <c r="E756" s="23" t="str">
        <f t="shared" si="3"/>
        <v>jueves</v>
      </c>
      <c r="F756" s="22">
        <f t="shared" si="4"/>
        <v>8</v>
      </c>
      <c r="G756" s="22" t="s">
        <v>26</v>
      </c>
      <c r="H756" s="3" t="str">
        <f>'CyC-F11-F12'!$G$3</f>
        <v>CyC F9</v>
      </c>
      <c r="I756" s="24">
        <f>'CyC-F11-F12'!B25</f>
        <v>46030</v>
      </c>
      <c r="J756" s="2">
        <f>'CyC-F11-F12'!C25</f>
        <v>42945424</v>
      </c>
      <c r="K756" s="2" t="str">
        <f>'CyC-F11-F12'!D25</f>
        <v>EDUARDO LARIOS SALAZAR</v>
      </c>
      <c r="L756" s="2" t="str">
        <f>'CyC-F11-F12'!E25</f>
        <v>Lariossalazar1926@gmail.com </v>
      </c>
      <c r="M756" s="2" t="str">
        <f>'CyC-F11-F12'!F25</f>
        <v>SJM</v>
      </c>
      <c r="N756" s="2" t="str">
        <f>'CyC-F11-F12'!G25</f>
        <v/>
      </c>
      <c r="O756" s="5" t="str">
        <f>'CyC-F11-F12'!H25</f>
        <v>X</v>
      </c>
      <c r="P756" s="5" t="str">
        <f>'CyC-F11-F12'!I25</f>
        <v/>
      </c>
      <c r="Q756" s="5">
        <f>'CyC-F11-F12'!J25</f>
        <v>85</v>
      </c>
      <c r="R756" s="5">
        <f>'CyC-F11-F12'!K25</f>
        <v>85</v>
      </c>
      <c r="S756" s="2" t="str">
        <f>'CyC-F11-F12'!L25</f>
        <v>COBR</v>
      </c>
      <c r="T756" s="2" t="str">
        <f>'CyC-F11-F12'!M25</f>
        <v>YAPE JL</v>
      </c>
      <c r="U756" s="34">
        <f>'CyC-F11-F12'!N25</f>
        <v>85</v>
      </c>
      <c r="V756" s="34">
        <f>'CyC-F11-F12'!O25</f>
        <v>85</v>
      </c>
      <c r="W756" s="2" t="str">
        <f>'CyC-F11-F12'!P25</f>
        <v>Greici</v>
      </c>
      <c r="X756" s="34">
        <f>'CyC-F11-F12'!Q25</f>
        <v>170</v>
      </c>
      <c r="Y756" s="1"/>
      <c r="Z756" s="1"/>
      <c r="AA756" s="1"/>
    </row>
    <row r="757">
      <c r="A757" s="1"/>
      <c r="B757" s="14">
        <f t="shared" si="14"/>
        <v>22</v>
      </c>
      <c r="C757" s="22" t="str">
        <f t="shared" si="1"/>
        <v>enero</v>
      </c>
      <c r="D757" s="22">
        <f t="shared" si="2"/>
        <v>2</v>
      </c>
      <c r="E757" s="23" t="str">
        <f t="shared" si="3"/>
        <v>viernes</v>
      </c>
      <c r="F757" s="22">
        <f t="shared" si="4"/>
        <v>9</v>
      </c>
      <c r="G757" s="22" t="s">
        <v>26</v>
      </c>
      <c r="H757" s="3" t="str">
        <f>'CyC-F11-F12'!$G$3</f>
        <v>CyC F9</v>
      </c>
      <c r="I757" s="24">
        <f>'CyC-F11-F12'!B26</f>
        <v>46031</v>
      </c>
      <c r="J757" s="2">
        <f>'CyC-F11-F12'!C26</f>
        <v>70919834</v>
      </c>
      <c r="K757" s="2" t="str">
        <f>'CyC-F11-F12'!D26</f>
        <v>Carlos Eduardo Cumpa alayo </v>
      </c>
      <c r="L757" s="2" t="str">
        <f>'CyC-F11-F12'!E26</f>
        <v>Carloscumpa195@hotmail.com</v>
      </c>
      <c r="M757" s="2" t="str">
        <f>'CyC-F11-F12'!F26</f>
        <v/>
      </c>
      <c r="N757" s="2" t="str">
        <f>'CyC-F11-F12'!G26</f>
        <v/>
      </c>
      <c r="O757" s="5" t="str">
        <f>'CyC-F11-F12'!H26</f>
        <v>x</v>
      </c>
      <c r="P757" s="5" t="str">
        <f>'CyC-F11-F12'!I26</f>
        <v/>
      </c>
      <c r="Q757" s="5">
        <f>'CyC-F11-F12'!J26</f>
        <v>190</v>
      </c>
      <c r="R757" s="5" t="str">
        <f>'CyC-F11-F12'!K26</f>
        <v/>
      </c>
      <c r="S757" s="2" t="str">
        <f>'CyC-F11-F12'!L26</f>
        <v>PAGO</v>
      </c>
      <c r="T757" s="2" t="str">
        <f>'CyC-F11-F12'!M26</f>
        <v>YAPE JL</v>
      </c>
      <c r="U757" s="34">
        <f>'CyC-F11-F12'!N26</f>
        <v>190</v>
      </c>
      <c r="V757" s="34" t="str">
        <f>'CyC-F11-F12'!O26</f>
        <v/>
      </c>
      <c r="W757" s="2" t="str">
        <f>'CyC-F11-F12'!P26</f>
        <v>Katherine</v>
      </c>
      <c r="X757" s="34">
        <f>'CyC-F11-F12'!Q26</f>
        <v>190</v>
      </c>
      <c r="Y757" s="1"/>
      <c r="Z757" s="1"/>
      <c r="AA757" s="1"/>
    </row>
    <row r="758">
      <c r="A758" s="1"/>
      <c r="B758" s="14">
        <f t="shared" si="14"/>
        <v>23</v>
      </c>
      <c r="C758" s="22" t="str">
        <f t="shared" si="1"/>
        <v>enero</v>
      </c>
      <c r="D758" s="22">
        <f t="shared" si="2"/>
        <v>2</v>
      </c>
      <c r="E758" s="23" t="str">
        <f t="shared" si="3"/>
        <v>viernes</v>
      </c>
      <c r="F758" s="22">
        <f t="shared" si="4"/>
        <v>9</v>
      </c>
      <c r="G758" s="22" t="s">
        <v>26</v>
      </c>
      <c r="H758" s="3" t="str">
        <f>'CyC-F11-F12'!$G$3</f>
        <v>CyC F9</v>
      </c>
      <c r="I758" s="24">
        <f>'CyC-F11-F12'!B27</f>
        <v>46031</v>
      </c>
      <c r="J758" s="2" t="str">
        <f>'CyC-F11-F12'!C27</f>
        <v>*005862518</v>
      </c>
      <c r="K758" s="2" t="str">
        <f>'CyC-F11-F12'!D27</f>
        <v>Andres Felipe Jurado Aguilar</v>
      </c>
      <c r="L758" s="27" t="str">
        <f>'CyC-F11-F12'!E27</f>
        <v>afelipe.jurado@gmail.com</v>
      </c>
      <c r="M758" s="2" t="str">
        <f>'CyC-F11-F12'!F27</f>
        <v>Miraflores</v>
      </c>
      <c r="N758" s="2" t="str">
        <f>'CyC-F11-F12'!G27</f>
        <v>949 706 975</v>
      </c>
      <c r="O758" s="5" t="str">
        <f>'CyC-F11-F12'!H27</f>
        <v>x</v>
      </c>
      <c r="P758" s="5" t="str">
        <f>'CyC-F11-F12'!I27</f>
        <v/>
      </c>
      <c r="Q758" s="5">
        <f>'CyC-F11-F12'!J27</f>
        <v>190</v>
      </c>
      <c r="R758" s="5" t="str">
        <f>'CyC-F11-F12'!K27</f>
        <v/>
      </c>
      <c r="S758" s="2" t="str">
        <f>'CyC-F11-F12'!L27</f>
        <v>PAGO</v>
      </c>
      <c r="T758" s="2" t="str">
        <f>'CyC-F11-F12'!M27</f>
        <v/>
      </c>
      <c r="U758" s="34">
        <f>'CyC-F11-F12'!N27</f>
        <v>190</v>
      </c>
      <c r="V758" s="34" t="str">
        <f>'CyC-F11-F12'!O27</f>
        <v/>
      </c>
      <c r="W758" s="2" t="str">
        <f>'CyC-F11-F12'!P27</f>
        <v>Gabriela</v>
      </c>
      <c r="X758" s="34">
        <f>'CyC-F11-F12'!Q27</f>
        <v>190</v>
      </c>
      <c r="Y758" s="1"/>
      <c r="Z758" s="1"/>
      <c r="AA758" s="1"/>
    </row>
    <row r="759">
      <c r="A759" s="1"/>
      <c r="B759" s="14">
        <f t="shared" si="14"/>
        <v>24</v>
      </c>
      <c r="C759" s="22" t="str">
        <f t="shared" si="1"/>
        <v>enero</v>
      </c>
      <c r="D759" s="22">
        <f t="shared" si="2"/>
        <v>2</v>
      </c>
      <c r="E759" s="23" t="str">
        <f t="shared" si="3"/>
        <v>viernes</v>
      </c>
      <c r="F759" s="22">
        <f t="shared" si="4"/>
        <v>9</v>
      </c>
      <c r="G759" s="22" t="s">
        <v>26</v>
      </c>
      <c r="H759" s="3" t="str">
        <f>'CyC-F11-F12'!$G$3</f>
        <v>CyC F9</v>
      </c>
      <c r="I759" s="33">
        <f>'CyC-F11-F12'!B28</f>
        <v>46031</v>
      </c>
      <c r="J759" s="2">
        <f>'CyC-F11-F12'!C28</f>
        <v>25661264</v>
      </c>
      <c r="K759" s="2" t="str">
        <f>'CyC-F11-F12'!D28</f>
        <v>Juana Alejandrina Pallaca Mallqui</v>
      </c>
      <c r="L759" s="2" t="str">
        <f>'CyC-F11-F12'!E28</f>
        <v/>
      </c>
      <c r="M759" s="2" t="str">
        <f>'CyC-F11-F12'!F28</f>
        <v>CALLAO</v>
      </c>
      <c r="N759" s="2" t="str">
        <f>'CyC-F11-F12'!G28</f>
        <v/>
      </c>
      <c r="O759" s="5" t="str">
        <f>'CyC-F11-F12'!H28</f>
        <v>X</v>
      </c>
      <c r="P759" s="5" t="str">
        <f>'CyC-F11-F12'!I28</f>
        <v/>
      </c>
      <c r="Q759" s="5">
        <f>'CyC-F11-F12'!J28</f>
        <v>190</v>
      </c>
      <c r="R759" s="5" t="str">
        <f>'CyC-F11-F12'!K28</f>
        <v/>
      </c>
      <c r="S759" s="2" t="str">
        <f>'CyC-F11-F12'!L28</f>
        <v>PAGO</v>
      </c>
      <c r="T759" s="2" t="str">
        <f>'CyC-F11-F12'!M28</f>
        <v>YAPE JL</v>
      </c>
      <c r="U759" s="34">
        <f>'CyC-F11-F12'!N28</f>
        <v>190</v>
      </c>
      <c r="V759" s="34" t="str">
        <f>'CyC-F11-F12'!O28</f>
        <v/>
      </c>
      <c r="W759" s="2" t="str">
        <f>'CyC-F11-F12'!P28</f>
        <v>Yadhira</v>
      </c>
      <c r="X759" s="34">
        <f>'CyC-F11-F12'!Q28</f>
        <v>190</v>
      </c>
      <c r="Y759" s="1"/>
      <c r="Z759" s="1"/>
      <c r="AA759" s="1"/>
    </row>
    <row r="760">
      <c r="A760" s="1"/>
      <c r="B760" s="14">
        <f t="shared" si="14"/>
        <v>25</v>
      </c>
      <c r="C760" s="22" t="str">
        <f t="shared" si="1"/>
        <v>enero</v>
      </c>
      <c r="D760" s="22">
        <f t="shared" si="2"/>
        <v>2</v>
      </c>
      <c r="E760" s="23" t="str">
        <f t="shared" si="3"/>
        <v>viernes</v>
      </c>
      <c r="F760" s="22">
        <f t="shared" si="4"/>
        <v>9</v>
      </c>
      <c r="G760" s="22" t="s">
        <v>26</v>
      </c>
      <c r="H760" s="3" t="str">
        <f>'CyC-F11-F12'!$G$3</f>
        <v>CyC F9</v>
      </c>
      <c r="I760" s="24">
        <f>'CyC-F11-F12'!B29</f>
        <v>46031</v>
      </c>
      <c r="J760" s="2" t="str">
        <f>'CyC-F11-F12'!C29</f>
        <v/>
      </c>
      <c r="K760" s="2" t="str">
        <f>'CyC-F11-F12'!D29</f>
        <v>Oscar Vega</v>
      </c>
      <c r="L760" s="2" t="str">
        <f>'CyC-F11-F12'!E29</f>
        <v/>
      </c>
      <c r="M760" s="2" t="str">
        <f>'CyC-F11-F12'!F29</f>
        <v/>
      </c>
      <c r="N760" s="2" t="str">
        <f>'CyC-F11-F12'!G29</f>
        <v/>
      </c>
      <c r="O760" s="2" t="str">
        <f>'CyC-F11-F12'!H29</f>
        <v>x</v>
      </c>
      <c r="P760" s="2" t="str">
        <f>'CyC-F11-F12'!I29</f>
        <v/>
      </c>
      <c r="Q760" s="2">
        <f>'CyC-F11-F12'!J29</f>
        <v>150</v>
      </c>
      <c r="R760" s="2" t="str">
        <f>'CyC-F11-F12'!K29</f>
        <v/>
      </c>
      <c r="S760" s="2" t="str">
        <f>'CyC-F11-F12'!L29</f>
        <v>PAGO</v>
      </c>
      <c r="T760" s="2" t="str">
        <f>'CyC-F11-F12'!M29</f>
        <v>EFECTIVO</v>
      </c>
      <c r="U760" s="34">
        <f>'CyC-F11-F12'!N29</f>
        <v>150</v>
      </c>
      <c r="V760" s="34" t="str">
        <f>'CyC-F11-F12'!O29</f>
        <v/>
      </c>
      <c r="W760" s="2" t="str">
        <f>'CyC-F11-F12'!P29</f>
        <v>Katherine</v>
      </c>
      <c r="X760" s="34">
        <f>'CyC-F11-F12'!Q29</f>
        <v>150</v>
      </c>
      <c r="Y760" s="1"/>
      <c r="Z760" s="1"/>
      <c r="AA760" s="1"/>
    </row>
    <row r="761">
      <c r="A761" s="1"/>
      <c r="B761" s="14">
        <f t="shared" si="14"/>
        <v>26</v>
      </c>
      <c r="C761" s="22" t="str">
        <f t="shared" si="1"/>
        <v>diciembre</v>
      </c>
      <c r="D761" s="22">
        <f t="shared" si="2"/>
        <v>52</v>
      </c>
      <c r="E761" s="23" t="str">
        <f t="shared" si="3"/>
        <v>sábado</v>
      </c>
      <c r="F761" s="22">
        <f t="shared" si="4"/>
        <v>30</v>
      </c>
      <c r="G761" s="22" t="s">
        <v>26</v>
      </c>
      <c r="H761" s="3" t="str">
        <f>'CyC-F11-F12'!$G$3</f>
        <v>CyC F9</v>
      </c>
      <c r="I761" s="24" t="str">
        <f>'CyC-F11-F12'!B30</f>
        <v/>
      </c>
      <c r="J761" s="2" t="str">
        <f>'CyC-F11-F12'!C30</f>
        <v/>
      </c>
      <c r="K761" s="2" t="str">
        <f>'CyC-F11-F12'!D30</f>
        <v/>
      </c>
      <c r="L761" s="2" t="str">
        <f>'CyC-F11-F12'!E30</f>
        <v/>
      </c>
      <c r="M761" s="2" t="str">
        <f>'CyC-F11-F12'!F30</f>
        <v/>
      </c>
      <c r="N761" s="2" t="str">
        <f>'CyC-F11-F12'!G30</f>
        <v/>
      </c>
      <c r="O761" s="5" t="str">
        <f>'CyC-F11-F12'!H30</f>
        <v/>
      </c>
      <c r="P761" s="5" t="str">
        <f>'CyC-F11-F12'!I30</f>
        <v/>
      </c>
      <c r="Q761" s="5" t="str">
        <f>'CyC-F11-F12'!J30</f>
        <v/>
      </c>
      <c r="R761" s="5" t="str">
        <f>'CyC-F11-F12'!K30</f>
        <v/>
      </c>
      <c r="S761" s="2" t="str">
        <f>'CyC-F11-F12'!L30</f>
        <v/>
      </c>
      <c r="T761" s="2" t="str">
        <f>'CyC-F11-F12'!M30</f>
        <v/>
      </c>
      <c r="U761" s="34" t="str">
        <f>'CyC-F11-F12'!N30</f>
        <v/>
      </c>
      <c r="V761" s="34" t="str">
        <f>'CyC-F11-F12'!O30</f>
        <v/>
      </c>
      <c r="W761" s="2" t="str">
        <f>'CyC-F11-F12'!P30</f>
        <v/>
      </c>
      <c r="X761" s="34">
        <f>'CyC-F11-F12'!Q30</f>
        <v>0</v>
      </c>
      <c r="Y761" s="1"/>
      <c r="Z761" s="1"/>
      <c r="AA761" s="1"/>
    </row>
    <row r="762">
      <c r="A762" s="1"/>
      <c r="B762" s="14">
        <f t="shared" si="14"/>
        <v>27</v>
      </c>
      <c r="C762" s="22" t="str">
        <f t="shared" si="1"/>
        <v>diciembre</v>
      </c>
      <c r="D762" s="22">
        <f t="shared" si="2"/>
        <v>52</v>
      </c>
      <c r="E762" s="23" t="str">
        <f t="shared" si="3"/>
        <v>sábado</v>
      </c>
      <c r="F762" s="22">
        <f t="shared" si="4"/>
        <v>30</v>
      </c>
      <c r="G762" s="22" t="s">
        <v>26</v>
      </c>
      <c r="H762" s="3" t="str">
        <f>'CyC-F11-F12'!$G$3</f>
        <v>CyC F9</v>
      </c>
      <c r="I762" s="24" t="str">
        <f>'CyC-F11-F12'!B31</f>
        <v/>
      </c>
      <c r="J762" s="2" t="str">
        <f>'CyC-F11-F12'!C31</f>
        <v/>
      </c>
      <c r="K762" s="2" t="str">
        <f>'CyC-F11-F12'!D31</f>
        <v/>
      </c>
      <c r="L762" s="2" t="str">
        <f>'CyC-F11-F12'!E31</f>
        <v/>
      </c>
      <c r="M762" s="2" t="str">
        <f>'CyC-F11-F12'!F31</f>
        <v/>
      </c>
      <c r="N762" s="2" t="str">
        <f>'CyC-F11-F12'!G31</f>
        <v/>
      </c>
      <c r="O762" s="2" t="str">
        <f>'CyC-F11-F12'!H31</f>
        <v/>
      </c>
      <c r="P762" s="2" t="str">
        <f>'CyC-F11-F12'!I31</f>
        <v/>
      </c>
      <c r="Q762" s="2" t="str">
        <f>'CyC-F11-F12'!J31</f>
        <v/>
      </c>
      <c r="R762" s="2" t="str">
        <f>'CyC-F11-F12'!K31</f>
        <v/>
      </c>
      <c r="S762" s="2" t="str">
        <f>'CyC-F11-F12'!L31</f>
        <v/>
      </c>
      <c r="T762" s="2" t="str">
        <f>'CyC-F11-F12'!M31</f>
        <v/>
      </c>
      <c r="U762" s="2" t="str">
        <f>'CyC-F11-F12'!N31</f>
        <v/>
      </c>
      <c r="V762" s="2" t="str">
        <f>'CyC-F11-F12'!O31</f>
        <v/>
      </c>
      <c r="W762" s="2" t="str">
        <f>'CyC-F11-F12'!P31</f>
        <v/>
      </c>
      <c r="X762" s="34">
        <f>'CyC-F11-F12'!Q31</f>
        <v>0</v>
      </c>
      <c r="Y762" s="1"/>
      <c r="Z762" s="1"/>
      <c r="AA762" s="1"/>
    </row>
    <row r="763">
      <c r="A763" s="1"/>
      <c r="B763" s="14">
        <f t="shared" si="14"/>
        <v>28</v>
      </c>
      <c r="C763" s="22" t="str">
        <f t="shared" si="1"/>
        <v>diciembre</v>
      </c>
      <c r="D763" s="22">
        <f t="shared" si="2"/>
        <v>52</v>
      </c>
      <c r="E763" s="23" t="str">
        <f t="shared" si="3"/>
        <v>sábado</v>
      </c>
      <c r="F763" s="22">
        <f t="shared" si="4"/>
        <v>30</v>
      </c>
      <c r="G763" s="22" t="s">
        <v>26</v>
      </c>
      <c r="H763" s="3" t="str">
        <f>'CyC-F11-F12'!$G$3</f>
        <v>CyC F9</v>
      </c>
      <c r="I763" s="24" t="str">
        <f>'CyC-F11-F12'!B32</f>
        <v/>
      </c>
      <c r="J763" s="2" t="str">
        <f>'CyC-F11-F12'!C32</f>
        <v/>
      </c>
      <c r="K763" s="2" t="str">
        <f>'CyC-F11-F12'!D32</f>
        <v/>
      </c>
      <c r="L763" s="2" t="str">
        <f>'CyC-F11-F12'!E32</f>
        <v/>
      </c>
      <c r="M763" s="2" t="str">
        <f>'CyC-F11-F12'!F32</f>
        <v/>
      </c>
      <c r="N763" s="2" t="str">
        <f>'CyC-F11-F12'!G32</f>
        <v/>
      </c>
      <c r="O763" s="5" t="str">
        <f>'CyC-F11-F12'!H32</f>
        <v/>
      </c>
      <c r="P763" s="5" t="str">
        <f>'CyC-F11-F12'!I32</f>
        <v/>
      </c>
      <c r="Q763" s="5" t="str">
        <f>'CyC-F11-F12'!J32</f>
        <v/>
      </c>
      <c r="R763" s="5" t="str">
        <f>'CyC-F11-F12'!K32</f>
        <v/>
      </c>
      <c r="S763" s="2" t="str">
        <f>'CyC-F11-F12'!L32</f>
        <v/>
      </c>
      <c r="T763" s="2" t="str">
        <f>'CyC-F11-F12'!M32</f>
        <v/>
      </c>
      <c r="U763" s="34" t="str">
        <f>'CyC-F11-F12'!N32</f>
        <v/>
      </c>
      <c r="V763" s="34" t="str">
        <f>'CyC-F11-F12'!O32</f>
        <v/>
      </c>
      <c r="W763" s="2" t="str">
        <f>'CyC-F11-F12'!P32</f>
        <v/>
      </c>
      <c r="X763" s="34" t="str">
        <f>'CyC-F11-F12'!Q32</f>
        <v/>
      </c>
      <c r="Y763" s="1"/>
      <c r="Z763" s="1"/>
      <c r="AA763" s="1"/>
    </row>
    <row r="764">
      <c r="A764" s="1"/>
      <c r="B764" s="14">
        <f t="shared" si="14"/>
        <v>29</v>
      </c>
      <c r="C764" s="22" t="str">
        <f t="shared" si="1"/>
        <v>diciembre</v>
      </c>
      <c r="D764" s="22">
        <f t="shared" si="2"/>
        <v>52</v>
      </c>
      <c r="E764" s="23" t="str">
        <f t="shared" si="3"/>
        <v>sábado</v>
      </c>
      <c r="F764" s="22">
        <f t="shared" si="4"/>
        <v>30</v>
      </c>
      <c r="G764" s="22" t="s">
        <v>26</v>
      </c>
      <c r="H764" s="3" t="str">
        <f>'CyC-F11-F12'!$G$3</f>
        <v>CyC F9</v>
      </c>
      <c r="I764" s="24" t="str">
        <f>'CyC-F11-F12'!B33</f>
        <v/>
      </c>
      <c r="J764" s="2" t="str">
        <f>'CyC-F11-F12'!C33</f>
        <v/>
      </c>
      <c r="K764" s="2" t="str">
        <f>'CyC-F11-F12'!D33</f>
        <v/>
      </c>
      <c r="L764" s="2" t="str">
        <f>'CyC-F11-F12'!E33</f>
        <v/>
      </c>
      <c r="M764" s="2" t="str">
        <f>'CyC-F11-F12'!F33</f>
        <v/>
      </c>
      <c r="N764" s="2" t="str">
        <f>'CyC-F11-F12'!G33</f>
        <v/>
      </c>
      <c r="O764" s="5" t="str">
        <f>'CyC-F11-F12'!H33</f>
        <v/>
      </c>
      <c r="P764" s="5" t="str">
        <f>'CyC-F11-F12'!I33</f>
        <v/>
      </c>
      <c r="Q764" s="5" t="str">
        <f>'CyC-F11-F12'!J33</f>
        <v/>
      </c>
      <c r="R764" s="5" t="str">
        <f>'CyC-F11-F12'!K33</f>
        <v/>
      </c>
      <c r="S764" s="2" t="str">
        <f>'CyC-F11-F12'!L33</f>
        <v/>
      </c>
      <c r="T764" s="2" t="str">
        <f>'CyC-F11-F12'!M33</f>
        <v/>
      </c>
      <c r="U764" s="34" t="str">
        <f>'CyC-F11-F12'!N33</f>
        <v/>
      </c>
      <c r="V764" s="34" t="str">
        <f>'CyC-F11-F12'!O33</f>
        <v/>
      </c>
      <c r="W764" s="2" t="str">
        <f>'CyC-F11-F12'!P33</f>
        <v/>
      </c>
      <c r="X764" s="34" t="str">
        <f>'CyC-F11-F12'!Q33</f>
        <v/>
      </c>
      <c r="Y764" s="1"/>
      <c r="Z764" s="1"/>
      <c r="AA764" s="1"/>
    </row>
    <row r="765">
      <c r="A765" s="1"/>
      <c r="B765" s="14">
        <f t="shared" si="14"/>
        <v>30</v>
      </c>
      <c r="C765" s="22" t="str">
        <f t="shared" si="1"/>
        <v>diciembre</v>
      </c>
      <c r="D765" s="22">
        <f t="shared" si="2"/>
        <v>52</v>
      </c>
      <c r="E765" s="23" t="str">
        <f t="shared" si="3"/>
        <v>sábado</v>
      </c>
      <c r="F765" s="22">
        <f t="shared" si="4"/>
        <v>30</v>
      </c>
      <c r="G765" s="22" t="s">
        <v>26</v>
      </c>
      <c r="H765" s="3" t="str">
        <f>'CyC-F11-F12'!$G$3</f>
        <v>CyC F9</v>
      </c>
      <c r="I765" s="24" t="str">
        <f>'CyC-F11-F12'!B34</f>
        <v/>
      </c>
      <c r="J765" s="2" t="str">
        <f>'CyC-F11-F12'!C34</f>
        <v/>
      </c>
      <c r="K765" s="2" t="str">
        <f>'CyC-F11-F12'!D34</f>
        <v/>
      </c>
      <c r="L765" s="2" t="str">
        <f>'CyC-F11-F12'!E34</f>
        <v/>
      </c>
      <c r="M765" s="2" t="str">
        <f>'CyC-F11-F12'!F34</f>
        <v/>
      </c>
      <c r="N765" s="2" t="str">
        <f>'CyC-F11-F12'!G34</f>
        <v/>
      </c>
      <c r="O765" s="5" t="str">
        <f>'CyC-F11-F12'!H34</f>
        <v/>
      </c>
      <c r="P765" s="5" t="str">
        <f>'CyC-F11-F12'!I34</f>
        <v/>
      </c>
      <c r="Q765" s="5" t="str">
        <f>'CyC-F11-F12'!J34</f>
        <v/>
      </c>
      <c r="R765" s="5" t="str">
        <f>'CyC-F11-F12'!K34</f>
        <v/>
      </c>
      <c r="S765" s="2" t="str">
        <f>'CyC-F11-F12'!L34</f>
        <v/>
      </c>
      <c r="T765" s="2" t="str">
        <f>'CyC-F11-F12'!M34</f>
        <v/>
      </c>
      <c r="U765" s="34" t="str">
        <f>'CyC-F11-F12'!N34</f>
        <v/>
      </c>
      <c r="V765" s="34" t="str">
        <f>'CyC-F11-F12'!O34</f>
        <v/>
      </c>
      <c r="W765" s="2" t="str">
        <f>'CyC-F11-F12'!P34</f>
        <v/>
      </c>
      <c r="X765" s="34" t="str">
        <f>'CyC-F11-F12'!Q34</f>
        <v/>
      </c>
      <c r="Y765" s="1"/>
      <c r="Z765" s="1"/>
      <c r="AA765" s="1"/>
    </row>
    <row r="766">
      <c r="A766" s="1"/>
      <c r="B766" s="14">
        <f t="shared" si="14"/>
        <v>31</v>
      </c>
      <c r="C766" s="22" t="str">
        <f t="shared" si="1"/>
        <v>diciembre</v>
      </c>
      <c r="D766" s="22">
        <f t="shared" si="2"/>
        <v>52</v>
      </c>
      <c r="E766" s="23" t="str">
        <f t="shared" si="3"/>
        <v>sábado</v>
      </c>
      <c r="F766" s="22">
        <f t="shared" si="4"/>
        <v>30</v>
      </c>
      <c r="G766" s="22" t="s">
        <v>26</v>
      </c>
      <c r="H766" s="3" t="str">
        <f>'CyC-F11-F12'!$G$3</f>
        <v>CyC F9</v>
      </c>
      <c r="I766" s="24" t="str">
        <f>'CyC-F11-F12'!B35</f>
        <v/>
      </c>
      <c r="J766" s="2" t="str">
        <f>'CyC-F11-F12'!C35</f>
        <v/>
      </c>
      <c r="K766" s="2" t="str">
        <f>'CyC-F11-F12'!D35</f>
        <v/>
      </c>
      <c r="L766" s="2" t="str">
        <f>'CyC-F11-F12'!E35</f>
        <v/>
      </c>
      <c r="M766" s="2" t="str">
        <f>'CyC-F11-F12'!F35</f>
        <v/>
      </c>
      <c r="N766" s="2" t="str">
        <f>'CyC-F11-F12'!G35</f>
        <v/>
      </c>
      <c r="O766" s="5" t="str">
        <f>'CyC-F11-F12'!H35</f>
        <v/>
      </c>
      <c r="P766" s="5" t="str">
        <f>'CyC-F11-F12'!I35</f>
        <v/>
      </c>
      <c r="Q766" s="5" t="str">
        <f>'CyC-F11-F12'!J35</f>
        <v/>
      </c>
      <c r="R766" s="5" t="str">
        <f>'CyC-F11-F12'!K35</f>
        <v/>
      </c>
      <c r="S766" s="2" t="str">
        <f>'CyC-F11-F12'!L35</f>
        <v/>
      </c>
      <c r="T766" s="2" t="str">
        <f>'CyC-F11-F12'!M35</f>
        <v/>
      </c>
      <c r="U766" s="34" t="str">
        <f>'CyC-F11-F12'!N35</f>
        <v/>
      </c>
      <c r="V766" s="34" t="str">
        <f>'CyC-F11-F12'!O35</f>
        <v/>
      </c>
      <c r="W766" s="2" t="str">
        <f>'CyC-F11-F12'!P35</f>
        <v/>
      </c>
      <c r="X766" s="34" t="str">
        <f>'CyC-F11-F12'!Q35</f>
        <v/>
      </c>
      <c r="Y766" s="1"/>
      <c r="Z766" s="1"/>
      <c r="AA766" s="1"/>
    </row>
    <row r="767">
      <c r="A767" s="1"/>
      <c r="B767" s="14">
        <f t="shared" si="14"/>
        <v>32</v>
      </c>
      <c r="C767" s="22" t="str">
        <f t="shared" si="1"/>
        <v>diciembre</v>
      </c>
      <c r="D767" s="22">
        <f t="shared" si="2"/>
        <v>51</v>
      </c>
      <c r="E767" s="23" t="str">
        <f t="shared" si="3"/>
        <v>miércoles</v>
      </c>
      <c r="F767" s="22">
        <f t="shared" si="4"/>
        <v>17</v>
      </c>
      <c r="G767" s="22" t="s">
        <v>26</v>
      </c>
      <c r="H767" s="3" t="str">
        <f>'CyC-F11-F12'!$G$3</f>
        <v>CyC F9</v>
      </c>
      <c r="I767" s="24">
        <f>'CyC-F11-F12'!B36</f>
        <v>46008</v>
      </c>
      <c r="J767" s="2">
        <f>'CyC-F11-F12'!C36</f>
        <v>44681923</v>
      </c>
      <c r="K767" s="2" t="str">
        <f>'CyC-F11-F12'!D36</f>
        <v>Rodrigo Bustamante Moquillaza</v>
      </c>
      <c r="L767" s="2" t="str">
        <f>'CyC-F11-F12'!E36</f>
        <v>Roodj88@gmail.com</v>
      </c>
      <c r="M767" s="2" t="str">
        <f>'CyC-F11-F12'!F36</f>
        <v>SURQUILLO</v>
      </c>
      <c r="N767" s="2" t="str">
        <f>'CyC-F11-F12'!G36</f>
        <v>995 586 556</v>
      </c>
      <c r="O767" s="2" t="str">
        <f>'CyC-F11-F12'!H36</f>
        <v/>
      </c>
      <c r="P767" s="2" t="str">
        <f>'CyC-F11-F12'!I36</f>
        <v>X</v>
      </c>
      <c r="Q767" s="2">
        <f>'CyC-F11-F12'!J36</f>
        <v>0</v>
      </c>
      <c r="R767" s="2" t="str">
        <f>'CyC-F11-F12'!K36</f>
        <v/>
      </c>
      <c r="S767" s="2" t="str">
        <f>'CyC-F11-F12'!L36</f>
        <v/>
      </c>
      <c r="T767" s="2" t="str">
        <f>'CyC-F11-F12'!M36</f>
        <v/>
      </c>
      <c r="U767" s="2">
        <f>'CyC-F11-F12'!N36</f>
        <v>0</v>
      </c>
      <c r="V767" s="2" t="str">
        <f>'CyC-F11-F12'!O36</f>
        <v/>
      </c>
      <c r="W767" s="2" t="str">
        <f>'CyC-F11-F12'!P36</f>
        <v>Yadhira</v>
      </c>
      <c r="X767" s="34">
        <f>'CyC-F11-F12'!Q36</f>
        <v>0</v>
      </c>
      <c r="Y767" s="1"/>
      <c r="Z767" s="1"/>
      <c r="AA767" s="1"/>
    </row>
    <row r="768">
      <c r="A768" s="1"/>
      <c r="B768" s="14">
        <f t="shared" si="14"/>
        <v>33</v>
      </c>
      <c r="C768" s="22" t="str">
        <f t="shared" si="1"/>
        <v>diciembre</v>
      </c>
      <c r="D768" s="22">
        <f t="shared" si="2"/>
        <v>51</v>
      </c>
      <c r="E768" s="23" t="str">
        <f t="shared" si="3"/>
        <v>miércoles</v>
      </c>
      <c r="F768" s="22">
        <f t="shared" si="4"/>
        <v>17</v>
      </c>
      <c r="G768" s="22" t="s">
        <v>26</v>
      </c>
      <c r="H768" s="3" t="str">
        <f>'CyC-F11-F12'!$G$3</f>
        <v>CyC F9</v>
      </c>
      <c r="I768" s="24">
        <f>'CyC-F11-F12'!B37</f>
        <v>46008</v>
      </c>
      <c r="J768" s="2" t="str">
        <f>'CyC-F11-F12'!C37</f>
        <v/>
      </c>
      <c r="K768" s="2" t="str">
        <f>'CyC-F11-F12'!D37</f>
        <v>Philip Wenter Bustamante</v>
      </c>
      <c r="L768" s="2" t="str">
        <f>'CyC-F11-F12'!E37</f>
        <v>Roodj88@gmail.com</v>
      </c>
      <c r="M768" s="2" t="str">
        <f>'CyC-F11-F12'!F37</f>
        <v>SURQUILLO</v>
      </c>
      <c r="N768" s="2" t="str">
        <f>'CyC-F11-F12'!G37</f>
        <v>995 586 556</v>
      </c>
      <c r="O768" s="5" t="str">
        <f>'CyC-F11-F12'!H37</f>
        <v/>
      </c>
      <c r="P768" s="5" t="str">
        <f>'CyC-F11-F12'!I37</f>
        <v>X</v>
      </c>
      <c r="Q768" s="5">
        <f>'CyC-F11-F12'!J37</f>
        <v>0</v>
      </c>
      <c r="R768" s="5" t="str">
        <f>'CyC-F11-F12'!K37</f>
        <v/>
      </c>
      <c r="S768" s="2" t="str">
        <f>'CyC-F11-F12'!L37</f>
        <v/>
      </c>
      <c r="T768" s="2" t="str">
        <f>'CyC-F11-F12'!M37</f>
        <v/>
      </c>
      <c r="U768" s="34">
        <f>'CyC-F11-F12'!N37</f>
        <v>0</v>
      </c>
      <c r="V768" s="34" t="str">
        <f>'CyC-F11-F12'!O37</f>
        <v/>
      </c>
      <c r="W768" s="2" t="str">
        <f>'CyC-F11-F12'!P37</f>
        <v>Yadhira</v>
      </c>
      <c r="X768" s="34">
        <f>'CyC-F11-F12'!Q37</f>
        <v>0</v>
      </c>
      <c r="Y768" s="1"/>
      <c r="Z768" s="1"/>
      <c r="AA768" s="1"/>
    </row>
    <row r="769">
      <c r="A769" s="1"/>
      <c r="B769" s="14">
        <f t="shared" si="14"/>
        <v>34</v>
      </c>
      <c r="C769" s="22" t="str">
        <f t="shared" si="1"/>
        <v>enero</v>
      </c>
      <c r="D769" s="22">
        <f t="shared" si="2"/>
        <v>2</v>
      </c>
      <c r="E769" s="23" t="str">
        <f t="shared" si="3"/>
        <v>sábado</v>
      </c>
      <c r="F769" s="22">
        <f t="shared" si="4"/>
        <v>10</v>
      </c>
      <c r="G769" s="22" t="s">
        <v>26</v>
      </c>
      <c r="H769" s="3" t="str">
        <f>'CyC-F11-F12'!$G$3</f>
        <v>CyC F9</v>
      </c>
      <c r="I769" s="24">
        <f>'CyC-F11-F12'!B38</f>
        <v>46032</v>
      </c>
      <c r="J769" s="2" t="str">
        <f>'CyC-F11-F12'!C38</f>
        <v/>
      </c>
      <c r="K769" s="2" t="str">
        <f>'CyC-F11-F12'!D38</f>
        <v>Janeth mayhuasca lapa</v>
      </c>
      <c r="L769" s="2" t="str">
        <f>'CyC-F11-F12'!E38</f>
        <v/>
      </c>
      <c r="M769" s="2" t="str">
        <f>'CyC-F11-F12'!F38</f>
        <v/>
      </c>
      <c r="N769" s="2" t="str">
        <f>'CyC-F11-F12'!G38</f>
        <v/>
      </c>
      <c r="O769" s="5" t="str">
        <f>'CyC-F11-F12'!H38</f>
        <v/>
      </c>
      <c r="P769" s="5" t="str">
        <f>'CyC-F11-F12'!I38</f>
        <v>X</v>
      </c>
      <c r="Q769" s="5">
        <f>'CyC-F11-F12'!J38</f>
        <v>95</v>
      </c>
      <c r="R769" s="5">
        <f>'CyC-F11-F12'!K38</f>
        <v>95</v>
      </c>
      <c r="S769" s="2" t="str">
        <f>'CyC-F11-F12'!L38</f>
        <v>COBR</v>
      </c>
      <c r="T769" s="2" t="str">
        <f>'CyC-F11-F12'!M38</f>
        <v>YAPE JL</v>
      </c>
      <c r="U769" s="34">
        <f>'CyC-F11-F12'!N38</f>
        <v>95</v>
      </c>
      <c r="V769" s="34">
        <f>'CyC-F11-F12'!O38</f>
        <v>95</v>
      </c>
      <c r="W769" s="2" t="str">
        <f>'CyC-F11-F12'!P38</f>
        <v>Katherine</v>
      </c>
      <c r="X769" s="34">
        <f>'CyC-F11-F12'!Q38</f>
        <v>190</v>
      </c>
      <c r="Y769" s="1"/>
      <c r="Z769" s="1"/>
      <c r="AA769" s="1"/>
    </row>
    <row r="770">
      <c r="A770" s="1"/>
      <c r="B770" s="14">
        <f t="shared" si="14"/>
        <v>35</v>
      </c>
      <c r="C770" s="22" t="str">
        <f t="shared" si="1"/>
        <v>enero</v>
      </c>
      <c r="D770" s="22">
        <f t="shared" si="2"/>
        <v>2</v>
      </c>
      <c r="E770" s="23" t="str">
        <f t="shared" si="3"/>
        <v>martes</v>
      </c>
      <c r="F770" s="22">
        <f t="shared" si="4"/>
        <v>6</v>
      </c>
      <c r="G770" s="22" t="s">
        <v>26</v>
      </c>
      <c r="H770" s="3" t="str">
        <f>'CyC-F11-F12'!$G$3</f>
        <v>CyC F9</v>
      </c>
      <c r="I770" s="24">
        <f>'CyC-F11-F12'!B39</f>
        <v>46028</v>
      </c>
      <c r="J770" s="25" t="str">
        <f>'CyC-F11-F12'!C39</f>
        <v>09683891</v>
      </c>
      <c r="K770" s="2" t="str">
        <f>'CyC-F11-F12'!D39</f>
        <v>Julio la cerna Roncal</v>
      </c>
      <c r="L770" s="2" t="str">
        <f>'CyC-F11-F12'!E39</f>
        <v>Galvimetall@yahoo.es</v>
      </c>
      <c r="M770" s="2" t="str">
        <f>'CyC-F11-F12'!F39</f>
        <v>CERCADO</v>
      </c>
      <c r="N770" s="2" t="str">
        <f>'CyC-F11-F12'!G39</f>
        <v>982 569 272</v>
      </c>
      <c r="O770" s="5" t="str">
        <f>'CyC-F11-F12'!H39</f>
        <v/>
      </c>
      <c r="P770" s="5" t="str">
        <f>'CyC-F11-F12'!I39</f>
        <v>x</v>
      </c>
      <c r="Q770" s="5">
        <f>'CyC-F11-F12'!J39</f>
        <v>100</v>
      </c>
      <c r="R770" s="5">
        <f>'CyC-F11-F12'!K39</f>
        <v>90</v>
      </c>
      <c r="S770" s="2" t="str">
        <f>'CyC-F11-F12'!L39</f>
        <v>COBR</v>
      </c>
      <c r="T770" s="2" t="str">
        <f>'CyC-F11-F12'!M39</f>
        <v>YAPE JL</v>
      </c>
      <c r="U770" s="34">
        <f>'CyC-F11-F12'!N39</f>
        <v>100</v>
      </c>
      <c r="V770" s="34">
        <f>'CyC-F11-F12'!O39</f>
        <v>0</v>
      </c>
      <c r="W770" s="2" t="str">
        <f>'CyC-F11-F12'!P39</f>
        <v>Yadhira</v>
      </c>
      <c r="X770" s="34">
        <f>'CyC-F11-F12'!Q39</f>
        <v>100</v>
      </c>
      <c r="Y770" s="1"/>
      <c r="Z770" s="1"/>
      <c r="AA770" s="1"/>
    </row>
    <row r="771">
      <c r="A771" s="1"/>
      <c r="B771" s="14">
        <f t="shared" si="14"/>
        <v>36</v>
      </c>
      <c r="C771" s="22" t="str">
        <f t="shared" si="1"/>
        <v>enero</v>
      </c>
      <c r="D771" s="22">
        <f t="shared" si="2"/>
        <v>3</v>
      </c>
      <c r="E771" s="23" t="str">
        <f t="shared" si="3"/>
        <v>martes</v>
      </c>
      <c r="F771" s="22">
        <f t="shared" si="4"/>
        <v>13</v>
      </c>
      <c r="G771" s="22" t="s">
        <v>26</v>
      </c>
      <c r="H771" s="3" t="str">
        <f>'CyC-F11-F12'!$G$3</f>
        <v>CyC F9</v>
      </c>
      <c r="I771" s="24">
        <f>'CyC-F11-F12'!B40</f>
        <v>46035</v>
      </c>
      <c r="J771" s="2">
        <f>'CyC-F11-F12'!C40</f>
        <v>20029573</v>
      </c>
      <c r="K771" s="2" t="str">
        <f>'CyC-F11-F12'!D40</f>
        <v>Williams Fredy Sanabria Reyes</v>
      </c>
      <c r="L771" s="2" t="str">
        <f>'CyC-F11-F12'!E40</f>
        <v>wsananria073@gmail.com</v>
      </c>
      <c r="M771" s="2" t="str">
        <f>'CyC-F11-F12'!F40</f>
        <v>JUNIN</v>
      </c>
      <c r="N771" s="2" t="str">
        <f>'CyC-F11-F12'!G40</f>
        <v>944 542 158</v>
      </c>
      <c r="O771" s="5" t="str">
        <f>'CyC-F11-F12'!H40</f>
        <v/>
      </c>
      <c r="P771" s="5" t="str">
        <f>'CyC-F11-F12'!I40</f>
        <v>X</v>
      </c>
      <c r="Q771" s="5">
        <f>'CyC-F11-F12'!J40</f>
        <v>95</v>
      </c>
      <c r="R771" s="5">
        <f>'CyC-F11-F12'!K40</f>
        <v>95</v>
      </c>
      <c r="S771" s="2" t="str">
        <f>'CyC-F11-F12'!L40</f>
        <v>COBR</v>
      </c>
      <c r="T771" s="2" t="str">
        <f>'CyC-F11-F12'!M40</f>
        <v>YAPE JL</v>
      </c>
      <c r="U771" s="34">
        <f>'CyC-F11-F12'!N40</f>
        <v>95</v>
      </c>
      <c r="V771" s="34">
        <f>'CyC-F11-F12'!O40</f>
        <v>95</v>
      </c>
      <c r="W771" s="2" t="str">
        <f>'CyC-F11-F12'!P40</f>
        <v>Yadhira</v>
      </c>
      <c r="X771" s="34">
        <f>'CyC-F11-F12'!Q40</f>
        <v>190</v>
      </c>
      <c r="Y771" s="1"/>
      <c r="Z771" s="1"/>
      <c r="AA771" s="1"/>
    </row>
    <row r="772">
      <c r="A772" s="1"/>
      <c r="B772" s="14">
        <f t="shared" si="14"/>
        <v>37</v>
      </c>
      <c r="C772" s="22" t="str">
        <f t="shared" si="1"/>
        <v>enero</v>
      </c>
      <c r="D772" s="22">
        <f t="shared" si="2"/>
        <v>3</v>
      </c>
      <c r="E772" s="23" t="str">
        <f t="shared" si="3"/>
        <v>martes</v>
      </c>
      <c r="F772" s="22">
        <f t="shared" si="4"/>
        <v>13</v>
      </c>
      <c r="G772" s="22" t="s">
        <v>26</v>
      </c>
      <c r="H772" s="3" t="str">
        <f>'CyC-F11-F12'!$G$3</f>
        <v>CyC F9</v>
      </c>
      <c r="I772" s="24">
        <f>'CyC-F11-F12'!B41</f>
        <v>46035</v>
      </c>
      <c r="J772" s="2">
        <f>'CyC-F11-F12'!C41</f>
        <v>49035262</v>
      </c>
      <c r="K772" s="2" t="str">
        <f>'CyC-F11-F12'!D41</f>
        <v>Rafael Antony Urbina Peña </v>
      </c>
      <c r="L772" s="2" t="str">
        <f>'CyC-F11-F12'!E41</f>
        <v>Rafaelurbi18@gmail.com</v>
      </c>
      <c r="M772" s="2" t="str">
        <f>'CyC-F11-F12'!F41</f>
        <v>LOS OLIVOS</v>
      </c>
      <c r="N772" s="2" t="str">
        <f>'CyC-F11-F12'!G41</f>
        <v>927 235 029</v>
      </c>
      <c r="O772" s="5" t="str">
        <f>'CyC-F11-F12'!H41</f>
        <v/>
      </c>
      <c r="P772" s="5" t="str">
        <f>'CyC-F11-F12'!I41</f>
        <v>X</v>
      </c>
      <c r="Q772" s="5">
        <f>'CyC-F11-F12'!J41</f>
        <v>190</v>
      </c>
      <c r="R772" s="5" t="str">
        <f>'CyC-F11-F12'!K41</f>
        <v/>
      </c>
      <c r="S772" s="2" t="str">
        <f>'CyC-F11-F12'!L41</f>
        <v>PAGO</v>
      </c>
      <c r="T772" s="2" t="str">
        <f>'CyC-F11-F12'!M41</f>
        <v>YAPE JL</v>
      </c>
      <c r="U772" s="34">
        <f>'CyC-F11-F12'!N41</f>
        <v>190</v>
      </c>
      <c r="V772" s="34" t="str">
        <f>'CyC-F11-F12'!O41</f>
        <v/>
      </c>
      <c r="W772" s="2" t="str">
        <f>'CyC-F11-F12'!P41</f>
        <v>Yadhira</v>
      </c>
      <c r="X772" s="34">
        <f>'CyC-F11-F12'!Q41</f>
        <v>190</v>
      </c>
      <c r="Y772" s="1"/>
      <c r="Z772" s="1"/>
      <c r="AA772" s="1"/>
    </row>
    <row r="773">
      <c r="A773" s="1"/>
      <c r="B773" s="14">
        <f t="shared" si="14"/>
        <v>38</v>
      </c>
      <c r="C773" s="22" t="str">
        <f t="shared" si="1"/>
        <v>enero</v>
      </c>
      <c r="D773" s="22">
        <f t="shared" si="2"/>
        <v>3</v>
      </c>
      <c r="E773" s="23" t="str">
        <f t="shared" si="3"/>
        <v>miércoles</v>
      </c>
      <c r="F773" s="22">
        <f t="shared" si="4"/>
        <v>14</v>
      </c>
      <c r="G773" s="22" t="s">
        <v>26</v>
      </c>
      <c r="H773" s="3" t="str">
        <f>'CyC-F11-F12'!$G$3</f>
        <v>CyC F9</v>
      </c>
      <c r="I773" s="33">
        <f>'CyC-F11-F12'!B42</f>
        <v>46036</v>
      </c>
      <c r="J773" s="2">
        <f>'CyC-F11-F12'!C42</f>
        <v>22314008</v>
      </c>
      <c r="K773" s="2" t="str">
        <f>'CyC-F11-F12'!D42</f>
        <v>Elias Campos Sanchez.</v>
      </c>
      <c r="L773" s="2" t="str">
        <f>'CyC-F11-F12'!E42</f>
        <v/>
      </c>
      <c r="M773" s="2" t="str">
        <f>'CyC-F11-F12'!F42</f>
        <v/>
      </c>
      <c r="N773" s="2" t="str">
        <f>'CyC-F11-F12'!G42</f>
        <v/>
      </c>
      <c r="O773" s="5" t="str">
        <f>'CyC-F11-F12'!H42</f>
        <v/>
      </c>
      <c r="P773" s="5" t="str">
        <f>'CyC-F11-F12'!I42</f>
        <v>x</v>
      </c>
      <c r="Q773" s="5">
        <f>'CyC-F11-F12'!J42</f>
        <v>0</v>
      </c>
      <c r="R773" s="5" t="str">
        <f>'CyC-F11-F12'!K42</f>
        <v/>
      </c>
      <c r="S773" s="2" t="str">
        <f>'CyC-F11-F12'!L42</f>
        <v/>
      </c>
      <c r="T773" s="2" t="str">
        <f>'CyC-F11-F12'!M42</f>
        <v/>
      </c>
      <c r="U773" s="34">
        <f>'CyC-F11-F12'!N42</f>
        <v>0</v>
      </c>
      <c r="V773" s="34" t="str">
        <f>'CyC-F11-F12'!O42</f>
        <v/>
      </c>
      <c r="W773" s="2" t="str">
        <f>'CyC-F11-F12'!P42</f>
        <v>Katherine</v>
      </c>
      <c r="X773" s="34">
        <f>'CyC-F11-F12'!Q42</f>
        <v>0</v>
      </c>
      <c r="Y773" s="1"/>
      <c r="Z773" s="1"/>
      <c r="AA773" s="1"/>
    </row>
    <row r="774">
      <c r="A774" s="1"/>
      <c r="B774" s="14">
        <f t="shared" si="14"/>
        <v>39</v>
      </c>
      <c r="C774" s="22" t="str">
        <f t="shared" si="1"/>
        <v>enero</v>
      </c>
      <c r="D774" s="22">
        <f t="shared" si="2"/>
        <v>3</v>
      </c>
      <c r="E774" s="23" t="str">
        <f t="shared" si="3"/>
        <v>miércoles</v>
      </c>
      <c r="F774" s="22">
        <f t="shared" si="4"/>
        <v>14</v>
      </c>
      <c r="G774" s="22" t="s">
        <v>26</v>
      </c>
      <c r="H774" s="3" t="str">
        <f>'CyC-F11-F12'!$G$3</f>
        <v>CyC F9</v>
      </c>
      <c r="I774" s="24">
        <f>'CyC-F11-F12'!B43</f>
        <v>46036</v>
      </c>
      <c r="J774" s="2">
        <f>'CyC-F11-F12'!C43</f>
        <v>76601657</v>
      </c>
      <c r="K774" s="2" t="str">
        <f>'CyC-F11-F12'!D43</f>
        <v>Anthony Giancarlos rios agesto</v>
      </c>
      <c r="L774" s="27" t="str">
        <f>'CyC-F11-F12'!E43</f>
        <v>gian.agesto.tkm@gmail.com</v>
      </c>
      <c r="M774" s="2" t="str">
        <f>'CyC-F11-F12'!F43</f>
        <v>Huacho </v>
      </c>
      <c r="N774" s="2" t="str">
        <f>'CyC-F11-F12'!G43</f>
        <v/>
      </c>
      <c r="O774" s="2" t="str">
        <f>'CyC-F11-F12'!H43</f>
        <v/>
      </c>
      <c r="P774" s="2" t="str">
        <f>'CyC-F11-F12'!I43</f>
        <v>x</v>
      </c>
      <c r="Q774" s="5">
        <f>'CyC-F11-F12'!J43</f>
        <v>150</v>
      </c>
      <c r="R774" s="2" t="str">
        <f>'CyC-F11-F12'!K43</f>
        <v/>
      </c>
      <c r="S774" s="2" t="str">
        <f>'CyC-F11-F12'!L43</f>
        <v>PAGO</v>
      </c>
      <c r="T774" s="2" t="str">
        <f>'CyC-F11-F12'!M43</f>
        <v/>
      </c>
      <c r="U774" s="34">
        <f>'CyC-F11-F12'!N43</f>
        <v>150</v>
      </c>
      <c r="V774" s="34" t="str">
        <f>'CyC-F11-F12'!O43</f>
        <v/>
      </c>
      <c r="W774" s="2" t="str">
        <f>'CyC-F11-F12'!P43</f>
        <v>Gabriela</v>
      </c>
      <c r="X774" s="34">
        <f>'CyC-F11-F12'!Q43</f>
        <v>150</v>
      </c>
      <c r="Y774" s="1"/>
      <c r="Z774" s="1"/>
      <c r="AA774" s="1"/>
    </row>
    <row r="775">
      <c r="A775" s="1"/>
      <c r="B775" s="14">
        <f t="shared" si="14"/>
        <v>40</v>
      </c>
      <c r="C775" s="22" t="str">
        <f t="shared" si="1"/>
        <v>enero</v>
      </c>
      <c r="D775" s="22">
        <f t="shared" si="2"/>
        <v>3</v>
      </c>
      <c r="E775" s="23" t="str">
        <f t="shared" si="3"/>
        <v>jueves</v>
      </c>
      <c r="F775" s="22">
        <f t="shared" si="4"/>
        <v>15</v>
      </c>
      <c r="G775" s="22" t="s">
        <v>26</v>
      </c>
      <c r="H775" s="3" t="str">
        <f>'CyC-F11-F12'!$G$3</f>
        <v>CyC F9</v>
      </c>
      <c r="I775" s="24">
        <f>'CyC-F11-F12'!B44</f>
        <v>46037</v>
      </c>
      <c r="J775" s="2">
        <f>'CyC-F11-F12'!C44</f>
        <v>10477399</v>
      </c>
      <c r="K775" s="2" t="str">
        <f>'CyC-F11-F12'!D44</f>
        <v>Francisco José Mesía Liau</v>
      </c>
      <c r="L775" s="2" t="str">
        <f>'CyC-F11-F12'!E44</f>
        <v/>
      </c>
      <c r="M775" s="2" t="str">
        <f>'CyC-F11-F12'!F44</f>
        <v/>
      </c>
      <c r="N775" s="2" t="str">
        <f>'CyC-F11-F12'!G44</f>
        <v/>
      </c>
      <c r="O775" s="5" t="str">
        <f>'CyC-F11-F12'!H44</f>
        <v/>
      </c>
      <c r="P775" s="5" t="str">
        <f>'CyC-F11-F12'!I44</f>
        <v>x</v>
      </c>
      <c r="Q775" s="5">
        <f>'CyC-F11-F12'!J44</f>
        <v>95</v>
      </c>
      <c r="R775" s="5">
        <f>'CyC-F11-F12'!K44</f>
        <v>95</v>
      </c>
      <c r="S775" s="2" t="str">
        <f>'CyC-F11-F12'!L44</f>
        <v>COBR</v>
      </c>
      <c r="T775" s="2" t="str">
        <f>'CyC-F11-F12'!M44</f>
        <v>YAPE JL</v>
      </c>
      <c r="U775" s="34">
        <f>'CyC-F11-F12'!N44</f>
        <v>95</v>
      </c>
      <c r="V775" s="34">
        <f>'CyC-F11-F12'!O44</f>
        <v>95</v>
      </c>
      <c r="W775" s="2" t="str">
        <f>'CyC-F11-F12'!P44</f>
        <v>Katherine</v>
      </c>
      <c r="X775" s="34">
        <f>'CyC-F11-F12'!Q44</f>
        <v>190</v>
      </c>
      <c r="Y775" s="1"/>
      <c r="Z775" s="1"/>
      <c r="AA775" s="1"/>
    </row>
    <row r="776">
      <c r="A776" s="1"/>
      <c r="B776" s="14">
        <f t="shared" si="14"/>
        <v>41</v>
      </c>
      <c r="C776" s="22" t="str">
        <f t="shared" si="1"/>
        <v>enero</v>
      </c>
      <c r="D776" s="22">
        <f t="shared" si="2"/>
        <v>3</v>
      </c>
      <c r="E776" s="23" t="str">
        <f t="shared" si="3"/>
        <v>jueves</v>
      </c>
      <c r="F776" s="22">
        <f t="shared" si="4"/>
        <v>15</v>
      </c>
      <c r="G776" s="22" t="s">
        <v>26</v>
      </c>
      <c r="H776" s="3" t="str">
        <f>'CyC-F11-F12'!$G$3</f>
        <v>CyC F9</v>
      </c>
      <c r="I776" s="24">
        <f>'CyC-F11-F12'!B45</f>
        <v>46037</v>
      </c>
      <c r="J776" s="2">
        <f>'CyC-F11-F12'!C45</f>
        <v>41271985</v>
      </c>
      <c r="K776" s="2" t="str">
        <f>'CyC-F11-F12'!D45</f>
        <v>Lesly chumbiriza chacon</v>
      </c>
      <c r="L776" s="2" t="str">
        <f>'CyC-F11-F12'!E45</f>
        <v>leslyrosachumbirizachacon@gmail.com</v>
      </c>
      <c r="M776" s="2" t="str">
        <f>'CyC-F11-F12'!F45</f>
        <v>SJL</v>
      </c>
      <c r="N776" s="2" t="str">
        <f>'CyC-F11-F12'!G45</f>
        <v>917 313 781</v>
      </c>
      <c r="O776" s="5" t="str">
        <f>'CyC-F11-F12'!H45</f>
        <v/>
      </c>
      <c r="P776" s="5" t="str">
        <f>'CyC-F11-F12'!I45</f>
        <v>X</v>
      </c>
      <c r="Q776" s="5">
        <f>'CyC-F11-F12'!J45</f>
        <v>50</v>
      </c>
      <c r="R776" s="5">
        <f>'CyC-F11-F12'!K45</f>
        <v>140</v>
      </c>
      <c r="S776" s="2" t="str">
        <f>'CyC-F11-F12'!L45</f>
        <v>COBR</v>
      </c>
      <c r="T776" s="2" t="str">
        <f>'CyC-F11-F12'!M45</f>
        <v>YAPE JL</v>
      </c>
      <c r="U776" s="34">
        <f>'CyC-F11-F12'!N45</f>
        <v>50</v>
      </c>
      <c r="V776" s="34">
        <f>'CyC-F11-F12'!O45</f>
        <v>140</v>
      </c>
      <c r="W776" s="2" t="str">
        <f>'CyC-F11-F12'!P45</f>
        <v>Yadhira</v>
      </c>
      <c r="X776" s="34">
        <f>'CyC-F11-F12'!Q45</f>
        <v>190</v>
      </c>
      <c r="Y776" s="1"/>
      <c r="Z776" s="1"/>
      <c r="AA776" s="1"/>
    </row>
    <row r="777">
      <c r="A777" s="1"/>
      <c r="B777" s="14">
        <f t="shared" si="14"/>
        <v>42</v>
      </c>
      <c r="C777" s="22" t="str">
        <f t="shared" si="1"/>
        <v>enero</v>
      </c>
      <c r="D777" s="22">
        <f t="shared" si="2"/>
        <v>3</v>
      </c>
      <c r="E777" s="23" t="str">
        <f t="shared" si="3"/>
        <v>jueves</v>
      </c>
      <c r="F777" s="22">
        <f t="shared" si="4"/>
        <v>15</v>
      </c>
      <c r="G777" s="22" t="s">
        <v>26</v>
      </c>
      <c r="H777" s="3" t="str">
        <f>'CyC-F11-F12'!$G$3</f>
        <v>CyC F9</v>
      </c>
      <c r="I777" s="24">
        <f>'CyC-F11-F12'!B46</f>
        <v>46037</v>
      </c>
      <c r="J777" s="2">
        <f>'CyC-F11-F12'!C46</f>
        <v>41590522</v>
      </c>
      <c r="K777" s="2" t="str">
        <f>'CyC-F11-F12'!D46</f>
        <v>Joao Solís Talaverano </v>
      </c>
      <c r="L777" s="2" t="str">
        <f>'CyC-F11-F12'!E46</f>
        <v>Spawn.st41@gmail.com </v>
      </c>
      <c r="M777" s="2" t="str">
        <f>'CyC-F11-F12'!F46</f>
        <v>AYACUCHO</v>
      </c>
      <c r="N777" s="2" t="str">
        <f>'CyC-F11-F12'!G46</f>
        <v>932 006 620</v>
      </c>
      <c r="O777" s="5" t="str">
        <f>'CyC-F11-F12'!H46</f>
        <v/>
      </c>
      <c r="P777" s="5" t="str">
        <f>'CyC-F11-F12'!I46</f>
        <v>X</v>
      </c>
      <c r="Q777" s="5">
        <f>'CyC-F11-F12'!J46</f>
        <v>0</v>
      </c>
      <c r="R777" s="5" t="str">
        <f>'CyC-F11-F12'!K46</f>
        <v/>
      </c>
      <c r="S777" s="2" t="str">
        <f>'CyC-F11-F12'!L46</f>
        <v/>
      </c>
      <c r="T777" s="2" t="str">
        <f>'CyC-F11-F12'!M46</f>
        <v/>
      </c>
      <c r="U777" s="34">
        <f>'CyC-F11-F12'!N46</f>
        <v>0</v>
      </c>
      <c r="V777" s="34" t="str">
        <f>'CyC-F11-F12'!O46</f>
        <v/>
      </c>
      <c r="W777" s="2" t="str">
        <f>'CyC-F11-F12'!P46</f>
        <v>Greici</v>
      </c>
      <c r="X777" s="34">
        <f>'CyC-F11-F12'!Q46</f>
        <v>0</v>
      </c>
      <c r="Y777" s="1"/>
      <c r="Z777" s="1"/>
      <c r="AA777" s="1"/>
    </row>
    <row r="778">
      <c r="A778" s="1"/>
      <c r="B778" s="14">
        <f t="shared" si="14"/>
        <v>43</v>
      </c>
      <c r="C778" s="22" t="str">
        <f t="shared" si="1"/>
        <v>enero</v>
      </c>
      <c r="D778" s="22">
        <f t="shared" si="2"/>
        <v>3</v>
      </c>
      <c r="E778" s="23" t="str">
        <f t="shared" si="3"/>
        <v>jueves</v>
      </c>
      <c r="F778" s="22">
        <f t="shared" si="4"/>
        <v>15</v>
      </c>
      <c r="G778" s="22" t="s">
        <v>26</v>
      </c>
      <c r="H778" s="3" t="str">
        <f>'CyC-F11-F12'!$G$3</f>
        <v>CyC F9</v>
      </c>
      <c r="I778" s="24">
        <f>'CyC-F11-F12'!B47</f>
        <v>46037</v>
      </c>
      <c r="J778" s="2">
        <f>'CyC-F11-F12'!C47</f>
        <v>42689847</v>
      </c>
      <c r="K778" s="2" t="str">
        <f>'CyC-F11-F12'!D47</f>
        <v>Cisneros Montes de Oca </v>
      </c>
      <c r="L778" s="2" t="str">
        <f>'CyC-F11-F12'!E47</f>
        <v>sergio14_14@hotmail.com</v>
      </c>
      <c r="M778" s="2" t="str">
        <f>'CyC-F11-F12'!F47</f>
        <v>AYACUCHO</v>
      </c>
      <c r="N778" s="2" t="str">
        <f>'CyC-F11-F12'!G47</f>
        <v/>
      </c>
      <c r="O778" s="5" t="str">
        <f>'CyC-F11-F12'!H47</f>
        <v/>
      </c>
      <c r="P778" s="5" t="str">
        <f>'CyC-F11-F12'!I47</f>
        <v>X</v>
      </c>
      <c r="Q778" s="5">
        <f>'CyC-F11-F12'!J47</f>
        <v>0</v>
      </c>
      <c r="R778" s="5" t="str">
        <f>'CyC-F11-F12'!K47</f>
        <v/>
      </c>
      <c r="S778" s="2" t="str">
        <f>'CyC-F11-F12'!L47</f>
        <v/>
      </c>
      <c r="T778" s="2" t="str">
        <f>'CyC-F11-F12'!M47</f>
        <v/>
      </c>
      <c r="U778" s="34">
        <f>'CyC-F11-F12'!N47</f>
        <v>0</v>
      </c>
      <c r="V778" s="34" t="str">
        <f>'CyC-F11-F12'!O47</f>
        <v/>
      </c>
      <c r="W778" s="2" t="str">
        <f>'CyC-F11-F12'!P47</f>
        <v>Greici</v>
      </c>
      <c r="X778" s="34">
        <f>'CyC-F11-F12'!Q47</f>
        <v>0</v>
      </c>
      <c r="Y778" s="1"/>
      <c r="Z778" s="1"/>
      <c r="AA778" s="1"/>
    </row>
    <row r="779">
      <c r="A779" s="1"/>
      <c r="B779" s="14">
        <f t="shared" si="14"/>
        <v>44</v>
      </c>
      <c r="C779" s="22" t="str">
        <f t="shared" si="1"/>
        <v>enero</v>
      </c>
      <c r="D779" s="22">
        <f t="shared" si="2"/>
        <v>3</v>
      </c>
      <c r="E779" s="23" t="str">
        <f t="shared" si="3"/>
        <v>jueves</v>
      </c>
      <c r="F779" s="22">
        <f t="shared" si="4"/>
        <v>15</v>
      </c>
      <c r="G779" s="22" t="s">
        <v>26</v>
      </c>
      <c r="H779" s="3" t="str">
        <f>'CyC-F11-F12'!$G$3</f>
        <v>CyC F9</v>
      </c>
      <c r="I779" s="24">
        <f>'CyC-F11-F12'!B48</f>
        <v>46037</v>
      </c>
      <c r="J779" s="2">
        <f>'CyC-F11-F12'!C48</f>
        <v>46314782</v>
      </c>
      <c r="K779" s="2" t="str">
        <f>'CyC-F11-F12'!D48</f>
        <v>brenda lahura vento</v>
      </c>
      <c r="L779" s="2" t="str">
        <f>'CyC-F11-F12'!E48</f>
        <v/>
      </c>
      <c r="M779" s="2" t="str">
        <f>'CyC-F11-F12'!F48</f>
        <v/>
      </c>
      <c r="N779" s="2" t="str">
        <f>'CyC-F11-F12'!G48</f>
        <v/>
      </c>
      <c r="O779" s="5" t="str">
        <f>'CyC-F11-F12'!H48</f>
        <v/>
      </c>
      <c r="P779" s="5" t="str">
        <f>'CyC-F11-F12'!I48</f>
        <v>x</v>
      </c>
      <c r="Q779" s="5">
        <f>'CyC-F11-F12'!J48</f>
        <v>190</v>
      </c>
      <c r="R779" s="5" t="str">
        <f>'CyC-F11-F12'!K48</f>
        <v/>
      </c>
      <c r="S779" s="2" t="str">
        <f>'CyC-F11-F12'!L48</f>
        <v>PAGO</v>
      </c>
      <c r="T779" s="2" t="str">
        <f>'CyC-F11-F12'!M48</f>
        <v>MERC-PAG</v>
      </c>
      <c r="U779" s="34">
        <f>'CyC-F11-F12'!N48</f>
        <v>174.28</v>
      </c>
      <c r="V779" s="34" t="str">
        <f>'CyC-F11-F12'!O48</f>
        <v/>
      </c>
      <c r="W779" s="2" t="str">
        <f>'CyC-F11-F12'!P48</f>
        <v>Katherine</v>
      </c>
      <c r="X779" s="34">
        <f>'CyC-F11-F12'!Q48</f>
        <v>174.28</v>
      </c>
      <c r="Y779" s="1"/>
      <c r="Z779" s="1"/>
      <c r="AA779" s="1"/>
    </row>
    <row r="780">
      <c r="A780" s="1"/>
      <c r="B780" s="14">
        <f t="shared" si="14"/>
        <v>45</v>
      </c>
      <c r="C780" s="22" t="str">
        <f t="shared" si="1"/>
        <v>diciembre</v>
      </c>
      <c r="D780" s="22">
        <f t="shared" si="2"/>
        <v>51</v>
      </c>
      <c r="E780" s="23" t="str">
        <f t="shared" si="3"/>
        <v>miércoles</v>
      </c>
      <c r="F780" s="22">
        <f t="shared" si="4"/>
        <v>16</v>
      </c>
      <c r="G780" s="22" t="s">
        <v>26</v>
      </c>
      <c r="H780" s="3" t="str">
        <f>'CyC-F11-F12'!$G$3</f>
        <v>CyC F9</v>
      </c>
      <c r="I780" s="24">
        <f>'CyC-F11-F12'!B49</f>
        <v>46372</v>
      </c>
      <c r="J780" s="2">
        <f>'CyC-F11-F12'!C49</f>
        <v>751447752</v>
      </c>
      <c r="K780" s="2" t="str">
        <f>'CyC-F11-F12'!D49</f>
        <v>Darlen Estupiñan Euscate</v>
      </c>
      <c r="L780" s="27" t="str">
        <f>'CyC-F11-F12'!E49</f>
        <v>dar.val13@hotmail.com</v>
      </c>
      <c r="M780" s="2" t="str">
        <f>'CyC-F11-F12'!F49</f>
        <v>HUAURA</v>
      </c>
      <c r="N780" s="2" t="str">
        <f>'CyC-F11-F12'!G49</f>
        <v/>
      </c>
      <c r="O780" s="5" t="str">
        <f>'CyC-F11-F12'!H49</f>
        <v/>
      </c>
      <c r="P780" s="5" t="str">
        <f>'CyC-F11-F12'!I49</f>
        <v>X</v>
      </c>
      <c r="Q780" s="5">
        <f>'CyC-F11-F12'!J49</f>
        <v>185</v>
      </c>
      <c r="R780" s="5" t="str">
        <f>'CyC-F11-F12'!K49</f>
        <v/>
      </c>
      <c r="S780" s="2" t="str">
        <f>'CyC-F11-F12'!L49</f>
        <v>PAGO</v>
      </c>
      <c r="T780" s="2" t="str">
        <f>'CyC-F11-F12'!M49</f>
        <v>YAPE JL</v>
      </c>
      <c r="U780" s="34">
        <f>'CyC-F11-F12'!N49</f>
        <v>185</v>
      </c>
      <c r="V780" s="34" t="str">
        <f>'CyC-F11-F12'!O49</f>
        <v/>
      </c>
      <c r="W780" s="2" t="str">
        <f>'CyC-F11-F12'!P49</f>
        <v>Yadhira</v>
      </c>
      <c r="X780" s="34">
        <f>'CyC-F11-F12'!Q49</f>
        <v>185</v>
      </c>
      <c r="Y780" s="1"/>
      <c r="Z780" s="1"/>
      <c r="AA780" s="1"/>
    </row>
    <row r="781">
      <c r="A781" s="1"/>
      <c r="B781" s="14">
        <f t="shared" si="14"/>
        <v>46</v>
      </c>
      <c r="C781" s="22" t="str">
        <f t="shared" si="1"/>
        <v>enero</v>
      </c>
      <c r="D781" s="22">
        <f t="shared" si="2"/>
        <v>3</v>
      </c>
      <c r="E781" s="23" t="str">
        <f t="shared" si="3"/>
        <v>viernes</v>
      </c>
      <c r="F781" s="22">
        <f t="shared" si="4"/>
        <v>16</v>
      </c>
      <c r="G781" s="22" t="s">
        <v>26</v>
      </c>
      <c r="H781" s="3" t="str">
        <f>'CyC-F11-F12'!$G$3</f>
        <v>CyC F9</v>
      </c>
      <c r="I781" s="24">
        <f>'CyC-F11-F12'!B50</f>
        <v>46038</v>
      </c>
      <c r="J781" s="25" t="str">
        <f>'CyC-F11-F12'!C50</f>
        <v>07336007</v>
      </c>
      <c r="K781" s="2" t="str">
        <f>'CyC-F11-F12'!D50</f>
        <v>Luis Checa Alayza</v>
      </c>
      <c r="L781" s="2" t="str">
        <f>'CyC-F11-F12'!E50</f>
        <v>comcheca@gmail.com</v>
      </c>
      <c r="M781" s="2" t="str">
        <f>'CyC-F11-F12'!F50</f>
        <v>LA VICTORIA</v>
      </c>
      <c r="N781" s="2" t="str">
        <f>'CyC-F11-F12'!G50</f>
        <v>998 366 203</v>
      </c>
      <c r="O781" s="5" t="str">
        <f>'CyC-F11-F12'!H50</f>
        <v/>
      </c>
      <c r="P781" s="5" t="str">
        <f>'CyC-F11-F12'!I50</f>
        <v>X</v>
      </c>
      <c r="Q781" s="5">
        <f>'CyC-F11-F12'!J50</f>
        <v>190</v>
      </c>
      <c r="R781" s="5" t="str">
        <f>'CyC-F11-F12'!K50</f>
        <v/>
      </c>
      <c r="S781" s="2" t="str">
        <f>'CyC-F11-F12'!L50</f>
        <v>PAGO</v>
      </c>
      <c r="T781" s="2" t="str">
        <f>'CyC-F11-F12'!M50</f>
        <v>BBVA JL</v>
      </c>
      <c r="U781" s="34">
        <f>'CyC-F11-F12'!N50</f>
        <v>190</v>
      </c>
      <c r="V781" s="34" t="str">
        <f>'CyC-F11-F12'!O50</f>
        <v/>
      </c>
      <c r="W781" s="2" t="str">
        <f>'CyC-F11-F12'!P50</f>
        <v>Yadhira</v>
      </c>
      <c r="X781" s="34">
        <f>'CyC-F11-F12'!Q50</f>
        <v>190</v>
      </c>
      <c r="Y781" s="1"/>
      <c r="Z781" s="1"/>
      <c r="AA781" s="1"/>
    </row>
    <row r="782">
      <c r="A782" s="1"/>
      <c r="B782" s="14">
        <f t="shared" si="14"/>
        <v>47</v>
      </c>
      <c r="C782" s="22" t="str">
        <f t="shared" si="1"/>
        <v>enero</v>
      </c>
      <c r="D782" s="22">
        <f t="shared" si="2"/>
        <v>3</v>
      </c>
      <c r="E782" s="23" t="str">
        <f t="shared" si="3"/>
        <v>viernes</v>
      </c>
      <c r="F782" s="22">
        <f t="shared" si="4"/>
        <v>16</v>
      </c>
      <c r="G782" s="22" t="s">
        <v>26</v>
      </c>
      <c r="H782" s="3" t="str">
        <f>'CyC-F11-F12'!$G$3</f>
        <v>CyC F9</v>
      </c>
      <c r="I782" s="24">
        <f>'CyC-F11-F12'!B51</f>
        <v>46038</v>
      </c>
      <c r="J782" s="2">
        <f>'CyC-F11-F12'!C51</f>
        <v>76799413</v>
      </c>
      <c r="K782" s="2" t="str">
        <f>'CyC-F11-F12'!D51</f>
        <v>Gerson Alejandro Nogueyra Saldarriaga</v>
      </c>
      <c r="L782" s="2" t="str">
        <f>'CyC-F11-F12'!E51</f>
        <v>ng.producciones.art@gmail.com</v>
      </c>
      <c r="M782" s="2" t="str">
        <f>'CyC-F11-F12'!F51</f>
        <v>CALLAO</v>
      </c>
      <c r="N782" s="2" t="str">
        <f>'CyC-F11-F12'!G51</f>
        <v>923 677 984</v>
      </c>
      <c r="O782" s="5" t="str">
        <f>'CyC-F11-F12'!H51</f>
        <v/>
      </c>
      <c r="P782" s="5" t="str">
        <f>'CyC-F11-F12'!I51</f>
        <v>X</v>
      </c>
      <c r="Q782" s="5">
        <f>'CyC-F11-F12'!J51</f>
        <v>100</v>
      </c>
      <c r="R782" s="5">
        <f>'CyC-F11-F12'!K51</f>
        <v>350</v>
      </c>
      <c r="S782" s="2" t="str">
        <f>'CyC-F11-F12'!L51</f>
        <v>COBR</v>
      </c>
      <c r="T782" s="2" t="str">
        <f>'CyC-F11-F12'!M51</f>
        <v>YAPE JL</v>
      </c>
      <c r="U782" s="34">
        <f>'CyC-F11-F12'!N51</f>
        <v>100</v>
      </c>
      <c r="V782" s="34">
        <f>'CyC-F11-F12'!O51</f>
        <v>350</v>
      </c>
      <c r="W782" s="2" t="str">
        <f>'CyC-F11-F12'!P51</f>
        <v>Yadhira</v>
      </c>
      <c r="X782" s="34">
        <f>'CyC-F11-F12'!Q51</f>
        <v>450</v>
      </c>
      <c r="Y782" s="1"/>
      <c r="Z782" s="1"/>
      <c r="AA782" s="1"/>
    </row>
    <row r="783">
      <c r="A783" s="1"/>
      <c r="B783" s="14">
        <f t="shared" si="14"/>
        <v>48</v>
      </c>
      <c r="C783" s="22" t="str">
        <f t="shared" si="1"/>
        <v>enero</v>
      </c>
      <c r="D783" s="22">
        <f t="shared" si="2"/>
        <v>3</v>
      </c>
      <c r="E783" s="23" t="str">
        <f t="shared" si="3"/>
        <v>viernes</v>
      </c>
      <c r="F783" s="22">
        <f t="shared" si="4"/>
        <v>16</v>
      </c>
      <c r="G783" s="22" t="s">
        <v>26</v>
      </c>
      <c r="H783" s="3" t="str">
        <f>'CyC-F11-F12'!$G$3</f>
        <v>CyC F9</v>
      </c>
      <c r="I783" s="24">
        <f>'CyC-F11-F12'!B52</f>
        <v>46038</v>
      </c>
      <c r="J783" s="2">
        <f>'CyC-F11-F12'!C52</f>
        <v>40369991</v>
      </c>
      <c r="K783" s="2" t="str">
        <f>'CyC-F11-F12'!D52</f>
        <v>Félix Uriarte Barranazuela</v>
      </c>
      <c r="L783" s="2" t="str">
        <f>'CyC-F11-F12'!E52</f>
        <v/>
      </c>
      <c r="M783" s="2" t="str">
        <f>'CyC-F11-F12'!F52</f>
        <v/>
      </c>
      <c r="N783" s="2" t="str">
        <f>'CyC-F11-F12'!G52</f>
        <v/>
      </c>
      <c r="O783" s="5" t="str">
        <f>'CyC-F11-F12'!H52</f>
        <v/>
      </c>
      <c r="P783" s="5" t="str">
        <f>'CyC-F11-F12'!I52</f>
        <v>x</v>
      </c>
      <c r="Q783" s="5">
        <f>'CyC-F11-F12'!J52</f>
        <v>100</v>
      </c>
      <c r="R783" s="5">
        <f>'CyC-F11-F12'!K52</f>
        <v>90</v>
      </c>
      <c r="S783" s="2" t="str">
        <f>'CyC-F11-F12'!L52</f>
        <v>COBR</v>
      </c>
      <c r="T783" s="2" t="str">
        <f>'CyC-F11-F12'!M52</f>
        <v>YAPE JL</v>
      </c>
      <c r="U783" s="34">
        <f>'CyC-F11-F12'!N52</f>
        <v>100</v>
      </c>
      <c r="V783" s="34">
        <f>'CyC-F11-F12'!O52</f>
        <v>90</v>
      </c>
      <c r="W783" s="2" t="str">
        <f>'CyC-F11-F12'!P52</f>
        <v>Katherine</v>
      </c>
      <c r="X783" s="34">
        <f>'CyC-F11-F12'!Q52</f>
        <v>190</v>
      </c>
      <c r="Y783" s="1"/>
      <c r="Z783" s="1"/>
      <c r="AA783" s="1"/>
    </row>
    <row r="784">
      <c r="A784" s="1"/>
      <c r="B784" s="14">
        <f t="shared" si="14"/>
        <v>49</v>
      </c>
      <c r="C784" s="22" t="str">
        <f t="shared" si="1"/>
        <v>enero</v>
      </c>
      <c r="D784" s="22">
        <f t="shared" si="2"/>
        <v>3</v>
      </c>
      <c r="E784" s="23" t="str">
        <f t="shared" si="3"/>
        <v>sábado</v>
      </c>
      <c r="F784" s="22">
        <f t="shared" si="4"/>
        <v>17</v>
      </c>
      <c r="G784" s="22" t="s">
        <v>26</v>
      </c>
      <c r="H784" s="3" t="str">
        <f>'CyC-F11-F12'!$G$3</f>
        <v>CyC F9</v>
      </c>
      <c r="I784" s="24">
        <f>'CyC-F11-F12'!B53</f>
        <v>46039</v>
      </c>
      <c r="J784" s="2">
        <f>'CyC-F11-F12'!C53</f>
        <v>74551908</v>
      </c>
      <c r="K784" s="2" t="str">
        <f>'CyC-F11-F12'!D53</f>
        <v>Linda Aponte Huaman </v>
      </c>
      <c r="L784" s="2" t="str">
        <f>'CyC-F11-F12'!E53</f>
        <v>Leydi359aponte@gmail.com</v>
      </c>
      <c r="M784" s="2" t="str">
        <f>'CyC-F11-F12'!F53</f>
        <v>HUACHO</v>
      </c>
      <c r="N784" s="2" t="str">
        <f>'CyC-F11-F12'!G53</f>
        <v/>
      </c>
      <c r="O784" s="5" t="str">
        <f>'CyC-F11-F12'!H53</f>
        <v/>
      </c>
      <c r="P784" s="5" t="str">
        <f>'CyC-F11-F12'!I53</f>
        <v>X</v>
      </c>
      <c r="Q784" s="5">
        <f>'CyC-F11-F12'!J53</f>
        <v>180</v>
      </c>
      <c r="R784" s="5" t="str">
        <f>'CyC-F11-F12'!K53</f>
        <v/>
      </c>
      <c r="S784" s="2" t="str">
        <f>'CyC-F11-F12'!L53</f>
        <v>PAGO</v>
      </c>
      <c r="T784" s="2" t="str">
        <f>'CyC-F11-F12'!M53</f>
        <v>YAPE JL</v>
      </c>
      <c r="U784" s="34">
        <f>'CyC-F11-F12'!N53</f>
        <v>180</v>
      </c>
      <c r="V784" s="34" t="str">
        <f>'CyC-F11-F12'!O53</f>
        <v/>
      </c>
      <c r="W784" s="2" t="str">
        <f>'CyC-F11-F12'!P53</f>
        <v>Yadhira</v>
      </c>
      <c r="X784" s="34">
        <f>'CyC-F11-F12'!Q53</f>
        <v>180</v>
      </c>
      <c r="Y784" s="1"/>
      <c r="Z784" s="1"/>
      <c r="AA784" s="1"/>
    </row>
    <row r="785">
      <c r="A785" s="1"/>
      <c r="B785" s="14">
        <f t="shared" si="14"/>
        <v>50</v>
      </c>
      <c r="C785" s="22" t="str">
        <f t="shared" si="1"/>
        <v>enero</v>
      </c>
      <c r="D785" s="22">
        <f t="shared" si="2"/>
        <v>3</v>
      </c>
      <c r="E785" s="23" t="str">
        <f t="shared" si="3"/>
        <v>sábado</v>
      </c>
      <c r="F785" s="22">
        <f t="shared" si="4"/>
        <v>17</v>
      </c>
      <c r="G785" s="22" t="s">
        <v>26</v>
      </c>
      <c r="H785" s="3" t="str">
        <f>'CyC-F11-F12'!$G$3</f>
        <v>CyC F9</v>
      </c>
      <c r="I785" s="24">
        <f>'CyC-F11-F12'!B54</f>
        <v>46039</v>
      </c>
      <c r="J785" s="2">
        <f>'CyC-F11-F12'!C54</f>
        <v>41831539</v>
      </c>
      <c r="K785" s="2" t="str">
        <f>'CyC-F11-F12'!D54</f>
        <v>Deysi Quezada Trujillo</v>
      </c>
      <c r="L785" s="27" t="str">
        <f>'CyC-F11-F12'!E54</f>
        <v>Luimertaboada@gmail.com</v>
      </c>
      <c r="M785" s="2" t="str">
        <f>'CyC-F11-F12'!F54</f>
        <v>San Juan de Miraflores</v>
      </c>
      <c r="N785" s="2" t="str">
        <f>'CyC-F11-F12'!G54</f>
        <v>933 357 463</v>
      </c>
      <c r="O785" s="5" t="str">
        <f>'CyC-F11-F12'!H54</f>
        <v/>
      </c>
      <c r="P785" s="5" t="str">
        <f>'CyC-F11-F12'!I54</f>
        <v>X</v>
      </c>
      <c r="Q785" s="5">
        <f>'CyC-F11-F12'!J54</f>
        <v>190</v>
      </c>
      <c r="R785" s="5" t="str">
        <f>'CyC-F11-F12'!K54</f>
        <v/>
      </c>
      <c r="S785" s="2" t="str">
        <f>'CyC-F11-F12'!L54</f>
        <v>PAGO</v>
      </c>
      <c r="T785" s="2" t="str">
        <f>'CyC-F11-F12'!M54</f>
        <v>YAPE JL</v>
      </c>
      <c r="U785" s="34">
        <f>'CyC-F11-F12'!N54</f>
        <v>190</v>
      </c>
      <c r="V785" s="34" t="str">
        <f>'CyC-F11-F12'!O54</f>
        <v/>
      </c>
      <c r="W785" s="2" t="str">
        <f>'CyC-F11-F12'!P54</f>
        <v>Tania</v>
      </c>
      <c r="X785" s="34">
        <f>'CyC-F11-F12'!Q54</f>
        <v>190</v>
      </c>
      <c r="Y785" s="1"/>
      <c r="Z785" s="1"/>
      <c r="AA785" s="1"/>
    </row>
    <row r="786">
      <c r="A786" s="1"/>
      <c r="B786" s="14">
        <f t="shared" si="14"/>
        <v>51</v>
      </c>
      <c r="C786" s="22" t="str">
        <f t="shared" si="1"/>
        <v>diciembre</v>
      </c>
      <c r="D786" s="22">
        <f t="shared" si="2"/>
        <v>52</v>
      </c>
      <c r="E786" s="23" t="str">
        <f t="shared" si="3"/>
        <v>sábado</v>
      </c>
      <c r="F786" s="22">
        <f t="shared" si="4"/>
        <v>30</v>
      </c>
      <c r="G786" s="22" t="s">
        <v>26</v>
      </c>
      <c r="H786" s="3" t="str">
        <f>'CyC-F11-F12'!$G$3</f>
        <v>CyC F9</v>
      </c>
      <c r="I786" s="24" t="str">
        <f>'CyC-F11-F12'!B55</f>
        <v/>
      </c>
      <c r="J786" s="2" t="str">
        <f>'CyC-F11-F12'!C55</f>
        <v/>
      </c>
      <c r="K786" s="2" t="str">
        <f>'CyC-F11-F12'!D55</f>
        <v/>
      </c>
      <c r="L786" s="2" t="str">
        <f>'CyC-F11-F12'!E55</f>
        <v/>
      </c>
      <c r="M786" s="2" t="str">
        <f>'CyC-F11-F12'!F55</f>
        <v/>
      </c>
      <c r="N786" s="2" t="str">
        <f>'CyC-F11-F12'!G55</f>
        <v/>
      </c>
      <c r="O786" s="5" t="str">
        <f>'CyC-F11-F12'!H55</f>
        <v/>
      </c>
      <c r="P786" s="5" t="str">
        <f>'CyC-F11-F12'!I55</f>
        <v/>
      </c>
      <c r="Q786" s="5" t="str">
        <f>'CyC-F11-F12'!J55</f>
        <v/>
      </c>
      <c r="R786" s="5" t="str">
        <f>'CyC-F11-F12'!K55</f>
        <v/>
      </c>
      <c r="S786" s="2" t="str">
        <f>'CyC-F11-F12'!L55</f>
        <v/>
      </c>
      <c r="T786" s="2" t="str">
        <f>'CyC-F11-F12'!M55</f>
        <v/>
      </c>
      <c r="U786" s="34" t="str">
        <f>'CyC-F11-F12'!N55</f>
        <v/>
      </c>
      <c r="V786" s="34" t="str">
        <f>'CyC-F11-F12'!O55</f>
        <v/>
      </c>
      <c r="W786" s="2" t="str">
        <f>'CyC-F11-F12'!P55</f>
        <v/>
      </c>
      <c r="X786" s="34">
        <f>'CyC-F11-F12'!Q55</f>
        <v>0</v>
      </c>
      <c r="Y786" s="1"/>
      <c r="Z786" s="1"/>
      <c r="AA786" s="1"/>
    </row>
    <row r="787">
      <c r="A787" s="1"/>
      <c r="B787" s="14">
        <f t="shared" si="14"/>
        <v>52</v>
      </c>
      <c r="C787" s="22" t="str">
        <f t="shared" si="1"/>
        <v>diciembre</v>
      </c>
      <c r="D787" s="22">
        <f t="shared" si="2"/>
        <v>52</v>
      </c>
      <c r="E787" s="23" t="str">
        <f t="shared" si="3"/>
        <v>sábado</v>
      </c>
      <c r="F787" s="22">
        <f t="shared" si="4"/>
        <v>30</v>
      </c>
      <c r="G787" s="22" t="s">
        <v>26</v>
      </c>
      <c r="H787" s="3" t="str">
        <f>'CyC-F11-F12'!$G$3</f>
        <v>CyC F9</v>
      </c>
      <c r="I787" s="24" t="str">
        <f>'CyC-F11-F12'!B56</f>
        <v/>
      </c>
      <c r="J787" s="2" t="str">
        <f>'CyC-F11-F12'!C56</f>
        <v/>
      </c>
      <c r="K787" s="2" t="str">
        <f>'CyC-F11-F12'!D56</f>
        <v/>
      </c>
      <c r="L787" s="2" t="str">
        <f>'CyC-F11-F12'!E56</f>
        <v/>
      </c>
      <c r="M787" s="2" t="str">
        <f>'CyC-F11-F12'!F56</f>
        <v/>
      </c>
      <c r="N787" s="2" t="str">
        <f>'CyC-F11-F12'!G56</f>
        <v/>
      </c>
      <c r="O787" s="5" t="str">
        <f>'CyC-F11-F12'!H56</f>
        <v/>
      </c>
      <c r="P787" s="5" t="str">
        <f>'CyC-F11-F12'!I56</f>
        <v/>
      </c>
      <c r="Q787" s="5" t="str">
        <f>'CyC-F11-F12'!J56</f>
        <v/>
      </c>
      <c r="R787" s="5" t="str">
        <f>'CyC-F11-F12'!K56</f>
        <v/>
      </c>
      <c r="S787" s="2" t="str">
        <f>'CyC-F11-F12'!L56</f>
        <v/>
      </c>
      <c r="T787" s="2" t="str">
        <f>'CyC-F11-F12'!M56</f>
        <v/>
      </c>
      <c r="U787" s="34" t="str">
        <f>'CyC-F11-F12'!N56</f>
        <v/>
      </c>
      <c r="V787" s="34" t="str">
        <f>'CyC-F11-F12'!O56</f>
        <v/>
      </c>
      <c r="W787" s="2" t="str">
        <f>'CyC-F11-F12'!P56</f>
        <v/>
      </c>
      <c r="X787" s="34">
        <f>'CyC-F11-F12'!Q56</f>
        <v>0</v>
      </c>
      <c r="Y787" s="1"/>
      <c r="Z787" s="1"/>
      <c r="AA787" s="1"/>
    </row>
    <row r="788">
      <c r="A788" s="1"/>
      <c r="B788" s="14">
        <f t="shared" si="14"/>
        <v>53</v>
      </c>
      <c r="C788" s="22" t="str">
        <f t="shared" si="1"/>
        <v>diciembre</v>
      </c>
      <c r="D788" s="22">
        <f t="shared" si="2"/>
        <v>52</v>
      </c>
      <c r="E788" s="23" t="str">
        <f t="shared" si="3"/>
        <v>sábado</v>
      </c>
      <c r="F788" s="22">
        <f t="shared" si="4"/>
        <v>30</v>
      </c>
      <c r="G788" s="22" t="s">
        <v>26</v>
      </c>
      <c r="H788" s="3" t="str">
        <f>'CyC-F11-F12'!$G$3</f>
        <v>CyC F9</v>
      </c>
      <c r="I788" s="24" t="str">
        <f>'CyC-F11-F12'!B57</f>
        <v/>
      </c>
      <c r="J788" s="2" t="str">
        <f>'CyC-F11-F12'!C57</f>
        <v/>
      </c>
      <c r="K788" s="2" t="str">
        <f>'CyC-F11-F12'!D57</f>
        <v/>
      </c>
      <c r="L788" s="2" t="str">
        <f>'CyC-F11-F12'!E57</f>
        <v/>
      </c>
      <c r="M788" s="2" t="str">
        <f>'CyC-F11-F12'!F57</f>
        <v/>
      </c>
      <c r="N788" s="2" t="str">
        <f>'CyC-F11-F12'!G57</f>
        <v/>
      </c>
      <c r="O788" s="5" t="str">
        <f>'CyC-F11-F12'!H57</f>
        <v/>
      </c>
      <c r="P788" s="5" t="str">
        <f>'CyC-F11-F12'!I57</f>
        <v/>
      </c>
      <c r="Q788" s="5" t="str">
        <f>'CyC-F11-F12'!J57</f>
        <v/>
      </c>
      <c r="R788" s="5" t="str">
        <f>'CyC-F11-F12'!K57</f>
        <v/>
      </c>
      <c r="S788" s="2" t="str">
        <f>'CyC-F11-F12'!L57</f>
        <v/>
      </c>
      <c r="T788" s="2" t="str">
        <f>'CyC-F11-F12'!M57</f>
        <v/>
      </c>
      <c r="U788" s="34" t="str">
        <f>'CyC-F11-F12'!N57</f>
        <v/>
      </c>
      <c r="V788" s="34" t="str">
        <f>'CyC-F11-F12'!O57</f>
        <v/>
      </c>
      <c r="W788" s="2" t="str">
        <f>'CyC-F11-F12'!P57</f>
        <v/>
      </c>
      <c r="X788" s="34">
        <f>'CyC-F11-F12'!Q57</f>
        <v>0</v>
      </c>
      <c r="Y788" s="1"/>
      <c r="Z788" s="1"/>
      <c r="AA788" s="1"/>
    </row>
    <row r="789">
      <c r="A789" s="1"/>
      <c r="B789" s="14">
        <f t="shared" si="14"/>
        <v>54</v>
      </c>
      <c r="C789" s="22" t="str">
        <f t="shared" si="1"/>
        <v>diciembre</v>
      </c>
      <c r="D789" s="22">
        <f t="shared" si="2"/>
        <v>52</v>
      </c>
      <c r="E789" s="23" t="str">
        <f t="shared" si="3"/>
        <v>sábado</v>
      </c>
      <c r="F789" s="22">
        <f t="shared" si="4"/>
        <v>30</v>
      </c>
      <c r="G789" s="22" t="s">
        <v>26</v>
      </c>
      <c r="H789" s="3" t="str">
        <f>'CyC-F11-F12'!$G$3</f>
        <v>CyC F9</v>
      </c>
      <c r="I789" s="24" t="str">
        <f>'CyC-F11-F12'!B58</f>
        <v/>
      </c>
      <c r="J789" s="2" t="str">
        <f>'CyC-F11-F12'!C58</f>
        <v/>
      </c>
      <c r="K789" s="2" t="str">
        <f>'CyC-F11-F12'!D58</f>
        <v/>
      </c>
      <c r="L789" s="2" t="str">
        <f>'CyC-F11-F12'!E58</f>
        <v/>
      </c>
      <c r="M789" s="2" t="str">
        <f>'CyC-F11-F12'!F58</f>
        <v/>
      </c>
      <c r="N789" s="2" t="str">
        <f>'CyC-F11-F12'!G58</f>
        <v/>
      </c>
      <c r="O789" s="5" t="str">
        <f>'CyC-F11-F12'!H58</f>
        <v/>
      </c>
      <c r="P789" s="5" t="str">
        <f>'CyC-F11-F12'!I58</f>
        <v/>
      </c>
      <c r="Q789" s="5" t="str">
        <f>'CyC-F11-F12'!J58</f>
        <v/>
      </c>
      <c r="R789" s="5" t="str">
        <f>'CyC-F11-F12'!K58</f>
        <v/>
      </c>
      <c r="S789" s="2" t="str">
        <f>'CyC-F11-F12'!L58</f>
        <v/>
      </c>
      <c r="T789" s="2" t="str">
        <f>'CyC-F11-F12'!M58</f>
        <v/>
      </c>
      <c r="U789" s="34" t="str">
        <f>'CyC-F11-F12'!N58</f>
        <v/>
      </c>
      <c r="V789" s="34" t="str">
        <f>'CyC-F11-F12'!O58</f>
        <v/>
      </c>
      <c r="W789" s="2" t="str">
        <f>'CyC-F11-F12'!P58</f>
        <v/>
      </c>
      <c r="X789" s="34">
        <f>'CyC-F11-F12'!Q58</f>
        <v>0</v>
      </c>
      <c r="Y789" s="1"/>
      <c r="Z789" s="1"/>
      <c r="AA789" s="1"/>
    </row>
    <row r="790">
      <c r="A790" s="1"/>
      <c r="B790" s="14">
        <f t="shared" si="14"/>
        <v>55</v>
      </c>
      <c r="C790" s="22" t="str">
        <f t="shared" si="1"/>
        <v>diciembre</v>
      </c>
      <c r="D790" s="22">
        <f t="shared" si="2"/>
        <v>52</v>
      </c>
      <c r="E790" s="23" t="str">
        <f t="shared" si="3"/>
        <v>sábado</v>
      </c>
      <c r="F790" s="22">
        <f t="shared" si="4"/>
        <v>30</v>
      </c>
      <c r="G790" s="22" t="s">
        <v>26</v>
      </c>
      <c r="H790" s="3" t="str">
        <f>'CyC-F11-F12'!$G$3</f>
        <v>CyC F9</v>
      </c>
      <c r="I790" s="24" t="str">
        <f>'CyC-F11-F12'!B59</f>
        <v/>
      </c>
      <c r="J790" s="2" t="str">
        <f>'CyC-F11-F12'!C59</f>
        <v/>
      </c>
      <c r="K790" s="2" t="str">
        <f>'CyC-F11-F12'!D59</f>
        <v/>
      </c>
      <c r="L790" s="2" t="str">
        <f>'CyC-F11-F12'!E59</f>
        <v/>
      </c>
      <c r="M790" s="2" t="str">
        <f>'CyC-F11-F12'!F59</f>
        <v/>
      </c>
      <c r="N790" s="2" t="str">
        <f>'CyC-F11-F12'!G59</f>
        <v/>
      </c>
      <c r="O790" s="5" t="str">
        <f>'CyC-F11-F12'!H59</f>
        <v/>
      </c>
      <c r="P790" s="5" t="str">
        <f>'CyC-F11-F12'!I59</f>
        <v/>
      </c>
      <c r="Q790" s="5" t="str">
        <f>'CyC-F11-F12'!J59</f>
        <v/>
      </c>
      <c r="R790" s="5" t="str">
        <f>'CyC-F11-F12'!K59</f>
        <v/>
      </c>
      <c r="S790" s="2" t="str">
        <f>'CyC-F11-F12'!L59</f>
        <v/>
      </c>
      <c r="T790" s="2" t="str">
        <f>'CyC-F11-F12'!M59</f>
        <v/>
      </c>
      <c r="U790" s="34" t="str">
        <f>'CyC-F11-F12'!N59</f>
        <v/>
      </c>
      <c r="V790" s="34" t="str">
        <f>'CyC-F11-F12'!O59</f>
        <v/>
      </c>
      <c r="W790" s="2" t="str">
        <f>'CyC-F11-F12'!P59</f>
        <v/>
      </c>
      <c r="X790" s="34">
        <f>'CyC-F11-F12'!Q59</f>
        <v>0</v>
      </c>
      <c r="Y790" s="1"/>
      <c r="Z790" s="1"/>
      <c r="AA790" s="1"/>
    </row>
    <row r="791">
      <c r="A791" s="1"/>
      <c r="B791" s="14">
        <f t="shared" si="14"/>
        <v>56</v>
      </c>
      <c r="C791" s="22" t="str">
        <f t="shared" si="1"/>
        <v>diciembre</v>
      </c>
      <c r="D791" s="22">
        <f t="shared" si="2"/>
        <v>52</v>
      </c>
      <c r="E791" s="23" t="str">
        <f t="shared" si="3"/>
        <v>sábado</v>
      </c>
      <c r="F791" s="22">
        <f t="shared" si="4"/>
        <v>30</v>
      </c>
      <c r="G791" s="22" t="s">
        <v>26</v>
      </c>
      <c r="H791" s="3" t="str">
        <f>'CyC-F11-F12'!$G$3</f>
        <v>CyC F9</v>
      </c>
      <c r="I791" s="24" t="str">
        <f>'CyC-F11-F12'!B60</f>
        <v/>
      </c>
      <c r="J791" s="2" t="str">
        <f>'CyC-F11-F12'!C60</f>
        <v/>
      </c>
      <c r="K791" s="2" t="str">
        <f>'CyC-F11-F12'!D60</f>
        <v/>
      </c>
      <c r="L791" s="2" t="str">
        <f>'CyC-F11-F12'!E60</f>
        <v/>
      </c>
      <c r="M791" s="2" t="str">
        <f>'CyC-F11-F12'!F60</f>
        <v/>
      </c>
      <c r="N791" s="2" t="str">
        <f>'CyC-F11-F12'!G60</f>
        <v/>
      </c>
      <c r="O791" s="5" t="str">
        <f>'CyC-F11-F12'!H60</f>
        <v/>
      </c>
      <c r="P791" s="5" t="str">
        <f>'CyC-F11-F12'!I60</f>
        <v/>
      </c>
      <c r="Q791" s="5" t="str">
        <f>'CyC-F11-F12'!J60</f>
        <v/>
      </c>
      <c r="R791" s="5" t="str">
        <f>'CyC-F11-F12'!K60</f>
        <v/>
      </c>
      <c r="S791" s="2" t="str">
        <f>'CyC-F11-F12'!L60</f>
        <v/>
      </c>
      <c r="T791" s="2" t="str">
        <f>'CyC-F11-F12'!M60</f>
        <v/>
      </c>
      <c r="U791" s="34" t="str">
        <f>'CyC-F11-F12'!N60</f>
        <v/>
      </c>
      <c r="V791" s="34" t="str">
        <f>'CyC-F11-F12'!O60</f>
        <v/>
      </c>
      <c r="W791" s="2" t="str">
        <f>'CyC-F11-F12'!P60</f>
        <v/>
      </c>
      <c r="X791" s="34">
        <f>'CyC-F11-F12'!Q60</f>
        <v>0</v>
      </c>
      <c r="Y791" s="1"/>
      <c r="Z791" s="1"/>
      <c r="AA791" s="1"/>
    </row>
    <row r="792">
      <c r="A792" s="1"/>
      <c r="B792" s="14">
        <f t="shared" si="14"/>
        <v>57</v>
      </c>
      <c r="C792" s="22" t="str">
        <f t="shared" si="1"/>
        <v>diciembre</v>
      </c>
      <c r="D792" s="22">
        <f t="shared" si="2"/>
        <v>52</v>
      </c>
      <c r="E792" s="23" t="str">
        <f t="shared" si="3"/>
        <v>sábado</v>
      </c>
      <c r="F792" s="22">
        <f t="shared" si="4"/>
        <v>30</v>
      </c>
      <c r="G792" s="22" t="s">
        <v>26</v>
      </c>
      <c r="H792" s="3" t="str">
        <f>'CyC-F11-F12'!$G$3</f>
        <v>CyC F9</v>
      </c>
      <c r="I792" s="24" t="str">
        <f>'CyC-F11-F12'!B61</f>
        <v/>
      </c>
      <c r="J792" s="2" t="str">
        <f>'CyC-F11-F12'!C61</f>
        <v/>
      </c>
      <c r="K792" s="2" t="str">
        <f>'CyC-F11-F12'!D61</f>
        <v/>
      </c>
      <c r="L792" s="2" t="str">
        <f>'CyC-F11-F12'!E61</f>
        <v/>
      </c>
      <c r="M792" s="2" t="str">
        <f>'CyC-F11-F12'!F61</f>
        <v/>
      </c>
      <c r="N792" s="2" t="str">
        <f>'CyC-F11-F12'!G61</f>
        <v/>
      </c>
      <c r="O792" s="5" t="str">
        <f>'CyC-F11-F12'!H61</f>
        <v/>
      </c>
      <c r="P792" s="5" t="str">
        <f>'CyC-F11-F12'!I61</f>
        <v/>
      </c>
      <c r="Q792" s="5" t="str">
        <f>'CyC-F11-F12'!J61</f>
        <v/>
      </c>
      <c r="R792" s="5" t="str">
        <f>'CyC-F11-F12'!K61</f>
        <v/>
      </c>
      <c r="S792" s="2" t="str">
        <f>'CyC-F11-F12'!L61</f>
        <v/>
      </c>
      <c r="T792" s="2" t="str">
        <f>'CyC-F11-F12'!M61</f>
        <v/>
      </c>
      <c r="U792" s="34" t="str">
        <f>'CyC-F11-F12'!N61</f>
        <v/>
      </c>
      <c r="V792" s="34" t="str">
        <f>'CyC-F11-F12'!O61</f>
        <v/>
      </c>
      <c r="W792" s="2" t="str">
        <f>'CyC-F11-F12'!P61</f>
        <v/>
      </c>
      <c r="X792" s="34">
        <f>'CyC-F11-F12'!Q61</f>
        <v>0</v>
      </c>
      <c r="Y792" s="1"/>
      <c r="Z792" s="1"/>
      <c r="AA792" s="1"/>
    </row>
    <row r="793">
      <c r="A793" s="1"/>
      <c r="B793" s="14">
        <f t="shared" si="14"/>
        <v>58</v>
      </c>
      <c r="C793" s="22" t="str">
        <f t="shared" si="1"/>
        <v>diciembre</v>
      </c>
      <c r="D793" s="22">
        <f t="shared" si="2"/>
        <v>52</v>
      </c>
      <c r="E793" s="23" t="str">
        <f t="shared" si="3"/>
        <v>sábado</v>
      </c>
      <c r="F793" s="22">
        <f t="shared" si="4"/>
        <v>30</v>
      </c>
      <c r="G793" s="22" t="s">
        <v>26</v>
      </c>
      <c r="H793" s="3" t="str">
        <f>'CyC-F11-F12'!$G$3</f>
        <v>CyC F9</v>
      </c>
      <c r="I793" s="24" t="str">
        <f>'CyC-F11-F12'!B62</f>
        <v/>
      </c>
      <c r="J793" s="2" t="str">
        <f>'CyC-F11-F12'!C62</f>
        <v/>
      </c>
      <c r="K793" s="2" t="str">
        <f>'CyC-F11-F12'!D62</f>
        <v/>
      </c>
      <c r="L793" s="2" t="str">
        <f>'CyC-F11-F12'!E62</f>
        <v/>
      </c>
      <c r="M793" s="2" t="str">
        <f>'CyC-F11-F12'!F62</f>
        <v/>
      </c>
      <c r="N793" s="2" t="str">
        <f>'CyC-F11-F12'!G62</f>
        <v/>
      </c>
      <c r="O793" s="2" t="str">
        <f>'CyC-F11-F12'!H62</f>
        <v/>
      </c>
      <c r="P793" s="2" t="str">
        <f>'CyC-F11-F12'!I62</f>
        <v/>
      </c>
      <c r="Q793" s="2" t="str">
        <f>'CyC-F11-F12'!J62</f>
        <v/>
      </c>
      <c r="R793" s="2" t="str">
        <f>'CyC-F11-F12'!K62</f>
        <v/>
      </c>
      <c r="S793" s="2" t="str">
        <f>'CyC-F11-F12'!L62</f>
        <v/>
      </c>
      <c r="T793" s="2" t="str">
        <f>'CyC-F11-F12'!M62</f>
        <v/>
      </c>
      <c r="U793" s="2" t="str">
        <f>'CyC-F11-F12'!N62</f>
        <v/>
      </c>
      <c r="V793" s="2" t="str">
        <f>'CyC-F11-F12'!O62</f>
        <v/>
      </c>
      <c r="W793" s="2" t="str">
        <f>'CyC-F11-F12'!P62</f>
        <v/>
      </c>
      <c r="X793" s="34">
        <f>'CyC-F11-F12'!Q62</f>
        <v>0</v>
      </c>
      <c r="Y793" s="1"/>
      <c r="Z793" s="1"/>
      <c r="AA793" s="1"/>
    </row>
    <row r="794">
      <c r="A794" s="1"/>
      <c r="B794" s="14">
        <f t="shared" si="14"/>
        <v>59</v>
      </c>
      <c r="C794" s="22" t="str">
        <f t="shared" si="1"/>
        <v>diciembre</v>
      </c>
      <c r="D794" s="22">
        <f t="shared" si="2"/>
        <v>52</v>
      </c>
      <c r="E794" s="23" t="str">
        <f t="shared" si="3"/>
        <v>sábado</v>
      </c>
      <c r="F794" s="22">
        <f t="shared" si="4"/>
        <v>30</v>
      </c>
      <c r="G794" s="22" t="s">
        <v>26</v>
      </c>
      <c r="H794" s="3" t="str">
        <f>'CyC-F11-F12'!$G$3</f>
        <v>CyC F9</v>
      </c>
      <c r="I794" s="24" t="str">
        <f>'CyC-F11-F12'!B63</f>
        <v/>
      </c>
      <c r="J794" s="2" t="str">
        <f>'CyC-F11-F12'!C63</f>
        <v/>
      </c>
      <c r="K794" s="2" t="str">
        <f>'CyC-F11-F12'!D63</f>
        <v/>
      </c>
      <c r="L794" s="2" t="str">
        <f>'CyC-F11-F12'!E63</f>
        <v/>
      </c>
      <c r="M794" s="2" t="str">
        <f>'CyC-F11-F12'!F63</f>
        <v/>
      </c>
      <c r="N794" s="2" t="str">
        <f>'CyC-F11-F12'!G63</f>
        <v/>
      </c>
      <c r="O794" s="5" t="str">
        <f>'CyC-F11-F12'!H63</f>
        <v/>
      </c>
      <c r="P794" s="5" t="str">
        <f>'CyC-F11-F12'!I63</f>
        <v/>
      </c>
      <c r="Q794" s="5" t="str">
        <f>'CyC-F11-F12'!J63</f>
        <v/>
      </c>
      <c r="R794" s="5" t="str">
        <f>'CyC-F11-F12'!K63</f>
        <v/>
      </c>
      <c r="S794" s="2" t="str">
        <f>'CyC-F11-F12'!L63</f>
        <v/>
      </c>
      <c r="T794" s="2" t="str">
        <f>'CyC-F11-F12'!M63</f>
        <v/>
      </c>
      <c r="U794" s="34" t="str">
        <f>'CyC-F11-F12'!N63</f>
        <v/>
      </c>
      <c r="V794" s="34" t="str">
        <f>'CyC-F11-F12'!O63</f>
        <v/>
      </c>
      <c r="W794" s="2" t="str">
        <f>'CyC-F11-F12'!P63</f>
        <v/>
      </c>
      <c r="X794" s="34">
        <f>'CyC-F11-F12'!Q63</f>
        <v>0</v>
      </c>
      <c r="Y794" s="1"/>
      <c r="Z794" s="1"/>
      <c r="AA794" s="1"/>
    </row>
    <row r="795">
      <c r="A795" s="1"/>
      <c r="B795" s="14">
        <f t="shared" si="14"/>
        <v>60</v>
      </c>
      <c r="C795" s="22" t="str">
        <f t="shared" si="1"/>
        <v>diciembre</v>
      </c>
      <c r="D795" s="22">
        <f t="shared" si="2"/>
        <v>52</v>
      </c>
      <c r="E795" s="23" t="str">
        <f t="shared" si="3"/>
        <v>sábado</v>
      </c>
      <c r="F795" s="22">
        <f t="shared" si="4"/>
        <v>30</v>
      </c>
      <c r="G795" s="22" t="s">
        <v>26</v>
      </c>
      <c r="H795" s="3" t="str">
        <f>'CyC-F11-F12'!$G$3</f>
        <v>CyC F9</v>
      </c>
      <c r="I795" s="24" t="str">
        <f>'CyC-F11-F12'!B64</f>
        <v/>
      </c>
      <c r="J795" s="2" t="str">
        <f>'CyC-F11-F12'!C64</f>
        <v/>
      </c>
      <c r="K795" s="2" t="str">
        <f>'CyC-F11-F12'!D64</f>
        <v/>
      </c>
      <c r="L795" s="2" t="str">
        <f>'CyC-F11-F12'!E64</f>
        <v/>
      </c>
      <c r="M795" s="2" t="str">
        <f>'CyC-F11-F12'!F64</f>
        <v/>
      </c>
      <c r="N795" s="2" t="str">
        <f>'CyC-F11-F12'!G64</f>
        <v/>
      </c>
      <c r="O795" s="5" t="str">
        <f>'CyC-F11-F12'!H64</f>
        <v/>
      </c>
      <c r="P795" s="5" t="str">
        <f>'CyC-F11-F12'!I64</f>
        <v/>
      </c>
      <c r="Q795" s="5" t="str">
        <f>'CyC-F11-F12'!J64</f>
        <v/>
      </c>
      <c r="R795" s="5" t="str">
        <f>'CyC-F11-F12'!K64</f>
        <v/>
      </c>
      <c r="S795" s="2" t="str">
        <f>'CyC-F11-F12'!L64</f>
        <v/>
      </c>
      <c r="T795" s="2" t="str">
        <f>'CyC-F11-F12'!M64</f>
        <v/>
      </c>
      <c r="U795" s="34" t="str">
        <f>'CyC-F11-F12'!N64</f>
        <v/>
      </c>
      <c r="V795" s="34" t="str">
        <f>'CyC-F11-F12'!O64</f>
        <v/>
      </c>
      <c r="W795" s="2" t="str">
        <f>'CyC-F11-F12'!P64</f>
        <v/>
      </c>
      <c r="X795" s="34">
        <f>'CyC-F11-F12'!Q64</f>
        <v>0</v>
      </c>
      <c r="Y795" s="1"/>
      <c r="Z795" s="1"/>
      <c r="AA795" s="1"/>
    </row>
    <row r="796">
      <c r="A796" s="1"/>
      <c r="B796" s="14">
        <f t="shared" si="14"/>
        <v>61</v>
      </c>
      <c r="C796" s="22" t="str">
        <f t="shared" si="1"/>
        <v>diciembre</v>
      </c>
      <c r="D796" s="22">
        <f t="shared" si="2"/>
        <v>52</v>
      </c>
      <c r="E796" s="23" t="str">
        <f t="shared" si="3"/>
        <v>sábado</v>
      </c>
      <c r="F796" s="22">
        <f t="shared" si="4"/>
        <v>30</v>
      </c>
      <c r="G796" s="22" t="s">
        <v>26</v>
      </c>
      <c r="H796" s="3" t="str">
        <f>'CyC-F11-F12'!$G$3</f>
        <v>CyC F9</v>
      </c>
      <c r="I796" s="24" t="str">
        <f>'CyC-F11-F12'!B65</f>
        <v/>
      </c>
      <c r="J796" s="2" t="str">
        <f>'CyC-F11-F12'!C65</f>
        <v/>
      </c>
      <c r="K796" s="2" t="str">
        <f>'CyC-F11-F12'!D65</f>
        <v/>
      </c>
      <c r="L796" s="2" t="str">
        <f>'CyC-F11-F12'!E65</f>
        <v/>
      </c>
      <c r="M796" s="2" t="str">
        <f>'CyC-F11-F12'!F65</f>
        <v/>
      </c>
      <c r="N796" s="2" t="str">
        <f>'CyC-F11-F12'!G65</f>
        <v/>
      </c>
      <c r="O796" s="5" t="str">
        <f>'CyC-F11-F12'!H65</f>
        <v/>
      </c>
      <c r="P796" s="5" t="str">
        <f>'CyC-F11-F12'!I65</f>
        <v/>
      </c>
      <c r="Q796" s="5" t="str">
        <f>'CyC-F11-F12'!J65</f>
        <v/>
      </c>
      <c r="R796" s="5" t="str">
        <f>'CyC-F11-F12'!K65</f>
        <v/>
      </c>
      <c r="S796" s="2" t="str">
        <f>'CyC-F11-F12'!L65</f>
        <v/>
      </c>
      <c r="T796" s="2" t="str">
        <f>'CyC-F11-F12'!M65</f>
        <v/>
      </c>
      <c r="U796" s="34" t="str">
        <f>'CyC-F11-F12'!N65</f>
        <v/>
      </c>
      <c r="V796" s="34" t="str">
        <f>'CyC-F11-F12'!O65</f>
        <v/>
      </c>
      <c r="W796" s="2" t="str">
        <f>'CyC-F11-F12'!P65</f>
        <v/>
      </c>
      <c r="X796" s="34">
        <f>'CyC-F11-F12'!Q65</f>
        <v>0</v>
      </c>
      <c r="Y796" s="1"/>
      <c r="Z796" s="1"/>
      <c r="AA796" s="1"/>
    </row>
    <row r="797">
      <c r="A797" s="1"/>
      <c r="B797" s="14">
        <f t="shared" si="14"/>
        <v>62</v>
      </c>
      <c r="C797" s="22" t="str">
        <f t="shared" si="1"/>
        <v>diciembre</v>
      </c>
      <c r="D797" s="22">
        <f t="shared" si="2"/>
        <v>52</v>
      </c>
      <c r="E797" s="23" t="str">
        <f t="shared" si="3"/>
        <v>sábado</v>
      </c>
      <c r="F797" s="22">
        <f t="shared" si="4"/>
        <v>30</v>
      </c>
      <c r="G797" s="22" t="s">
        <v>26</v>
      </c>
      <c r="H797" s="3" t="str">
        <f>'CyC-F11-F12'!$G$3</f>
        <v>CyC F9</v>
      </c>
      <c r="I797" s="24" t="str">
        <f>'CyC-F11-F12'!B66</f>
        <v/>
      </c>
      <c r="J797" s="2" t="str">
        <f>'CyC-F11-F12'!C66</f>
        <v/>
      </c>
      <c r="K797" s="2" t="str">
        <f>'CyC-F11-F12'!D66</f>
        <v/>
      </c>
      <c r="L797" s="2" t="str">
        <f>'CyC-F11-F12'!E66</f>
        <v/>
      </c>
      <c r="M797" s="2" t="str">
        <f>'CyC-F11-F12'!F66</f>
        <v/>
      </c>
      <c r="N797" s="2" t="str">
        <f>'CyC-F11-F12'!G66</f>
        <v/>
      </c>
      <c r="O797" s="5" t="str">
        <f>'CyC-F11-F12'!H66</f>
        <v/>
      </c>
      <c r="P797" s="5" t="str">
        <f>'CyC-F11-F12'!I66</f>
        <v/>
      </c>
      <c r="Q797" s="5" t="str">
        <f>'CyC-F11-F12'!J66</f>
        <v/>
      </c>
      <c r="R797" s="5" t="str">
        <f>'CyC-F11-F12'!K66</f>
        <v/>
      </c>
      <c r="S797" s="2" t="str">
        <f>'CyC-F11-F12'!L66</f>
        <v/>
      </c>
      <c r="T797" s="2" t="str">
        <f>'CyC-F11-F12'!M66</f>
        <v/>
      </c>
      <c r="U797" s="34" t="str">
        <f>'CyC-F11-F12'!N66</f>
        <v/>
      </c>
      <c r="V797" s="34" t="str">
        <f>'CyC-F11-F12'!O66</f>
        <v/>
      </c>
      <c r="W797" s="2" t="str">
        <f>'CyC-F11-F12'!P66</f>
        <v/>
      </c>
      <c r="X797" s="34">
        <f>'CyC-F11-F12'!Q66</f>
        <v>0</v>
      </c>
      <c r="Y797" s="1"/>
      <c r="Z797" s="1"/>
      <c r="AA797" s="1"/>
    </row>
    <row r="798">
      <c r="A798" s="1"/>
      <c r="B798" s="14">
        <v>1.0</v>
      </c>
      <c r="C798" s="15" t="str">
        <f t="shared" si="1"/>
        <v>diciembre</v>
      </c>
      <c r="D798" s="15">
        <f t="shared" si="2"/>
        <v>50</v>
      </c>
      <c r="E798" s="16" t="str">
        <f t="shared" si="3"/>
        <v>miércoles</v>
      </c>
      <c r="F798" s="15">
        <f t="shared" si="4"/>
        <v>10</v>
      </c>
      <c r="G798" s="15" t="s">
        <v>27</v>
      </c>
      <c r="H798" s="3" t="str">
        <f>'GN-Completo'!$G$3</f>
        <v>GN</v>
      </c>
      <c r="I798" s="24">
        <f>'GN-Completo'!B5</f>
        <v>46001</v>
      </c>
      <c r="J798" s="2">
        <f>'GN-Completo'!C5</f>
        <v>72685604</v>
      </c>
      <c r="K798" s="2" t="str">
        <f>'GN-Completo'!D5</f>
        <v>Roberto Gabriel Flores Butron</v>
      </c>
      <c r="L798" s="2" t="str">
        <f>'GN-Completo'!E5</f>
        <v>floresrgb97@gmail.com</v>
      </c>
      <c r="M798" s="2" t="str">
        <f>'GN-Completo'!F5</f>
        <v>Yanahuara-Arequipa</v>
      </c>
      <c r="N798" s="2" t="str">
        <f>'GN-Completo'!G5</f>
        <v>950 536 721</v>
      </c>
      <c r="O798" s="2" t="str">
        <f>'GN-Completo'!H5</f>
        <v>x</v>
      </c>
      <c r="P798" s="2" t="str">
        <f>'GN-Completo'!I5</f>
        <v/>
      </c>
      <c r="Q798" s="2">
        <f>'GN-Completo'!J5</f>
        <v>0</v>
      </c>
      <c r="R798" s="2" t="str">
        <f>'GN-Completo'!K5</f>
        <v/>
      </c>
      <c r="S798" s="2" t="str">
        <f>'GN-Completo'!L5</f>
        <v/>
      </c>
      <c r="T798" s="2" t="str">
        <f>'GN-Completo'!M5</f>
        <v/>
      </c>
      <c r="U798" s="2" t="str">
        <f>'GN-Completo'!N5</f>
        <v/>
      </c>
      <c r="V798" s="2" t="str">
        <f>'GN-Completo'!O5</f>
        <v/>
      </c>
      <c r="W798" s="2" t="str">
        <f>'GN-Completo'!P5</f>
        <v/>
      </c>
      <c r="X798" s="34">
        <f>'GN-Completo'!Q5</f>
        <v>0</v>
      </c>
      <c r="Y798" s="1"/>
      <c r="Z798" s="1"/>
      <c r="AA798" s="1"/>
    </row>
    <row r="799">
      <c r="A799" s="1"/>
      <c r="B799" s="14">
        <f t="shared" ref="B799:B859" si="15">B798+1</f>
        <v>2</v>
      </c>
      <c r="C799" s="15" t="str">
        <f t="shared" si="1"/>
        <v>diciembre</v>
      </c>
      <c r="D799" s="15">
        <f t="shared" si="2"/>
        <v>50</v>
      </c>
      <c r="E799" s="16" t="str">
        <f t="shared" si="3"/>
        <v>jueves</v>
      </c>
      <c r="F799" s="15">
        <f t="shared" si="4"/>
        <v>11</v>
      </c>
      <c r="G799" s="15" t="s">
        <v>27</v>
      </c>
      <c r="H799" s="3" t="str">
        <f>'GN-Completo'!$G$3</f>
        <v>GN</v>
      </c>
      <c r="I799" s="24">
        <f>'GN-Completo'!B6</f>
        <v>46002</v>
      </c>
      <c r="J799" s="2">
        <f>'GN-Completo'!C6</f>
        <v>46749055</v>
      </c>
      <c r="K799" s="2" t="str">
        <f>'GN-Completo'!D6</f>
        <v>Eber huayhua vargas </v>
      </c>
      <c r="L799" s="2" t="str">
        <f>'GN-Completo'!E6</f>
        <v>Huayhuavargase@gmail.com</v>
      </c>
      <c r="M799" s="2" t="str">
        <f>'GN-Completo'!F6</f>
        <v>Chorrillos</v>
      </c>
      <c r="N799" s="2" t="str">
        <f>'GN-Completo'!G6</f>
        <v>902 779 238</v>
      </c>
      <c r="O799" s="5" t="str">
        <f>'GN-Completo'!H6</f>
        <v>x</v>
      </c>
      <c r="P799" s="5" t="str">
        <f>'GN-Completo'!I6</f>
        <v/>
      </c>
      <c r="Q799" s="2">
        <f>'GN-Completo'!J6</f>
        <v>0</v>
      </c>
      <c r="R799" s="5" t="str">
        <f>'GN-Completo'!K6</f>
        <v/>
      </c>
      <c r="S799" s="2" t="str">
        <f>'GN-Completo'!L6</f>
        <v/>
      </c>
      <c r="T799" s="2" t="str">
        <f>'GN-Completo'!M6</f>
        <v/>
      </c>
      <c r="U799" s="34" t="str">
        <f>'GN-Completo'!N6</f>
        <v/>
      </c>
      <c r="V799" s="34" t="str">
        <f>'GN-Completo'!O6</f>
        <v/>
      </c>
      <c r="W799" s="2" t="str">
        <f>'GN-Completo'!P6</f>
        <v/>
      </c>
      <c r="X799" s="34">
        <f>'GN-Completo'!Q6</f>
        <v>0</v>
      </c>
      <c r="Y799" s="1"/>
      <c r="Z799" s="1"/>
      <c r="AA799" s="1"/>
    </row>
    <row r="800">
      <c r="A800" s="1"/>
      <c r="B800" s="14">
        <f t="shared" si="15"/>
        <v>3</v>
      </c>
      <c r="C800" s="15" t="str">
        <f t="shared" si="1"/>
        <v>diciembre</v>
      </c>
      <c r="D800" s="15">
        <f t="shared" si="2"/>
        <v>51</v>
      </c>
      <c r="E800" s="16" t="str">
        <f t="shared" si="3"/>
        <v>jueves</v>
      </c>
      <c r="F800" s="15">
        <f t="shared" si="4"/>
        <v>18</v>
      </c>
      <c r="G800" s="15" t="s">
        <v>27</v>
      </c>
      <c r="H800" s="3" t="str">
        <f>'GN-Completo'!$G$3</f>
        <v>GN</v>
      </c>
      <c r="I800" s="24">
        <f>'GN-Completo'!B7</f>
        <v>46009</v>
      </c>
      <c r="J800" s="2">
        <f>'GN-Completo'!C7</f>
        <v>1240711</v>
      </c>
      <c r="K800" s="2" t="str">
        <f>'GN-Completo'!D7</f>
        <v>Andrés Sebastian Ordenes Lobatón</v>
      </c>
      <c r="L800" s="27" t="str">
        <f>'GN-Completo'!E7</f>
        <v>andresordeneslo@gmail.com</v>
      </c>
      <c r="M800" s="2" t="str">
        <f>'GN-Completo'!F7</f>
        <v>San isidro</v>
      </c>
      <c r="N800" s="2" t="str">
        <f>'GN-Completo'!G7</f>
        <v>999 508 901</v>
      </c>
      <c r="O800" s="5" t="str">
        <f>'GN-Completo'!H7</f>
        <v>x</v>
      </c>
      <c r="P800" s="5" t="str">
        <f>'GN-Completo'!I7</f>
        <v/>
      </c>
      <c r="Q800" s="2">
        <f>'GN-Completo'!J7</f>
        <v>0</v>
      </c>
      <c r="R800" s="5" t="str">
        <f>'GN-Completo'!K7</f>
        <v/>
      </c>
      <c r="S800" s="2" t="str">
        <f>'GN-Completo'!L7</f>
        <v/>
      </c>
      <c r="T800" s="2" t="str">
        <f>'GN-Completo'!M7</f>
        <v/>
      </c>
      <c r="U800" s="34" t="str">
        <f>'GN-Completo'!N7</f>
        <v/>
      </c>
      <c r="V800" s="34" t="str">
        <f>'GN-Completo'!O7</f>
        <v/>
      </c>
      <c r="W800" s="2" t="str">
        <f>'GN-Completo'!P7</f>
        <v/>
      </c>
      <c r="X800" s="34">
        <f>'GN-Completo'!Q7</f>
        <v>0</v>
      </c>
      <c r="Y800" s="1"/>
      <c r="Z800" s="1"/>
      <c r="AA800" s="1"/>
    </row>
    <row r="801">
      <c r="A801" s="1"/>
      <c r="B801" s="14">
        <f t="shared" si="15"/>
        <v>4</v>
      </c>
      <c r="C801" s="15" t="str">
        <f t="shared" si="1"/>
        <v>diciembre</v>
      </c>
      <c r="D801" s="15">
        <f t="shared" si="2"/>
        <v>52</v>
      </c>
      <c r="E801" s="16" t="str">
        <f t="shared" si="3"/>
        <v>jueves</v>
      </c>
      <c r="F801" s="15">
        <f t="shared" si="4"/>
        <v>25</v>
      </c>
      <c r="G801" s="15" t="s">
        <v>27</v>
      </c>
      <c r="H801" s="3" t="str">
        <f>'GN-Completo'!$G$3</f>
        <v>GN</v>
      </c>
      <c r="I801" s="38">
        <f>'GN-Completo'!B8</f>
        <v>46016</v>
      </c>
      <c r="J801" s="2">
        <f>'GN-Completo'!C8</f>
        <v>71412900</v>
      </c>
      <c r="K801" s="2" t="str">
        <f>'GN-Completo'!D8</f>
        <v>Jordan Aaron Suarez Acuña</v>
      </c>
      <c r="L801" s="2" t="str">
        <f>'GN-Completo'!E8</f>
        <v>sjordanaaron@gmail.com</v>
      </c>
      <c r="M801" s="2" t="str">
        <f>'GN-Completo'!F8</f>
        <v>Comas</v>
      </c>
      <c r="N801" s="2">
        <f>'GN-Completo'!G8</f>
        <v>972453322</v>
      </c>
      <c r="O801" s="5" t="str">
        <f>'GN-Completo'!H8</f>
        <v>x</v>
      </c>
      <c r="P801" s="5" t="str">
        <f>'GN-Completo'!I8</f>
        <v/>
      </c>
      <c r="Q801" s="2">
        <f>'GN-Completo'!J8</f>
        <v>0</v>
      </c>
      <c r="R801" s="5" t="str">
        <f>'GN-Completo'!K8</f>
        <v/>
      </c>
      <c r="S801" s="2" t="str">
        <f>'GN-Completo'!L8</f>
        <v/>
      </c>
      <c r="T801" s="2" t="str">
        <f>'GN-Completo'!M8</f>
        <v/>
      </c>
      <c r="U801" s="34" t="str">
        <f>'GN-Completo'!N8</f>
        <v/>
      </c>
      <c r="V801" s="34" t="str">
        <f>'GN-Completo'!O8</f>
        <v/>
      </c>
      <c r="W801" s="2" t="str">
        <f>'GN-Completo'!P8</f>
        <v/>
      </c>
      <c r="X801" s="34">
        <f>'GN-Completo'!Q8</f>
        <v>0</v>
      </c>
      <c r="Y801" s="1"/>
      <c r="Z801" s="1"/>
      <c r="AA801" s="1"/>
    </row>
    <row r="802">
      <c r="A802" s="1"/>
      <c r="B802" s="14">
        <f t="shared" si="15"/>
        <v>5</v>
      </c>
      <c r="C802" s="15" t="str">
        <f t="shared" si="1"/>
        <v>diciembre</v>
      </c>
      <c r="D802" s="15">
        <f t="shared" si="2"/>
        <v>52</v>
      </c>
      <c r="E802" s="16" t="str">
        <f t="shared" si="3"/>
        <v>viernes</v>
      </c>
      <c r="F802" s="15">
        <f t="shared" si="4"/>
        <v>26</v>
      </c>
      <c r="G802" s="15" t="s">
        <v>27</v>
      </c>
      <c r="H802" s="3" t="str">
        <f>'GN-Completo'!$G$3</f>
        <v>GN</v>
      </c>
      <c r="I802" s="24">
        <f>'GN-Completo'!B9</f>
        <v>46017</v>
      </c>
      <c r="J802" s="2">
        <f>'GN-Completo'!C9</f>
        <v>73851205</v>
      </c>
      <c r="K802" s="2" t="str">
        <f>'GN-Completo'!D9</f>
        <v>Miguel  Angel Peña Mata</v>
      </c>
      <c r="L802" s="2" t="str">
        <f>'GN-Completo'!E9</f>
        <v>penamata90@gmail.com</v>
      </c>
      <c r="M802" s="2" t="str">
        <f>'GN-Completo'!F9</f>
        <v>SURQUILLO</v>
      </c>
      <c r="N802" s="2">
        <f>'GN-Completo'!G9</f>
        <v>946856472</v>
      </c>
      <c r="O802" s="5" t="str">
        <f>'GN-Completo'!H9</f>
        <v>x</v>
      </c>
      <c r="P802" s="5" t="str">
        <f>'GN-Completo'!I9</f>
        <v/>
      </c>
      <c r="Q802" s="2">
        <f>'GN-Completo'!J9</f>
        <v>0</v>
      </c>
      <c r="R802" s="5" t="str">
        <f>'GN-Completo'!K9</f>
        <v/>
      </c>
      <c r="S802" s="2" t="str">
        <f>'GN-Completo'!L9</f>
        <v/>
      </c>
      <c r="T802" s="2" t="str">
        <f>'GN-Completo'!M9</f>
        <v/>
      </c>
      <c r="U802" s="34" t="str">
        <f>'GN-Completo'!N9</f>
        <v/>
      </c>
      <c r="V802" s="34" t="str">
        <f>'GN-Completo'!O9</f>
        <v/>
      </c>
      <c r="W802" s="2" t="str">
        <f>'GN-Completo'!P9</f>
        <v/>
      </c>
      <c r="X802" s="34">
        <f>'GN-Completo'!Q9</f>
        <v>0</v>
      </c>
      <c r="Y802" s="1"/>
      <c r="Z802" s="1"/>
      <c r="AA802" s="1"/>
    </row>
    <row r="803">
      <c r="A803" s="1"/>
      <c r="B803" s="14">
        <f t="shared" si="15"/>
        <v>6</v>
      </c>
      <c r="C803" s="15" t="str">
        <f t="shared" si="1"/>
        <v>diciembre</v>
      </c>
      <c r="D803" s="15">
        <f t="shared" si="2"/>
        <v>52</v>
      </c>
      <c r="E803" s="16" t="str">
        <f t="shared" si="3"/>
        <v>sábado</v>
      </c>
      <c r="F803" s="15">
        <f t="shared" si="4"/>
        <v>27</v>
      </c>
      <c r="G803" s="15" t="s">
        <v>27</v>
      </c>
      <c r="H803" s="3" t="str">
        <f>'GN-Completo'!$G$3</f>
        <v>GN</v>
      </c>
      <c r="I803" s="24">
        <f>'GN-Completo'!B10</f>
        <v>46018</v>
      </c>
      <c r="J803" s="2">
        <f>'GN-Completo'!C10</f>
        <v>7454502</v>
      </c>
      <c r="K803" s="2" t="str">
        <f>'GN-Completo'!D10</f>
        <v>Carlos Díaz Ocaña </v>
      </c>
      <c r="L803" s="2" t="str">
        <f>'GN-Completo'!E10</f>
        <v>cd1030741@gmail.com</v>
      </c>
      <c r="M803" s="2" t="str">
        <f>'GN-Completo'!F10</f>
        <v>San Borja </v>
      </c>
      <c r="N803" s="2">
        <f>'GN-Completo'!G10</f>
        <v>995951313</v>
      </c>
      <c r="O803" s="5" t="str">
        <f>'GN-Completo'!H10</f>
        <v>x</v>
      </c>
      <c r="P803" s="5" t="str">
        <f>'GN-Completo'!I10</f>
        <v/>
      </c>
      <c r="Q803" s="2">
        <f>'GN-Completo'!J10</f>
        <v>0</v>
      </c>
      <c r="R803" s="5" t="str">
        <f>'GN-Completo'!K10</f>
        <v/>
      </c>
      <c r="S803" s="2" t="str">
        <f>'GN-Completo'!L10</f>
        <v/>
      </c>
      <c r="T803" s="2" t="str">
        <f>'GN-Completo'!M10</f>
        <v/>
      </c>
      <c r="U803" s="34" t="str">
        <f>'GN-Completo'!N10</f>
        <v/>
      </c>
      <c r="V803" s="34" t="str">
        <f>'GN-Completo'!O10</f>
        <v/>
      </c>
      <c r="W803" s="2" t="str">
        <f>'GN-Completo'!P10</f>
        <v/>
      </c>
      <c r="X803" s="34">
        <f>'GN-Completo'!Q10</f>
        <v>0</v>
      </c>
      <c r="Y803" s="1"/>
      <c r="Z803" s="1"/>
      <c r="AA803" s="1"/>
    </row>
    <row r="804">
      <c r="A804" s="1"/>
      <c r="B804" s="14">
        <f t="shared" si="15"/>
        <v>7</v>
      </c>
      <c r="C804" s="15" t="str">
        <f t="shared" si="1"/>
        <v>diciembre</v>
      </c>
      <c r="D804" s="15">
        <f t="shared" si="2"/>
        <v>52</v>
      </c>
      <c r="E804" s="16" t="str">
        <f t="shared" si="3"/>
        <v>sábado</v>
      </c>
      <c r="F804" s="15">
        <f t="shared" si="4"/>
        <v>27</v>
      </c>
      <c r="G804" s="15" t="s">
        <v>27</v>
      </c>
      <c r="H804" s="3" t="str">
        <f>'GN-Completo'!$G$3</f>
        <v>GN</v>
      </c>
      <c r="I804" s="24">
        <f>'GN-Completo'!B11</f>
        <v>46018</v>
      </c>
      <c r="J804" s="2">
        <f>'GN-Completo'!C11</f>
        <v>20609390264</v>
      </c>
      <c r="K804" s="2" t="str">
        <f>'GN-Completo'!D11</f>
        <v>Lucia Jessica Chávez Ramírez </v>
      </c>
      <c r="L804" s="2" t="str">
        <f>'GN-Completo'!E11</f>
        <v>Elchicharrondechavez@gmail.com</v>
      </c>
      <c r="M804" s="2" t="str">
        <f>'GN-Completo'!F11</f>
        <v>Los Olivos </v>
      </c>
      <c r="N804" s="2" t="str">
        <f>'GN-Completo'!G11</f>
        <v>957 435 806</v>
      </c>
      <c r="O804" s="5" t="str">
        <f>'GN-Completo'!H11</f>
        <v>x</v>
      </c>
      <c r="P804" s="5" t="str">
        <f>'GN-Completo'!I11</f>
        <v/>
      </c>
      <c r="Q804" s="2">
        <f>'GN-Completo'!J11</f>
        <v>0</v>
      </c>
      <c r="R804" s="5" t="str">
        <f>'GN-Completo'!K11</f>
        <v/>
      </c>
      <c r="S804" s="2" t="str">
        <f>'GN-Completo'!L11</f>
        <v/>
      </c>
      <c r="T804" s="2" t="str">
        <f>'GN-Completo'!M11</f>
        <v/>
      </c>
      <c r="U804" s="34" t="str">
        <f>'GN-Completo'!N11</f>
        <v/>
      </c>
      <c r="V804" s="34" t="str">
        <f>'GN-Completo'!O11</f>
        <v/>
      </c>
      <c r="W804" s="2" t="str">
        <f>'GN-Completo'!P11</f>
        <v/>
      </c>
      <c r="X804" s="34">
        <f>'GN-Completo'!Q11</f>
        <v>0</v>
      </c>
      <c r="Y804" s="1"/>
      <c r="Z804" s="1"/>
      <c r="AA804" s="1"/>
    </row>
    <row r="805">
      <c r="A805" s="1"/>
      <c r="B805" s="14">
        <f t="shared" si="15"/>
        <v>8</v>
      </c>
      <c r="C805" s="15" t="str">
        <f t="shared" si="1"/>
        <v>diciembre</v>
      </c>
      <c r="D805" s="15">
        <f t="shared" si="2"/>
        <v>53</v>
      </c>
      <c r="E805" s="16" t="str">
        <f t="shared" si="3"/>
        <v>lunes</v>
      </c>
      <c r="F805" s="15">
        <f t="shared" si="4"/>
        <v>29</v>
      </c>
      <c r="G805" s="15" t="s">
        <v>27</v>
      </c>
      <c r="H805" s="3" t="str">
        <f>'GN-Completo'!$G$3</f>
        <v>GN</v>
      </c>
      <c r="I805" s="24">
        <f>'GN-Completo'!B12</f>
        <v>46020</v>
      </c>
      <c r="J805" s="2">
        <f>'GN-Completo'!C12</f>
        <v>60393570</v>
      </c>
      <c r="K805" s="2" t="str">
        <f>'GN-Completo'!D12</f>
        <v>Maycol Jonathan paz Retamozo </v>
      </c>
      <c r="L805" s="27" t="str">
        <f>'GN-Completo'!E12</f>
        <v>Pazm20481@gmail.com</v>
      </c>
      <c r="M805" s="2" t="str">
        <f>'GN-Completo'!F12</f>
        <v>SJL</v>
      </c>
      <c r="N805" s="2" t="str">
        <f>'GN-Completo'!G12</f>
        <v>901 686 803</v>
      </c>
      <c r="O805" s="5" t="str">
        <f>'GN-Completo'!H12</f>
        <v>x</v>
      </c>
      <c r="P805" s="5" t="str">
        <f>'GN-Completo'!I12</f>
        <v/>
      </c>
      <c r="Q805" s="2">
        <f>'GN-Completo'!J12</f>
        <v>0</v>
      </c>
      <c r="R805" s="5" t="str">
        <f>'GN-Completo'!K12</f>
        <v/>
      </c>
      <c r="S805" s="2" t="str">
        <f>'GN-Completo'!L12</f>
        <v/>
      </c>
      <c r="T805" s="2" t="str">
        <f>'GN-Completo'!M12</f>
        <v/>
      </c>
      <c r="U805" s="34" t="str">
        <f>'GN-Completo'!N12</f>
        <v/>
      </c>
      <c r="V805" s="34" t="str">
        <f>'GN-Completo'!O12</f>
        <v/>
      </c>
      <c r="W805" s="2" t="str">
        <f>'GN-Completo'!P12</f>
        <v/>
      </c>
      <c r="X805" s="34">
        <f>'GN-Completo'!Q12</f>
        <v>0</v>
      </c>
      <c r="Y805" s="1"/>
      <c r="Z805" s="1"/>
      <c r="AA805" s="1"/>
    </row>
    <row r="806">
      <c r="A806" s="1"/>
      <c r="B806" s="14">
        <f t="shared" si="15"/>
        <v>9</v>
      </c>
      <c r="C806" s="15" t="str">
        <f t="shared" si="1"/>
        <v>diciembre</v>
      </c>
      <c r="D806" s="15">
        <f t="shared" si="2"/>
        <v>53</v>
      </c>
      <c r="E806" s="16" t="str">
        <f t="shared" si="3"/>
        <v>lunes</v>
      </c>
      <c r="F806" s="15">
        <f t="shared" si="4"/>
        <v>29</v>
      </c>
      <c r="G806" s="15" t="s">
        <v>27</v>
      </c>
      <c r="H806" s="3" t="str">
        <f>'GN-Completo'!$G$3</f>
        <v>GN</v>
      </c>
      <c r="I806" s="24">
        <f>'GN-Completo'!B13</f>
        <v>46020</v>
      </c>
      <c r="J806" s="2">
        <f>'GN-Completo'!C13</f>
        <v>43712509</v>
      </c>
      <c r="K806" s="2" t="str">
        <f>'GN-Completo'!D13</f>
        <v>Brian portilla orquiz </v>
      </c>
      <c r="L806" s="2" t="str">
        <f>'GN-Completo'!E13</f>
        <v>brianportilla.bp@gmail.com</v>
      </c>
      <c r="M806" s="2" t="str">
        <f>'GN-Completo'!F13</f>
        <v>Comas </v>
      </c>
      <c r="N806" s="2" t="str">
        <f>'GN-Completo'!G13</f>
        <v>954 423 850</v>
      </c>
      <c r="O806" s="5" t="str">
        <f>'GN-Completo'!H13</f>
        <v>x</v>
      </c>
      <c r="P806" s="5" t="str">
        <f>'GN-Completo'!I13</f>
        <v/>
      </c>
      <c r="Q806" s="2">
        <f>'GN-Completo'!J13</f>
        <v>0</v>
      </c>
      <c r="R806" s="5" t="str">
        <f>'GN-Completo'!K13</f>
        <v/>
      </c>
      <c r="S806" s="2" t="str">
        <f>'GN-Completo'!L13</f>
        <v/>
      </c>
      <c r="T806" s="2" t="str">
        <f>'GN-Completo'!M13</f>
        <v/>
      </c>
      <c r="U806" s="34" t="str">
        <f>'GN-Completo'!N13</f>
        <v/>
      </c>
      <c r="V806" s="34" t="str">
        <f>'GN-Completo'!O13</f>
        <v/>
      </c>
      <c r="W806" s="2" t="str">
        <f>'GN-Completo'!P13</f>
        <v/>
      </c>
      <c r="X806" s="34">
        <f>'GN-Completo'!Q13</f>
        <v>0</v>
      </c>
      <c r="Y806" s="1"/>
      <c r="Z806" s="1"/>
      <c r="AA806" s="1"/>
    </row>
    <row r="807">
      <c r="A807" s="1"/>
      <c r="B807" s="14">
        <f t="shared" si="15"/>
        <v>10</v>
      </c>
      <c r="C807" s="15" t="str">
        <f t="shared" si="1"/>
        <v>diciembre</v>
      </c>
      <c r="D807" s="15">
        <f t="shared" si="2"/>
        <v>53</v>
      </c>
      <c r="E807" s="16" t="str">
        <f t="shared" si="3"/>
        <v>miércoles</v>
      </c>
      <c r="F807" s="15">
        <f t="shared" si="4"/>
        <v>31</v>
      </c>
      <c r="G807" s="15" t="s">
        <v>27</v>
      </c>
      <c r="H807" s="3" t="str">
        <f>'GN-Completo'!$G$3</f>
        <v>GN</v>
      </c>
      <c r="I807" s="24">
        <f>'GN-Completo'!B14</f>
        <v>46022</v>
      </c>
      <c r="J807" s="2">
        <f>'GN-Completo'!C14</f>
        <v>71176371</v>
      </c>
      <c r="K807" s="2" t="str">
        <f>'GN-Completo'!D14</f>
        <v>César Miguel Oré Astorga</v>
      </c>
      <c r="L807" s="2" t="str">
        <f>'GN-Completo'!E14</f>
        <v>orec.1602@gmail.com</v>
      </c>
      <c r="M807" s="2" t="str">
        <f>'GN-Completo'!F14</f>
        <v>Cercado de Lima </v>
      </c>
      <c r="N807" s="2" t="str">
        <f>'GN-Completo'!G14</f>
        <v>932 401 077</v>
      </c>
      <c r="O807" s="5" t="str">
        <f>'GN-Completo'!H14</f>
        <v>x</v>
      </c>
      <c r="P807" s="5" t="str">
        <f>'GN-Completo'!I14</f>
        <v/>
      </c>
      <c r="Q807" s="2">
        <f>'GN-Completo'!J14</f>
        <v>0</v>
      </c>
      <c r="R807" s="5" t="str">
        <f>'GN-Completo'!K14</f>
        <v/>
      </c>
      <c r="S807" s="2" t="str">
        <f>'GN-Completo'!L14</f>
        <v/>
      </c>
      <c r="T807" s="2" t="str">
        <f>'GN-Completo'!M14</f>
        <v/>
      </c>
      <c r="U807" s="34">
        <f>'GN-Completo'!N14</f>
        <v>0</v>
      </c>
      <c r="V807" s="34" t="str">
        <f>'GN-Completo'!O14</f>
        <v/>
      </c>
      <c r="W807" s="2" t="str">
        <f>'GN-Completo'!P14</f>
        <v/>
      </c>
      <c r="X807" s="34">
        <f>'GN-Completo'!Q14</f>
        <v>0</v>
      </c>
      <c r="Y807" s="1"/>
      <c r="Z807" s="1"/>
      <c r="AA807" s="1"/>
    </row>
    <row r="808">
      <c r="A808" s="1"/>
      <c r="B808" s="14">
        <f t="shared" si="15"/>
        <v>11</v>
      </c>
      <c r="C808" s="15" t="str">
        <f t="shared" si="1"/>
        <v>diciembre</v>
      </c>
      <c r="D808" s="15">
        <f t="shared" si="2"/>
        <v>53</v>
      </c>
      <c r="E808" s="16" t="str">
        <f t="shared" si="3"/>
        <v>domingo</v>
      </c>
      <c r="F808" s="15">
        <f t="shared" si="4"/>
        <v>28</v>
      </c>
      <c r="G808" s="15" t="s">
        <v>27</v>
      </c>
      <c r="H808" s="3" t="str">
        <f>'GN-Completo'!$G$3</f>
        <v>GN</v>
      </c>
      <c r="I808" s="24">
        <f>'GN-Completo'!B15</f>
        <v>46019</v>
      </c>
      <c r="J808" s="2">
        <f>'GN-Completo'!C15</f>
        <v>47729335</v>
      </c>
      <c r="K808" s="2" t="str">
        <f>'GN-Completo'!D15</f>
        <v>Jorge luis padilla zapata</v>
      </c>
      <c r="L808" s="2" t="str">
        <f>'GN-Completo'!E15</f>
        <v>j.l.padilla_93@hotmail.com</v>
      </c>
      <c r="M808" s="2" t="str">
        <f>'GN-Completo'!F15</f>
        <v>Huaral</v>
      </c>
      <c r="N808" s="2" t="str">
        <f>'GN-Completo'!G15</f>
        <v>916 155 109</v>
      </c>
      <c r="O808" s="5" t="str">
        <f>'GN-Completo'!H15</f>
        <v>x</v>
      </c>
      <c r="P808" s="5" t="str">
        <f>'GN-Completo'!I15</f>
        <v/>
      </c>
      <c r="Q808" s="2">
        <f>'GN-Completo'!J15</f>
        <v>0</v>
      </c>
      <c r="R808" s="5" t="str">
        <f>'GN-Completo'!K15</f>
        <v/>
      </c>
      <c r="S808" s="2" t="str">
        <f>'GN-Completo'!L15</f>
        <v/>
      </c>
      <c r="T808" s="2" t="str">
        <f>'GN-Completo'!M15</f>
        <v/>
      </c>
      <c r="U808" s="34">
        <f>'GN-Completo'!N15</f>
        <v>0</v>
      </c>
      <c r="V808" s="34" t="str">
        <f>'GN-Completo'!O15</f>
        <v/>
      </c>
      <c r="W808" s="2" t="str">
        <f>'GN-Completo'!P15</f>
        <v/>
      </c>
      <c r="X808" s="34">
        <f>'GN-Completo'!Q15</f>
        <v>0</v>
      </c>
      <c r="Y808" s="1"/>
      <c r="Z808" s="1"/>
      <c r="AA808" s="1"/>
    </row>
    <row r="809">
      <c r="A809" s="1"/>
      <c r="B809" s="14">
        <f t="shared" si="15"/>
        <v>12</v>
      </c>
      <c r="C809" s="15" t="str">
        <f t="shared" si="1"/>
        <v>diciembre</v>
      </c>
      <c r="D809" s="15">
        <f t="shared" si="2"/>
        <v>52</v>
      </c>
      <c r="E809" s="16" t="str">
        <f t="shared" si="3"/>
        <v>lunes</v>
      </c>
      <c r="F809" s="15">
        <f t="shared" si="4"/>
        <v>22</v>
      </c>
      <c r="G809" s="15" t="s">
        <v>27</v>
      </c>
      <c r="H809" s="3" t="str">
        <f>'GN-Completo'!$G$3</f>
        <v>GN</v>
      </c>
      <c r="I809" s="24">
        <f>'GN-Completo'!B16</f>
        <v>46013</v>
      </c>
      <c r="J809" s="2">
        <f>'GN-Completo'!C16</f>
        <v>47162261</v>
      </c>
      <c r="K809" s="2" t="str">
        <f>'GN-Completo'!D16</f>
        <v>Abraham Basilio Rojas</v>
      </c>
      <c r="L809" s="2" t="str">
        <f>'GN-Completo'!E16</f>
        <v>Abr.2012@gmail.com</v>
      </c>
      <c r="M809" s="2" t="str">
        <f>'GN-Completo'!F16</f>
        <v>San miguel</v>
      </c>
      <c r="N809" s="2" t="str">
        <f>'GN-Completo'!G16</f>
        <v>997 630 428</v>
      </c>
      <c r="O809" s="5" t="str">
        <f>'GN-Completo'!H16</f>
        <v>x</v>
      </c>
      <c r="P809" s="5" t="str">
        <f>'GN-Completo'!I16</f>
        <v/>
      </c>
      <c r="Q809" s="2">
        <f>'GN-Completo'!J16</f>
        <v>0</v>
      </c>
      <c r="R809" s="5" t="str">
        <f>'GN-Completo'!K16</f>
        <v/>
      </c>
      <c r="S809" s="2" t="str">
        <f>'GN-Completo'!L16</f>
        <v/>
      </c>
      <c r="T809" s="2" t="str">
        <f>'GN-Completo'!M16</f>
        <v/>
      </c>
      <c r="U809" s="34">
        <f>'GN-Completo'!N16</f>
        <v>0</v>
      </c>
      <c r="V809" s="34" t="str">
        <f>'GN-Completo'!O16</f>
        <v/>
      </c>
      <c r="W809" s="2" t="str">
        <f>'GN-Completo'!P16</f>
        <v/>
      </c>
      <c r="X809" s="34">
        <f>'GN-Completo'!Q16</f>
        <v>0</v>
      </c>
      <c r="Y809" s="1"/>
      <c r="Z809" s="1"/>
      <c r="AA809" s="1"/>
    </row>
    <row r="810">
      <c r="A810" s="1"/>
      <c r="B810" s="14">
        <f t="shared" si="15"/>
        <v>13</v>
      </c>
      <c r="C810" s="15" t="str">
        <f t="shared" si="1"/>
        <v>diciembre</v>
      </c>
      <c r="D810" s="15" t="str">
        <f t="shared" si="2"/>
        <v>#NUM!</v>
      </c>
      <c r="E810" s="16" t="str">
        <f t="shared" si="3"/>
        <v>miércoles</v>
      </c>
      <c r="F810" s="15">
        <f t="shared" si="4"/>
        <v>28</v>
      </c>
      <c r="G810" s="15" t="s">
        <v>27</v>
      </c>
      <c r="H810" s="3" t="str">
        <f>'GN-Completo'!$G$3</f>
        <v>GN</v>
      </c>
      <c r="I810" s="24">
        <f>'GN-Completo'!B17</f>
        <v>7716111</v>
      </c>
      <c r="J810" s="2">
        <f>'GN-Completo'!C17</f>
        <v>42588957</v>
      </c>
      <c r="K810" s="2" t="str">
        <f>'GN-Completo'!D17</f>
        <v>Ricardo Junior Boza Valdiviezo</v>
      </c>
      <c r="L810" s="2" t="str">
        <f>'GN-Completo'!E17</f>
        <v/>
      </c>
      <c r="M810" s="2" t="str">
        <f>'GN-Completo'!F17</f>
        <v>Comas </v>
      </c>
      <c r="N810" s="2" t="str">
        <f>'GN-Completo'!G17</f>
        <v>963 037 833</v>
      </c>
      <c r="O810" s="5" t="str">
        <f>'GN-Completo'!H17</f>
        <v>x</v>
      </c>
      <c r="P810" s="5" t="str">
        <f>'GN-Completo'!I17</f>
        <v/>
      </c>
      <c r="Q810" s="2">
        <f>'GN-Completo'!J17</f>
        <v>0</v>
      </c>
      <c r="R810" s="5" t="str">
        <f>'GN-Completo'!K17</f>
        <v/>
      </c>
      <c r="S810" s="2" t="str">
        <f>'GN-Completo'!L17</f>
        <v/>
      </c>
      <c r="T810" s="2" t="str">
        <f>'GN-Completo'!M17</f>
        <v/>
      </c>
      <c r="U810" s="34">
        <f>'GN-Completo'!N17</f>
        <v>0</v>
      </c>
      <c r="V810" s="34" t="str">
        <f>'GN-Completo'!O17</f>
        <v/>
      </c>
      <c r="W810" s="2" t="str">
        <f>'GN-Completo'!P17</f>
        <v/>
      </c>
      <c r="X810" s="34">
        <f>'GN-Completo'!Q17</f>
        <v>0</v>
      </c>
      <c r="Y810" s="1"/>
      <c r="Z810" s="1"/>
      <c r="AA810" s="1"/>
    </row>
    <row r="811">
      <c r="A811" s="1"/>
      <c r="B811" s="14">
        <f t="shared" si="15"/>
        <v>14</v>
      </c>
      <c r="C811" s="15" t="str">
        <f t="shared" si="1"/>
        <v>enero</v>
      </c>
      <c r="D811" s="15">
        <f t="shared" si="2"/>
        <v>1</v>
      </c>
      <c r="E811" s="16" t="str">
        <f t="shared" si="3"/>
        <v>jueves</v>
      </c>
      <c r="F811" s="15">
        <f t="shared" si="4"/>
        <v>1</v>
      </c>
      <c r="G811" s="15" t="s">
        <v>27</v>
      </c>
      <c r="H811" s="3" t="str">
        <f>'GN-Completo'!$G$3</f>
        <v>GN</v>
      </c>
      <c r="I811" s="24">
        <f>'GN-Completo'!B18</f>
        <v>46023</v>
      </c>
      <c r="J811" s="2">
        <f>'GN-Completo'!C18</f>
        <v>75014725</v>
      </c>
      <c r="K811" s="2" t="str">
        <f>'GN-Completo'!D18</f>
        <v>Piero André Damas Salhuana</v>
      </c>
      <c r="L811" s="2" t="str">
        <f>'GN-Completo'!E18</f>
        <v>piero27022000@gmail.com</v>
      </c>
      <c r="M811" s="2" t="str">
        <f>'GN-Completo'!F18</f>
        <v>Carabayllo </v>
      </c>
      <c r="N811" s="2" t="str">
        <f>'GN-Completo'!G18</f>
        <v>927 991 306</v>
      </c>
      <c r="O811" s="5" t="str">
        <f>'GN-Completo'!H18</f>
        <v>x</v>
      </c>
      <c r="P811" s="5" t="str">
        <f>'GN-Completo'!I18</f>
        <v/>
      </c>
      <c r="Q811" s="5">
        <f>'GN-Completo'!J18</f>
        <v>0</v>
      </c>
      <c r="R811" s="5" t="str">
        <f>'GN-Completo'!K18</f>
        <v/>
      </c>
      <c r="S811" s="2" t="str">
        <f>'GN-Completo'!L18</f>
        <v/>
      </c>
      <c r="T811" s="2" t="str">
        <f>'GN-Completo'!M18</f>
        <v/>
      </c>
      <c r="U811" s="34">
        <f>'GN-Completo'!N18</f>
        <v>0</v>
      </c>
      <c r="V811" s="34" t="str">
        <f>'GN-Completo'!O18</f>
        <v/>
      </c>
      <c r="W811" s="2" t="str">
        <f>'GN-Completo'!P18</f>
        <v/>
      </c>
      <c r="X811" s="34">
        <f>'GN-Completo'!Q18</f>
        <v>0</v>
      </c>
      <c r="Y811" s="1"/>
      <c r="Z811" s="1"/>
      <c r="AA811" s="1"/>
    </row>
    <row r="812">
      <c r="A812" s="1"/>
      <c r="B812" s="14">
        <f t="shared" si="15"/>
        <v>15</v>
      </c>
      <c r="C812" s="15" t="str">
        <f t="shared" si="1"/>
        <v>enero</v>
      </c>
      <c r="D812" s="15">
        <f t="shared" si="2"/>
        <v>1</v>
      </c>
      <c r="E812" s="16" t="str">
        <f t="shared" si="3"/>
        <v>viernes</v>
      </c>
      <c r="F812" s="15">
        <f t="shared" si="4"/>
        <v>2</v>
      </c>
      <c r="G812" s="15" t="s">
        <v>27</v>
      </c>
      <c r="H812" s="3" t="str">
        <f>'GN-Completo'!$G$3</f>
        <v>GN</v>
      </c>
      <c r="I812" s="24">
        <f>'GN-Completo'!B19</f>
        <v>46024</v>
      </c>
      <c r="J812" s="2" t="str">
        <f>'GN-Completo'!C19</f>
        <v>*09837904</v>
      </c>
      <c r="K812" s="2" t="str">
        <f>'GN-Completo'!D19</f>
        <v>María Bertha Chavarría rios</v>
      </c>
      <c r="L812" s="2" t="str">
        <f>'GN-Completo'!E19</f>
        <v>mariachavarria079@gmail.com</v>
      </c>
      <c r="M812" s="2" t="str">
        <f>'GN-Completo'!F19</f>
        <v>Chosica</v>
      </c>
      <c r="N812" s="2" t="str">
        <f>'GN-Completo'!G19</f>
        <v>962 916 978</v>
      </c>
      <c r="O812" s="5" t="str">
        <f>'GN-Completo'!H19</f>
        <v>x</v>
      </c>
      <c r="P812" s="5" t="str">
        <f>'GN-Completo'!I19</f>
        <v/>
      </c>
      <c r="Q812" s="5">
        <f>'GN-Completo'!J19</f>
        <v>0</v>
      </c>
      <c r="R812" s="5" t="str">
        <f>'GN-Completo'!K19</f>
        <v/>
      </c>
      <c r="S812" s="2" t="str">
        <f>'GN-Completo'!L19</f>
        <v/>
      </c>
      <c r="T812" s="2" t="str">
        <f>'GN-Completo'!M19</f>
        <v/>
      </c>
      <c r="U812" s="34">
        <f>'GN-Completo'!N19</f>
        <v>0</v>
      </c>
      <c r="V812" s="34" t="str">
        <f>'GN-Completo'!O19</f>
        <v/>
      </c>
      <c r="W812" s="2" t="str">
        <f>'GN-Completo'!P19</f>
        <v/>
      </c>
      <c r="X812" s="34">
        <f>'GN-Completo'!Q19</f>
        <v>0</v>
      </c>
      <c r="Y812" s="1"/>
      <c r="Z812" s="1"/>
      <c r="AA812" s="1"/>
    </row>
    <row r="813">
      <c r="A813" s="1"/>
      <c r="B813" s="14">
        <f t="shared" si="15"/>
        <v>16</v>
      </c>
      <c r="C813" s="15" t="str">
        <f t="shared" si="1"/>
        <v>enero</v>
      </c>
      <c r="D813" s="15">
        <f t="shared" si="2"/>
        <v>1</v>
      </c>
      <c r="E813" s="16" t="str">
        <f t="shared" si="3"/>
        <v>viernes</v>
      </c>
      <c r="F813" s="15">
        <f t="shared" si="4"/>
        <v>2</v>
      </c>
      <c r="G813" s="15" t="s">
        <v>27</v>
      </c>
      <c r="H813" s="3" t="str">
        <f>'GN-Completo'!$G$3</f>
        <v>GN</v>
      </c>
      <c r="I813" s="24">
        <f>'GN-Completo'!B20</f>
        <v>46024</v>
      </c>
      <c r="J813" s="2">
        <f>'GN-Completo'!C20</f>
        <v>41364774</v>
      </c>
      <c r="K813" s="2" t="str">
        <f>'GN-Completo'!D20</f>
        <v>Magda Rosa Aguilar Vigo</v>
      </c>
      <c r="L813" s="27" t="str">
        <f>'GN-Completo'!E20</f>
        <v>Magdaaguilar4@gmail.com</v>
      </c>
      <c r="M813" s="2" t="str">
        <f>'GN-Completo'!F20</f>
        <v>San Isidro</v>
      </c>
      <c r="N813" s="2">
        <f>'GN-Completo'!G20</f>
        <v>983630248</v>
      </c>
      <c r="O813" s="5" t="str">
        <f>'GN-Completo'!H20</f>
        <v>x</v>
      </c>
      <c r="P813" s="5" t="str">
        <f>'GN-Completo'!I20</f>
        <v/>
      </c>
      <c r="Q813" s="5">
        <f>'GN-Completo'!J20</f>
        <v>0</v>
      </c>
      <c r="R813" s="5" t="str">
        <f>'GN-Completo'!K20</f>
        <v/>
      </c>
      <c r="S813" s="2" t="str">
        <f>'GN-Completo'!L20</f>
        <v/>
      </c>
      <c r="T813" s="2" t="str">
        <f>'GN-Completo'!M20</f>
        <v/>
      </c>
      <c r="U813" s="34">
        <f>'GN-Completo'!N20</f>
        <v>0</v>
      </c>
      <c r="V813" s="34" t="str">
        <f>'GN-Completo'!O20</f>
        <v/>
      </c>
      <c r="W813" s="2" t="str">
        <f>'GN-Completo'!P20</f>
        <v/>
      </c>
      <c r="X813" s="34">
        <f>'GN-Completo'!Q20</f>
        <v>0</v>
      </c>
      <c r="Y813" s="1"/>
      <c r="Z813" s="1"/>
      <c r="AA813" s="1"/>
    </row>
    <row r="814">
      <c r="A814" s="1"/>
      <c r="B814" s="14">
        <f t="shared" si="15"/>
        <v>17</v>
      </c>
      <c r="C814" s="15" t="str">
        <f t="shared" si="1"/>
        <v>enero</v>
      </c>
      <c r="D814" s="15">
        <f t="shared" si="2"/>
        <v>1</v>
      </c>
      <c r="E814" s="16" t="str">
        <f t="shared" si="3"/>
        <v>viernes</v>
      </c>
      <c r="F814" s="15">
        <f t="shared" si="4"/>
        <v>2</v>
      </c>
      <c r="G814" s="15" t="s">
        <v>27</v>
      </c>
      <c r="H814" s="3" t="str">
        <f>'GN-Completo'!$G$3</f>
        <v>GN</v>
      </c>
      <c r="I814" s="24">
        <f>'GN-Completo'!B21</f>
        <v>46024</v>
      </c>
      <c r="J814" s="2">
        <f>'GN-Completo'!C21</f>
        <v>73487354</v>
      </c>
      <c r="K814" s="2" t="str">
        <f>'GN-Completo'!D21</f>
        <v>Yessire Meneses Bellido</v>
      </c>
      <c r="L814" s="2" t="str">
        <f>'GN-Completo'!E21</f>
        <v>yess.menesesbellido@gmail.com</v>
      </c>
      <c r="M814" s="2" t="str">
        <f>'GN-Completo'!F21</f>
        <v>Ate Salamanca</v>
      </c>
      <c r="N814" s="2" t="str">
        <f>'GN-Completo'!G21</f>
        <v>918 819 213</v>
      </c>
      <c r="O814" s="5" t="str">
        <f>'GN-Completo'!H21</f>
        <v>x</v>
      </c>
      <c r="P814" s="5" t="str">
        <f>'GN-Completo'!I21</f>
        <v/>
      </c>
      <c r="Q814" s="5" t="str">
        <f>'GN-Completo'!J21</f>
        <v>S/.180.00</v>
      </c>
      <c r="R814" s="5" t="str">
        <f>'GN-Completo'!K21</f>
        <v/>
      </c>
      <c r="S814" s="2" t="str">
        <f>'GN-Completo'!L21</f>
        <v>PAGO</v>
      </c>
      <c r="T814" s="2" t="str">
        <f>'GN-Completo'!M21</f>
        <v>PLIN JL</v>
      </c>
      <c r="U814" s="34">
        <f>'GN-Completo'!N21</f>
        <v>180</v>
      </c>
      <c r="V814" s="34" t="str">
        <f>'GN-Completo'!O21</f>
        <v/>
      </c>
      <c r="W814" s="2" t="str">
        <f>'GN-Completo'!P21</f>
        <v>Tania</v>
      </c>
      <c r="X814" s="34">
        <f>'GN-Completo'!Q21</f>
        <v>180</v>
      </c>
      <c r="Y814" s="1"/>
      <c r="Z814" s="1"/>
      <c r="AA814" s="1"/>
    </row>
    <row r="815">
      <c r="A815" s="1"/>
      <c r="B815" s="14">
        <f t="shared" si="15"/>
        <v>18</v>
      </c>
      <c r="C815" s="15" t="str">
        <f t="shared" si="1"/>
        <v>enero</v>
      </c>
      <c r="D815" s="15">
        <f t="shared" si="2"/>
        <v>2</v>
      </c>
      <c r="E815" s="16" t="str">
        <f t="shared" si="3"/>
        <v>domingo</v>
      </c>
      <c r="F815" s="15">
        <f t="shared" si="4"/>
        <v>4</v>
      </c>
      <c r="G815" s="15" t="s">
        <v>27</v>
      </c>
      <c r="H815" s="3" t="str">
        <f>'GN-Completo'!$G$3</f>
        <v>GN</v>
      </c>
      <c r="I815" s="24">
        <f>'GN-Completo'!B22</f>
        <v>46026</v>
      </c>
      <c r="J815" s="2">
        <f>'GN-Completo'!C22</f>
        <v>42048172</v>
      </c>
      <c r="K815" s="2" t="str">
        <f>'GN-Completo'!D22</f>
        <v>Luis Esteban Ramos Nicoll</v>
      </c>
      <c r="L815" s="2" t="str">
        <f>'GN-Completo'!E22</f>
        <v> luisramosnicoll@gmail.com</v>
      </c>
      <c r="M815" s="2" t="str">
        <f>'GN-Completo'!F22</f>
        <v>Jesús María</v>
      </c>
      <c r="N815" s="2" t="str">
        <f>'GN-Completo'!G22</f>
        <v>990 040 484</v>
      </c>
      <c r="O815" s="5" t="str">
        <f>'GN-Completo'!H22</f>
        <v>x</v>
      </c>
      <c r="P815" s="5" t="str">
        <f>'GN-Completo'!I22</f>
        <v/>
      </c>
      <c r="Q815" s="5">
        <f>'GN-Completo'!J22</f>
        <v>0</v>
      </c>
      <c r="R815" s="5" t="str">
        <f>'GN-Completo'!K22</f>
        <v/>
      </c>
      <c r="S815" s="2" t="str">
        <f>'GN-Completo'!L22</f>
        <v/>
      </c>
      <c r="T815" s="2" t="str">
        <f>'GN-Completo'!M22</f>
        <v/>
      </c>
      <c r="U815" s="34">
        <f>'GN-Completo'!N22</f>
        <v>0</v>
      </c>
      <c r="V815" s="34" t="str">
        <f>'GN-Completo'!O22</f>
        <v/>
      </c>
      <c r="W815" s="2" t="str">
        <f>'GN-Completo'!P22</f>
        <v/>
      </c>
      <c r="X815" s="34">
        <f>'GN-Completo'!Q22</f>
        <v>0</v>
      </c>
      <c r="Y815" s="1"/>
      <c r="Z815" s="1"/>
      <c r="AA815" s="1"/>
    </row>
    <row r="816">
      <c r="A816" s="1"/>
      <c r="B816" s="14">
        <f t="shared" si="15"/>
        <v>19</v>
      </c>
      <c r="C816" s="15" t="str">
        <f t="shared" si="1"/>
        <v>enero</v>
      </c>
      <c r="D816" s="15">
        <f t="shared" si="2"/>
        <v>2</v>
      </c>
      <c r="E816" s="16" t="str">
        <f t="shared" si="3"/>
        <v>lunes</v>
      </c>
      <c r="F816" s="15">
        <f t="shared" si="4"/>
        <v>5</v>
      </c>
      <c r="G816" s="15" t="s">
        <v>27</v>
      </c>
      <c r="H816" s="3" t="str">
        <f>'GN-Completo'!$G$3</f>
        <v>GN</v>
      </c>
      <c r="I816" s="24">
        <f>'GN-Completo'!B23</f>
        <v>46027</v>
      </c>
      <c r="J816" s="2" t="str">
        <f>'GN-Completo'!C23</f>
        <v>*09902780</v>
      </c>
      <c r="K816" s="2" t="str">
        <f>'GN-Completo'!D23</f>
        <v>Miguel Angel Gutti Huaman</v>
      </c>
      <c r="L816" s="2" t="str">
        <f>'GN-Completo'!E23</f>
        <v>miguelgutti74@gmail.com</v>
      </c>
      <c r="M816" s="2" t="str">
        <f>'GN-Completo'!F23</f>
        <v>SMP</v>
      </c>
      <c r="N816" s="2" t="str">
        <f>'GN-Completo'!G23</f>
        <v>977 198 257</v>
      </c>
      <c r="O816" s="5" t="str">
        <f>'GN-Completo'!H23</f>
        <v>x</v>
      </c>
      <c r="P816" s="5" t="str">
        <f>'GN-Completo'!I23</f>
        <v/>
      </c>
      <c r="Q816" s="5">
        <f>'GN-Completo'!J23</f>
        <v>0</v>
      </c>
      <c r="R816" s="5" t="str">
        <f>'GN-Completo'!K23</f>
        <v/>
      </c>
      <c r="S816" s="2" t="str">
        <f>'GN-Completo'!L23</f>
        <v/>
      </c>
      <c r="T816" s="2" t="str">
        <f>'GN-Completo'!M23</f>
        <v/>
      </c>
      <c r="U816" s="34">
        <f>'GN-Completo'!N23</f>
        <v>0</v>
      </c>
      <c r="V816" s="34" t="str">
        <f>'GN-Completo'!O23</f>
        <v/>
      </c>
      <c r="W816" s="2" t="str">
        <f>'GN-Completo'!P23</f>
        <v/>
      </c>
      <c r="X816" s="34">
        <f>'GN-Completo'!Q23</f>
        <v>0</v>
      </c>
      <c r="Y816" s="1"/>
      <c r="Z816" s="1"/>
      <c r="AA816" s="1"/>
    </row>
    <row r="817">
      <c r="A817" s="1"/>
      <c r="B817" s="14">
        <f t="shared" si="15"/>
        <v>20</v>
      </c>
      <c r="C817" s="15" t="str">
        <f t="shared" si="1"/>
        <v>enero</v>
      </c>
      <c r="D817" s="15">
        <f t="shared" si="2"/>
        <v>2</v>
      </c>
      <c r="E817" s="16" t="str">
        <f t="shared" si="3"/>
        <v>lunes</v>
      </c>
      <c r="F817" s="15">
        <f t="shared" si="4"/>
        <v>5</v>
      </c>
      <c r="G817" s="15" t="s">
        <v>27</v>
      </c>
      <c r="H817" s="3" t="str">
        <f>'GN-Completo'!$G$3</f>
        <v>GN</v>
      </c>
      <c r="I817" s="24">
        <f>'GN-Completo'!B24</f>
        <v>46027</v>
      </c>
      <c r="J817" s="2" t="str">
        <f>'GN-Completo'!C24</f>
        <v>´005508766</v>
      </c>
      <c r="K817" s="2" t="str">
        <f>'GN-Completo'!D24</f>
        <v>Pablo Fernandez </v>
      </c>
      <c r="L817" s="2" t="str">
        <f>'GN-Completo'!E24</f>
        <v>Thepointcellima@gmail.com</v>
      </c>
      <c r="M817" s="2" t="str">
        <f>'GN-Completo'!F24</f>
        <v>Los olivos </v>
      </c>
      <c r="N817" s="2" t="str">
        <f>'GN-Completo'!G24</f>
        <v>997 936 197</v>
      </c>
      <c r="O817" s="5" t="str">
        <f>'GN-Completo'!H24</f>
        <v>x</v>
      </c>
      <c r="P817" s="5" t="str">
        <f>'GN-Completo'!I24</f>
        <v/>
      </c>
      <c r="Q817" s="5" t="str">
        <f>'GN-Completo'!J24</f>
        <v>S/.180.00</v>
      </c>
      <c r="R817" s="5" t="str">
        <f>'GN-Completo'!K24</f>
        <v/>
      </c>
      <c r="S817" s="2" t="str">
        <f>'GN-Completo'!L24</f>
        <v>PAGO</v>
      </c>
      <c r="T817" s="2" t="str">
        <f>'GN-Completo'!M24</f>
        <v>PLIN JL</v>
      </c>
      <c r="U817" s="34">
        <f>'GN-Completo'!N24</f>
        <v>100</v>
      </c>
      <c r="V817" s="34" t="str">
        <f>'GN-Completo'!O24</f>
        <v/>
      </c>
      <c r="W817" s="2" t="str">
        <f>'GN-Completo'!P24</f>
        <v>Tania</v>
      </c>
      <c r="X817" s="34">
        <f>'GN-Completo'!Q24</f>
        <v>100</v>
      </c>
      <c r="Y817" s="1"/>
      <c r="Z817" s="1"/>
      <c r="AA817" s="1"/>
    </row>
    <row r="818">
      <c r="A818" s="1"/>
      <c r="B818" s="14">
        <f t="shared" si="15"/>
        <v>21</v>
      </c>
      <c r="C818" s="15" t="str">
        <f t="shared" si="1"/>
        <v>enero</v>
      </c>
      <c r="D818" s="15">
        <f t="shared" si="2"/>
        <v>2</v>
      </c>
      <c r="E818" s="16" t="str">
        <f t="shared" si="3"/>
        <v>jueves</v>
      </c>
      <c r="F818" s="15">
        <f t="shared" si="4"/>
        <v>8</v>
      </c>
      <c r="G818" s="15" t="s">
        <v>27</v>
      </c>
      <c r="H818" s="3" t="str">
        <f>'GN-Completo'!$G$3</f>
        <v>GN</v>
      </c>
      <c r="I818" s="24">
        <f>'GN-Completo'!B25</f>
        <v>46030</v>
      </c>
      <c r="J818" s="2" t="str">
        <f>'GN-Completo'!C25</f>
        <v>´02438088</v>
      </c>
      <c r="K818" s="2" t="str">
        <f>'GN-Completo'!D25</f>
        <v>Robert Montilla</v>
      </c>
      <c r="L818" s="2" t="str">
        <f>'GN-Completo'!E25</f>
        <v>robertmontilla02@gmail.com</v>
      </c>
      <c r="M818" s="2" t="str">
        <f>'GN-Completo'!F25</f>
        <v>Ate</v>
      </c>
      <c r="N818" s="2" t="str">
        <f>'GN-Completo'!G25</f>
        <v>945 928 161</v>
      </c>
      <c r="O818" s="5" t="str">
        <f>'GN-Completo'!H25</f>
        <v/>
      </c>
      <c r="P818" s="5" t="str">
        <f>'GN-Completo'!I25</f>
        <v/>
      </c>
      <c r="Q818" s="5" t="str">
        <f>'GN-Completo'!J25</f>
        <v>S/.180.00</v>
      </c>
      <c r="R818" s="5" t="str">
        <f>'GN-Completo'!K25</f>
        <v/>
      </c>
      <c r="S818" s="2" t="str">
        <f>'GN-Completo'!L25</f>
        <v>PAGO</v>
      </c>
      <c r="T818" s="2" t="str">
        <f>'GN-Completo'!M25</f>
        <v>YAPE JL</v>
      </c>
      <c r="U818" s="34">
        <f>'GN-Completo'!N25</f>
        <v>180</v>
      </c>
      <c r="V818" s="34" t="str">
        <f>'GN-Completo'!O25</f>
        <v/>
      </c>
      <c r="W818" s="2" t="str">
        <f>'GN-Completo'!P25</f>
        <v>Tania</v>
      </c>
      <c r="X818" s="34">
        <f>'GN-Completo'!Q25</f>
        <v>180</v>
      </c>
      <c r="Y818" s="1"/>
      <c r="Z818" s="1"/>
      <c r="AA818" s="1"/>
    </row>
    <row r="819">
      <c r="A819" s="1"/>
      <c r="B819" s="14">
        <f t="shared" si="15"/>
        <v>22</v>
      </c>
      <c r="C819" s="15" t="str">
        <f t="shared" si="1"/>
        <v>enero</v>
      </c>
      <c r="D819" s="15">
        <f t="shared" si="2"/>
        <v>2</v>
      </c>
      <c r="E819" s="16" t="str">
        <f t="shared" si="3"/>
        <v>jueves</v>
      </c>
      <c r="F819" s="15">
        <f t="shared" si="4"/>
        <v>8</v>
      </c>
      <c r="G819" s="15" t="s">
        <v>27</v>
      </c>
      <c r="H819" s="3" t="str">
        <f>'GN-Completo'!$G$3</f>
        <v>GN</v>
      </c>
      <c r="I819" s="24">
        <f>'GN-Completo'!B26</f>
        <v>46030</v>
      </c>
      <c r="J819" s="2">
        <f>'GN-Completo'!C26</f>
        <v>77087419</v>
      </c>
      <c r="K819" s="2" t="str">
        <f>'GN-Completo'!D26</f>
        <v>Jessica Escarlen</v>
      </c>
      <c r="L819" s="27" t="str">
        <f>'GN-Completo'!E26</f>
        <v>Escarlen.mrkdigital@gmail.com</v>
      </c>
      <c r="M819" s="2" t="str">
        <f>'GN-Completo'!F26</f>
        <v/>
      </c>
      <c r="N819" s="2" t="str">
        <f>'GN-Completo'!G26</f>
        <v>955 805 382</v>
      </c>
      <c r="O819" s="5" t="str">
        <f>'GN-Completo'!H26</f>
        <v/>
      </c>
      <c r="P819" s="5" t="str">
        <f>'GN-Completo'!I26</f>
        <v>x</v>
      </c>
      <c r="Q819" s="5" t="str">
        <f>'GN-Completo'!J26</f>
        <v/>
      </c>
      <c r="R819" s="5" t="str">
        <f>'GN-Completo'!K26</f>
        <v/>
      </c>
      <c r="S819" s="2" t="str">
        <f>'GN-Completo'!L26</f>
        <v/>
      </c>
      <c r="T819" s="2" t="str">
        <f>'GN-Completo'!M26</f>
        <v/>
      </c>
      <c r="U819" s="34" t="str">
        <f>'GN-Completo'!N26</f>
        <v/>
      </c>
      <c r="V819" s="34" t="str">
        <f>'GN-Completo'!O26</f>
        <v/>
      </c>
      <c r="W819" s="2" t="str">
        <f>'GN-Completo'!P26</f>
        <v/>
      </c>
      <c r="X819" s="34">
        <f>'GN-Completo'!Q26</f>
        <v>0</v>
      </c>
      <c r="Y819" s="1"/>
      <c r="Z819" s="1"/>
      <c r="AA819" s="1"/>
    </row>
    <row r="820">
      <c r="A820" s="1"/>
      <c r="B820" s="14">
        <f t="shared" si="15"/>
        <v>23</v>
      </c>
      <c r="C820" s="15" t="str">
        <f t="shared" si="1"/>
        <v>enero</v>
      </c>
      <c r="D820" s="15">
        <f t="shared" si="2"/>
        <v>2</v>
      </c>
      <c r="E820" s="16" t="str">
        <f t="shared" si="3"/>
        <v>jueves</v>
      </c>
      <c r="F820" s="15">
        <f t="shared" si="4"/>
        <v>8</v>
      </c>
      <c r="G820" s="15" t="s">
        <v>27</v>
      </c>
      <c r="H820" s="3" t="str">
        <f>'GN-Completo'!$G$3</f>
        <v>GN</v>
      </c>
      <c r="I820" s="24">
        <f>'GN-Completo'!B27</f>
        <v>46030</v>
      </c>
      <c r="J820" s="2">
        <f>'GN-Completo'!C27</f>
        <v>76785683</v>
      </c>
      <c r="K820" s="2" t="str">
        <f>'GN-Completo'!D27</f>
        <v>Anderson Denis López López </v>
      </c>
      <c r="L820" s="2" t="str">
        <f>'GN-Completo'!E27</f>
        <v>fcanlelnubf@gmail.com</v>
      </c>
      <c r="M820" s="2" t="str">
        <f>'GN-Completo'!F27</f>
        <v>Callao </v>
      </c>
      <c r="N820" s="2" t="str">
        <f>'GN-Completo'!G27</f>
        <v>942 580 187</v>
      </c>
      <c r="O820" s="5" t="str">
        <f>'GN-Completo'!H27</f>
        <v/>
      </c>
      <c r="P820" s="5" t="str">
        <f>'GN-Completo'!I27</f>
        <v>x</v>
      </c>
      <c r="Q820" s="5">
        <f>'GN-Completo'!J27</f>
        <v>0</v>
      </c>
      <c r="R820" s="5" t="str">
        <f>'GN-Completo'!K27</f>
        <v/>
      </c>
      <c r="S820" s="2" t="str">
        <f>'GN-Completo'!L27</f>
        <v>PAGO</v>
      </c>
      <c r="T820" s="2" t="str">
        <f>'GN-Completo'!M27</f>
        <v/>
      </c>
      <c r="U820" s="34">
        <f>'GN-Completo'!N27</f>
        <v>0</v>
      </c>
      <c r="V820" s="34" t="str">
        <f>'GN-Completo'!O27</f>
        <v/>
      </c>
      <c r="W820" s="2" t="str">
        <f>'GN-Completo'!P27</f>
        <v/>
      </c>
      <c r="X820" s="34">
        <f>'GN-Completo'!Q27</f>
        <v>0</v>
      </c>
      <c r="Y820" s="1"/>
      <c r="Z820" s="1"/>
      <c r="AA820" s="1"/>
    </row>
    <row r="821">
      <c r="A821" s="1"/>
      <c r="B821" s="14">
        <f t="shared" si="15"/>
        <v>24</v>
      </c>
      <c r="C821" s="15" t="str">
        <f t="shared" si="1"/>
        <v>enero</v>
      </c>
      <c r="D821" s="15">
        <f t="shared" si="2"/>
        <v>2</v>
      </c>
      <c r="E821" s="16" t="str">
        <f t="shared" si="3"/>
        <v>sábado</v>
      </c>
      <c r="F821" s="15">
        <f t="shared" si="4"/>
        <v>10</v>
      </c>
      <c r="G821" s="15" t="s">
        <v>27</v>
      </c>
      <c r="H821" s="3" t="str">
        <f>'GN-Completo'!$G$3</f>
        <v>GN</v>
      </c>
      <c r="I821" s="24">
        <f>'GN-Completo'!B28</f>
        <v>46032</v>
      </c>
      <c r="J821" s="2">
        <f>'GN-Completo'!C28</f>
        <v>26728586</v>
      </c>
      <c r="K821" s="2" t="str">
        <f>'GN-Completo'!D28</f>
        <v>Luis Ivan Novoa Espinoza </v>
      </c>
      <c r="L821" s="2" t="str">
        <f>'GN-Completo'!E28</f>
        <v> ivannovoa@gmail.com</v>
      </c>
      <c r="M821" s="2" t="str">
        <f>'GN-Completo'!F28</f>
        <v>La Molina </v>
      </c>
      <c r="N821" s="2" t="str">
        <f>'GN-Completo'!G28</f>
        <v>986 191 035</v>
      </c>
      <c r="O821" s="5" t="str">
        <f>'GN-Completo'!H28</f>
        <v/>
      </c>
      <c r="P821" s="5" t="str">
        <f>'GN-Completo'!I28</f>
        <v>x</v>
      </c>
      <c r="Q821" s="5" t="str">
        <f>'GN-Completo'!J28</f>
        <v>S/.160.00</v>
      </c>
      <c r="R821" s="5" t="str">
        <f>'GN-Completo'!K28</f>
        <v/>
      </c>
      <c r="S821" s="2" t="str">
        <f>'GN-Completo'!L28</f>
        <v>PAGO</v>
      </c>
      <c r="T821" s="2" t="str">
        <f>'GN-Completo'!M28</f>
        <v>PLIN JL</v>
      </c>
      <c r="U821" s="34">
        <f>'GN-Completo'!N28</f>
        <v>160</v>
      </c>
      <c r="V821" s="34" t="str">
        <f>'GN-Completo'!O28</f>
        <v/>
      </c>
      <c r="W821" s="2" t="str">
        <f>'GN-Completo'!P28</f>
        <v>Tania</v>
      </c>
      <c r="X821" s="34">
        <f>'GN-Completo'!Q28</f>
        <v>160</v>
      </c>
      <c r="Y821" s="1"/>
      <c r="Z821" s="1"/>
      <c r="AA821" s="1"/>
    </row>
    <row r="822">
      <c r="A822" s="1"/>
      <c r="B822" s="14">
        <f t="shared" si="15"/>
        <v>25</v>
      </c>
      <c r="C822" s="15" t="str">
        <f t="shared" si="1"/>
        <v>enero</v>
      </c>
      <c r="D822" s="15">
        <f t="shared" si="2"/>
        <v>2</v>
      </c>
      <c r="E822" s="16" t="str">
        <f t="shared" si="3"/>
        <v>sábado</v>
      </c>
      <c r="F822" s="15">
        <f t="shared" si="4"/>
        <v>10</v>
      </c>
      <c r="G822" s="15" t="s">
        <v>27</v>
      </c>
      <c r="H822" s="3" t="str">
        <f>'GN-Completo'!$G$3</f>
        <v>GN</v>
      </c>
      <c r="I822" s="24">
        <f>'GN-Completo'!B29</f>
        <v>46032</v>
      </c>
      <c r="J822" s="2">
        <f>'GN-Completo'!C29</f>
        <v>71131738</v>
      </c>
      <c r="K822" s="2" t="str">
        <f>'GN-Completo'!D29</f>
        <v>Aldair fuentes castro</v>
      </c>
      <c r="L822" s="27" t="str">
        <f>'GN-Completo'!E29</f>
        <v>aldair321703@gmail.com</v>
      </c>
      <c r="M822" s="2" t="str">
        <f>'GN-Completo'!F29</f>
        <v>Pachacamac</v>
      </c>
      <c r="N822" s="2" t="str">
        <f>'GN-Completo'!G29</f>
        <v>991 957 123</v>
      </c>
      <c r="O822" s="5" t="str">
        <f>'GN-Completo'!H29</f>
        <v/>
      </c>
      <c r="P822" s="5" t="str">
        <f>'GN-Completo'!I29</f>
        <v>x</v>
      </c>
      <c r="Q822" s="5" t="str">
        <f>'GN-Completo'!J29</f>
        <v>S/.180.00</v>
      </c>
      <c r="R822" s="5" t="str">
        <f>'GN-Completo'!K29</f>
        <v/>
      </c>
      <c r="S822" s="2" t="str">
        <f>'GN-Completo'!L29</f>
        <v>PAGO</v>
      </c>
      <c r="T822" s="2" t="str">
        <f>'GN-Completo'!M29</f>
        <v/>
      </c>
      <c r="U822" s="34">
        <f>'GN-Completo'!N29</f>
        <v>180</v>
      </c>
      <c r="V822" s="34" t="str">
        <f>'GN-Completo'!O29</f>
        <v/>
      </c>
      <c r="W822" s="2" t="str">
        <f>'GN-Completo'!P29</f>
        <v>Tania</v>
      </c>
      <c r="X822" s="34">
        <f>'GN-Completo'!Q29</f>
        <v>180</v>
      </c>
      <c r="Y822" s="1"/>
      <c r="Z822" s="1"/>
      <c r="AA822" s="1"/>
    </row>
    <row r="823">
      <c r="A823" s="1"/>
      <c r="B823" s="14">
        <f t="shared" si="15"/>
        <v>26</v>
      </c>
      <c r="C823" s="15" t="str">
        <f t="shared" si="1"/>
        <v>enero</v>
      </c>
      <c r="D823" s="15">
        <f t="shared" si="2"/>
        <v>3</v>
      </c>
      <c r="E823" s="16" t="str">
        <f t="shared" si="3"/>
        <v>lunes</v>
      </c>
      <c r="F823" s="15">
        <f t="shared" si="4"/>
        <v>12</v>
      </c>
      <c r="G823" s="15" t="s">
        <v>27</v>
      </c>
      <c r="H823" s="3" t="str">
        <f>'GN-Completo'!$G$3</f>
        <v>GN</v>
      </c>
      <c r="I823" s="24">
        <f>'GN-Completo'!B30</f>
        <v>46034</v>
      </c>
      <c r="J823" s="2">
        <f>'GN-Completo'!C30</f>
        <v>10741489142</v>
      </c>
      <c r="K823" s="2" t="str">
        <f>'GN-Completo'!D30</f>
        <v>James Enrique Ccaira Quispe</v>
      </c>
      <c r="L823" s="2" t="str">
        <f>'GN-Completo'!E30</f>
        <v>jams.enri@hotmail.com</v>
      </c>
      <c r="M823" s="2" t="str">
        <f>'GN-Completo'!F30</f>
        <v>AREQUIPA</v>
      </c>
      <c r="N823" s="2" t="str">
        <f>'GN-Completo'!G30</f>
        <v>982 702 847</v>
      </c>
      <c r="O823" s="39" t="str">
        <f>'GN-Completo'!H30</f>
        <v/>
      </c>
      <c r="P823" s="5" t="str">
        <f>'GN-Completo'!I30</f>
        <v>x</v>
      </c>
      <c r="Q823" s="5">
        <f>'GN-Completo'!J30</f>
        <v>180</v>
      </c>
      <c r="R823" s="5" t="str">
        <f>'GN-Completo'!K30</f>
        <v/>
      </c>
      <c r="S823" s="2" t="str">
        <f>'GN-Completo'!L30</f>
        <v>PAGO</v>
      </c>
      <c r="T823" s="2" t="str">
        <f>'GN-Completo'!M30</f>
        <v>YAPE JL</v>
      </c>
      <c r="U823" s="34">
        <f>'GN-Completo'!N30</f>
        <v>180</v>
      </c>
      <c r="V823" s="34" t="str">
        <f>'GN-Completo'!O30</f>
        <v/>
      </c>
      <c r="W823" s="2" t="str">
        <f>'GN-Completo'!P30</f>
        <v>Greici</v>
      </c>
      <c r="X823" s="34">
        <f>'GN-Completo'!Q30</f>
        <v>180</v>
      </c>
      <c r="Y823" s="1"/>
      <c r="Z823" s="1"/>
      <c r="AA823" s="1"/>
    </row>
    <row r="824">
      <c r="A824" s="1"/>
      <c r="B824" s="14">
        <f t="shared" si="15"/>
        <v>27</v>
      </c>
      <c r="C824" s="15" t="str">
        <f t="shared" si="1"/>
        <v>enero</v>
      </c>
      <c r="D824" s="15">
        <f t="shared" si="2"/>
        <v>3</v>
      </c>
      <c r="E824" s="16" t="str">
        <f t="shared" si="3"/>
        <v>martes</v>
      </c>
      <c r="F824" s="15">
        <f t="shared" si="4"/>
        <v>13</v>
      </c>
      <c r="G824" s="15" t="s">
        <v>27</v>
      </c>
      <c r="H824" s="3" t="str">
        <f>'GN-Completo'!$G$3</f>
        <v>GN</v>
      </c>
      <c r="I824" s="24">
        <f>'GN-Completo'!B31</f>
        <v>46035</v>
      </c>
      <c r="J824" s="2">
        <f>'GN-Completo'!C31</f>
        <v>10719169</v>
      </c>
      <c r="K824" s="2" t="str">
        <f>'GN-Completo'!D31</f>
        <v>Jorge Luis cabrera Montenegro</v>
      </c>
      <c r="L824" s="27" t="str">
        <f>'GN-Completo'!E31</f>
        <v>ventas@espacioalexandra.com</v>
      </c>
      <c r="M824" s="2" t="str">
        <f>'GN-Completo'!F31</f>
        <v>San miguel</v>
      </c>
      <c r="N824" s="2">
        <f>'GN-Completo'!G31</f>
        <v>990494288</v>
      </c>
      <c r="O824" s="2" t="str">
        <f>'GN-Completo'!H31</f>
        <v/>
      </c>
      <c r="P824" s="2" t="str">
        <f>'GN-Completo'!I31</f>
        <v>x</v>
      </c>
      <c r="Q824" s="2">
        <f>'GN-Completo'!J31</f>
        <v>0</v>
      </c>
      <c r="R824" s="2" t="str">
        <f>'GN-Completo'!K31</f>
        <v/>
      </c>
      <c r="S824" s="2" t="str">
        <f>'GN-Completo'!L31</f>
        <v>PAGO</v>
      </c>
      <c r="T824" s="2" t="str">
        <f>'GN-Completo'!M31</f>
        <v/>
      </c>
      <c r="U824" s="2">
        <f>'GN-Completo'!N31</f>
        <v>0</v>
      </c>
      <c r="V824" s="2" t="str">
        <f>'GN-Completo'!O31</f>
        <v/>
      </c>
      <c r="W824" s="2" t="str">
        <f>'GN-Completo'!P31</f>
        <v/>
      </c>
      <c r="X824" s="34">
        <f>'GN-Completo'!Q31</f>
        <v>0</v>
      </c>
      <c r="Y824" s="1"/>
      <c r="Z824" s="1"/>
      <c r="AA824" s="1"/>
    </row>
    <row r="825">
      <c r="A825" s="1"/>
      <c r="B825" s="14">
        <f t="shared" si="15"/>
        <v>28</v>
      </c>
      <c r="C825" s="15" t="str">
        <f t="shared" si="1"/>
        <v>enero</v>
      </c>
      <c r="D825" s="15">
        <f t="shared" si="2"/>
        <v>3</v>
      </c>
      <c r="E825" s="16" t="str">
        <f t="shared" si="3"/>
        <v>martes</v>
      </c>
      <c r="F825" s="15">
        <f t="shared" si="4"/>
        <v>13</v>
      </c>
      <c r="G825" s="15" t="s">
        <v>27</v>
      </c>
      <c r="H825" s="3" t="str">
        <f>'GN-Completo'!$G$3</f>
        <v>GN</v>
      </c>
      <c r="I825" s="24">
        <f>'GN-Completo'!B32</f>
        <v>46035</v>
      </c>
      <c r="J825" s="2">
        <f>'GN-Completo'!C32</f>
        <v>70919834</v>
      </c>
      <c r="K825" s="2" t="str">
        <f>'GN-Completo'!D32</f>
        <v>Carlos Eduardo Cumpa alayo</v>
      </c>
      <c r="L825" s="2" t="str">
        <f>'GN-Completo'!E32</f>
        <v>carlossmithh21@gmail.com</v>
      </c>
      <c r="M825" s="2" t="str">
        <f>'GN-Completo'!F32</f>
        <v>San Juan de Lurigancho</v>
      </c>
      <c r="N825" s="2" t="str">
        <f>'GN-Completo'!G32</f>
        <v>956 899 742</v>
      </c>
      <c r="O825" s="5" t="str">
        <f>'GN-Completo'!H32</f>
        <v/>
      </c>
      <c r="P825" s="5" t="str">
        <f>'GN-Completo'!I32</f>
        <v>x</v>
      </c>
      <c r="Q825" s="5">
        <f>'GN-Completo'!J32</f>
        <v>180</v>
      </c>
      <c r="R825" s="5" t="str">
        <f>'GN-Completo'!K32</f>
        <v/>
      </c>
      <c r="S825" s="2" t="str">
        <f>'GN-Completo'!L32</f>
        <v>PAGO</v>
      </c>
      <c r="T825" s="2" t="str">
        <f>'GN-Completo'!M32</f>
        <v>BCP JL</v>
      </c>
      <c r="U825" s="34">
        <f>'GN-Completo'!N32</f>
        <v>180</v>
      </c>
      <c r="V825" s="34" t="str">
        <f>'GN-Completo'!O32</f>
        <v/>
      </c>
      <c r="W825" s="2" t="str">
        <f>'GN-Completo'!P32</f>
        <v>Tania</v>
      </c>
      <c r="X825" s="34">
        <f>'GN-Completo'!Q32</f>
        <v>180</v>
      </c>
      <c r="Y825" s="1"/>
      <c r="Z825" s="1"/>
      <c r="AA825" s="1"/>
    </row>
    <row r="826">
      <c r="A826" s="1"/>
      <c r="B826" s="14">
        <f t="shared" si="15"/>
        <v>29</v>
      </c>
      <c r="C826" s="15" t="str">
        <f t="shared" si="1"/>
        <v>diciembre</v>
      </c>
      <c r="D826" s="15">
        <f t="shared" si="2"/>
        <v>52</v>
      </c>
      <c r="E826" s="16" t="str">
        <f t="shared" si="3"/>
        <v>sábado</v>
      </c>
      <c r="F826" s="15">
        <f t="shared" si="4"/>
        <v>30</v>
      </c>
      <c r="G826" s="15" t="s">
        <v>27</v>
      </c>
      <c r="H826" s="3" t="str">
        <f>'GN-Completo'!$G$3</f>
        <v>GN</v>
      </c>
      <c r="I826" s="24" t="str">
        <f>'GN-Completo'!B33</f>
        <v/>
      </c>
      <c r="J826" s="2" t="str">
        <f>'GN-Completo'!C33</f>
        <v/>
      </c>
      <c r="K826" s="2" t="str">
        <f>'GN-Completo'!D33</f>
        <v>Ricardo Boza</v>
      </c>
      <c r="L826" s="2" t="str">
        <f>'GN-Completo'!E33</f>
        <v>Richiebzv@gmail.com</v>
      </c>
      <c r="M826" s="2" t="str">
        <f>'GN-Completo'!F33</f>
        <v/>
      </c>
      <c r="N826" s="2" t="str">
        <f>'GN-Completo'!G33</f>
        <v> 963 037 833</v>
      </c>
      <c r="O826" s="5" t="str">
        <f>'GN-Completo'!H33</f>
        <v>x</v>
      </c>
      <c r="P826" s="5" t="str">
        <f>'GN-Completo'!I33</f>
        <v/>
      </c>
      <c r="Q826" s="5">
        <f>'GN-Completo'!J33</f>
        <v>0</v>
      </c>
      <c r="R826" s="5" t="str">
        <f>'GN-Completo'!K33</f>
        <v/>
      </c>
      <c r="S826" s="2" t="str">
        <f>'GN-Completo'!L33</f>
        <v/>
      </c>
      <c r="T826" s="2">
        <f>'GN-Completo'!M33</f>
        <v>0</v>
      </c>
      <c r="U826" s="34">
        <f>'GN-Completo'!N33</f>
        <v>0</v>
      </c>
      <c r="V826" s="34" t="str">
        <f>'GN-Completo'!O33</f>
        <v/>
      </c>
      <c r="W826" s="2" t="str">
        <f>'GN-Completo'!P33</f>
        <v/>
      </c>
      <c r="X826" s="34">
        <f>'GN-Completo'!Q33</f>
        <v>0</v>
      </c>
      <c r="Y826" s="1"/>
      <c r="Z826" s="1"/>
      <c r="AA826" s="1"/>
    </row>
    <row r="827">
      <c r="A827" s="1"/>
      <c r="B827" s="14">
        <f t="shared" si="15"/>
        <v>30</v>
      </c>
      <c r="C827" s="15" t="str">
        <f t="shared" si="1"/>
        <v>enero</v>
      </c>
      <c r="D827" s="15">
        <f t="shared" si="2"/>
        <v>4</v>
      </c>
      <c r="E827" s="16" t="str">
        <f t="shared" si="3"/>
        <v>domingo</v>
      </c>
      <c r="F827" s="15">
        <f t="shared" si="4"/>
        <v>18</v>
      </c>
      <c r="G827" s="15" t="s">
        <v>27</v>
      </c>
      <c r="H827" s="3" t="str">
        <f>'GN-Completo'!$G$3</f>
        <v>GN</v>
      </c>
      <c r="I827" s="24">
        <f>'GN-Completo'!B34</f>
        <v>46040</v>
      </c>
      <c r="J827" s="2">
        <f>'GN-Completo'!C34</f>
        <v>71474780</v>
      </c>
      <c r="K827" s="2" t="str">
        <f>'GN-Completo'!D34</f>
        <v>Martha lucia Gutiérrez Pacheco</v>
      </c>
      <c r="L827" s="2" t="str">
        <f>'GN-Completo'!E34</f>
        <v>marthaluciagutierrezpacheco@gmail.com  </v>
      </c>
      <c r="M827" s="2" t="str">
        <f>'GN-Completo'!F34</f>
        <v>Nasca Ica</v>
      </c>
      <c r="N827" s="2" t="str">
        <f>'GN-Completo'!G34</f>
        <v>922 607 372</v>
      </c>
      <c r="O827" s="5" t="str">
        <f>'GN-Completo'!H34</f>
        <v/>
      </c>
      <c r="P827" s="5" t="str">
        <f>'GN-Completo'!I34</f>
        <v>x</v>
      </c>
      <c r="Q827" s="5">
        <f>'GN-Completo'!J34</f>
        <v>180</v>
      </c>
      <c r="R827" s="5" t="str">
        <f>'GN-Completo'!K34</f>
        <v/>
      </c>
      <c r="S827" s="2" t="str">
        <f>'GN-Completo'!L34</f>
        <v>PAGO</v>
      </c>
      <c r="T827" s="2" t="str">
        <f>'GN-Completo'!M34</f>
        <v>YAPE JL</v>
      </c>
      <c r="U827" s="34">
        <f>'GN-Completo'!N34</f>
        <v>180</v>
      </c>
      <c r="V827" s="34" t="str">
        <f>'GN-Completo'!O34</f>
        <v/>
      </c>
      <c r="W827" s="2" t="str">
        <f>'GN-Completo'!P34</f>
        <v>Tania</v>
      </c>
      <c r="X827" s="34">
        <f>'GN-Completo'!Q34</f>
        <v>180</v>
      </c>
      <c r="Y827" s="1"/>
      <c r="Z827" s="1"/>
      <c r="AA827" s="1"/>
    </row>
    <row r="828">
      <c r="A828" s="1"/>
      <c r="B828" s="14">
        <f t="shared" si="15"/>
        <v>31</v>
      </c>
      <c r="C828" s="15" t="str">
        <f t="shared" si="1"/>
        <v>enero</v>
      </c>
      <c r="D828" s="15">
        <f t="shared" si="2"/>
        <v>4</v>
      </c>
      <c r="E828" s="16" t="str">
        <f t="shared" si="3"/>
        <v>martes</v>
      </c>
      <c r="F828" s="15">
        <f t="shared" si="4"/>
        <v>20</v>
      </c>
      <c r="G828" s="15" t="s">
        <v>27</v>
      </c>
      <c r="H828" s="3" t="str">
        <f>'GN-Completo'!$G$3</f>
        <v>GN</v>
      </c>
      <c r="I828" s="24">
        <f>'GN-Completo'!B35</f>
        <v>46042</v>
      </c>
      <c r="J828" s="2">
        <f>'GN-Completo'!C35</f>
        <v>42944658</v>
      </c>
      <c r="K828" s="2" t="str">
        <f>'GN-Completo'!D35</f>
        <v>Osmar Rosas Tomas</v>
      </c>
      <c r="L828" s="2" t="str">
        <f>'GN-Completo'!E35</f>
        <v>rosastomasosmar@gmail.com</v>
      </c>
      <c r="M828" s="2" t="str">
        <f>'GN-Completo'!F35</f>
        <v>Trujillo</v>
      </c>
      <c r="N828" s="2" t="str">
        <f>'GN-Completo'!G35</f>
        <v>921 548 092</v>
      </c>
      <c r="O828" s="5" t="str">
        <f>'GN-Completo'!H35</f>
        <v/>
      </c>
      <c r="P828" s="5" t="str">
        <f>'GN-Completo'!I35</f>
        <v>x</v>
      </c>
      <c r="Q828" s="5">
        <f>'GN-Completo'!J35</f>
        <v>180</v>
      </c>
      <c r="R828" s="5" t="str">
        <f>'GN-Completo'!K35</f>
        <v/>
      </c>
      <c r="S828" s="2" t="str">
        <f>'GN-Completo'!L35</f>
        <v>PAGO</v>
      </c>
      <c r="T828" s="2" t="str">
        <f>'GN-Completo'!M35</f>
        <v>YAPE JL</v>
      </c>
      <c r="U828" s="34">
        <f>'GN-Completo'!N35</f>
        <v>180</v>
      </c>
      <c r="V828" s="34" t="str">
        <f>'GN-Completo'!O35</f>
        <v/>
      </c>
      <c r="W828" s="2" t="str">
        <f>'GN-Completo'!P35</f>
        <v>Tania</v>
      </c>
      <c r="X828" s="34">
        <f>'GN-Completo'!Q35</f>
        <v>180</v>
      </c>
      <c r="Y828" s="1"/>
      <c r="Z828" s="1"/>
      <c r="AA828" s="1"/>
    </row>
    <row r="829">
      <c r="A829" s="1"/>
      <c r="B829" s="14">
        <f t="shared" si="15"/>
        <v>32</v>
      </c>
      <c r="C829" s="15" t="str">
        <f t="shared" si="1"/>
        <v>enero</v>
      </c>
      <c r="D829" s="15">
        <f t="shared" si="2"/>
        <v>4</v>
      </c>
      <c r="E829" s="16" t="str">
        <f t="shared" si="3"/>
        <v>martes</v>
      </c>
      <c r="F829" s="15">
        <f t="shared" si="4"/>
        <v>20</v>
      </c>
      <c r="G829" s="15" t="s">
        <v>27</v>
      </c>
      <c r="H829" s="3" t="str">
        <f>'GN-Completo'!$G$3</f>
        <v>GN</v>
      </c>
      <c r="I829" s="24">
        <f>'GN-Completo'!B36</f>
        <v>46042</v>
      </c>
      <c r="J829" s="2">
        <f>'GN-Completo'!C36</f>
        <v>41229116</v>
      </c>
      <c r="K829" s="2" t="str">
        <f>'GN-Completo'!D36</f>
        <v>Edver luna goñi</v>
      </c>
      <c r="L829" s="2" t="str">
        <f>'GN-Completo'!E36</f>
        <v>Lunaedver@gmail.com</v>
      </c>
      <c r="M829" s="2" t="str">
        <f>'GN-Completo'!F36</f>
        <v>Carabayllo</v>
      </c>
      <c r="N829" s="2" t="str">
        <f>'GN-Completo'!G36</f>
        <v> 936 928 510</v>
      </c>
      <c r="O829" s="2" t="str">
        <f>'GN-Completo'!H36</f>
        <v/>
      </c>
      <c r="P829" s="5" t="str">
        <f>'GN-Completo'!I36</f>
        <v>x</v>
      </c>
      <c r="Q829" s="5">
        <f>'GN-Completo'!J36</f>
        <v>180</v>
      </c>
      <c r="R829" s="2" t="str">
        <f>'GN-Completo'!K36</f>
        <v/>
      </c>
      <c r="S829" s="2" t="str">
        <f>'GN-Completo'!L36</f>
        <v>PAGO</v>
      </c>
      <c r="T829" s="2" t="str">
        <f>'GN-Completo'!M36</f>
        <v>YAPE JL</v>
      </c>
      <c r="U829" s="34">
        <f>'GN-Completo'!N36</f>
        <v>180</v>
      </c>
      <c r="V829" s="2" t="str">
        <f>'GN-Completo'!O36</f>
        <v/>
      </c>
      <c r="W829" s="2" t="str">
        <f>'GN-Completo'!P36</f>
        <v>Tania</v>
      </c>
      <c r="X829" s="34">
        <f>'GN-Completo'!Q36</f>
        <v>180</v>
      </c>
      <c r="Y829" s="1"/>
      <c r="Z829" s="1"/>
      <c r="AA829" s="1"/>
    </row>
    <row r="830">
      <c r="A830" s="1"/>
      <c r="B830" s="14">
        <f t="shared" si="15"/>
        <v>33</v>
      </c>
      <c r="C830" s="15" t="str">
        <f t="shared" si="1"/>
        <v>diciembre</v>
      </c>
      <c r="D830" s="15">
        <f t="shared" si="2"/>
        <v>52</v>
      </c>
      <c r="E830" s="16" t="str">
        <f t="shared" si="3"/>
        <v>sábado</v>
      </c>
      <c r="F830" s="15">
        <f t="shared" si="4"/>
        <v>30</v>
      </c>
      <c r="G830" s="15" t="s">
        <v>27</v>
      </c>
      <c r="H830" s="3" t="str">
        <f>'GN-Completo'!$G$3</f>
        <v>GN</v>
      </c>
      <c r="I830" s="24" t="str">
        <f>'GN-Completo'!B37</f>
        <v/>
      </c>
      <c r="J830" s="2" t="str">
        <f>'GN-Completo'!C37</f>
        <v/>
      </c>
      <c r="K830" s="2" t="str">
        <f>'GN-Completo'!D37</f>
        <v/>
      </c>
      <c r="L830" s="2" t="str">
        <f>'GN-Completo'!E37</f>
        <v/>
      </c>
      <c r="M830" s="2" t="str">
        <f>'GN-Completo'!F37</f>
        <v/>
      </c>
      <c r="N830" s="2" t="str">
        <f>'GN-Completo'!G37</f>
        <v/>
      </c>
      <c r="O830" s="5" t="str">
        <f>'GN-Completo'!H37</f>
        <v/>
      </c>
      <c r="P830" s="5" t="str">
        <f>'GN-Completo'!I37</f>
        <v/>
      </c>
      <c r="Q830" s="5" t="str">
        <f>'GN-Completo'!J37</f>
        <v/>
      </c>
      <c r="R830" s="5" t="str">
        <f>'GN-Completo'!K37</f>
        <v/>
      </c>
      <c r="S830" s="2" t="str">
        <f>'GN-Completo'!L37</f>
        <v/>
      </c>
      <c r="T830" s="2" t="str">
        <f>'GN-Completo'!M37</f>
        <v/>
      </c>
      <c r="U830" s="34" t="str">
        <f>'GN-Completo'!N37</f>
        <v/>
      </c>
      <c r="V830" s="34" t="str">
        <f>'GN-Completo'!O37</f>
        <v/>
      </c>
      <c r="W830" s="2" t="str">
        <f>'GN-Completo'!P37</f>
        <v/>
      </c>
      <c r="X830" s="34">
        <f>'GN-Completo'!Q37</f>
        <v>0</v>
      </c>
      <c r="Y830" s="1"/>
      <c r="Z830" s="1"/>
      <c r="AA830" s="1"/>
    </row>
    <row r="831">
      <c r="A831" s="1"/>
      <c r="B831" s="14">
        <f t="shared" si="15"/>
        <v>34</v>
      </c>
      <c r="C831" s="15" t="str">
        <f t="shared" si="1"/>
        <v>enero</v>
      </c>
      <c r="D831" s="15">
        <f t="shared" si="2"/>
        <v>3</v>
      </c>
      <c r="E831" s="16" t="str">
        <f t="shared" si="3"/>
        <v>martes</v>
      </c>
      <c r="F831" s="15">
        <f t="shared" si="4"/>
        <v>13</v>
      </c>
      <c r="G831" s="15" t="s">
        <v>27</v>
      </c>
      <c r="H831" s="3" t="str">
        <f>'GN-Completo'!$G$3</f>
        <v>GN</v>
      </c>
      <c r="I831" s="24">
        <f>'GN-Completo'!B38</f>
        <v>46035</v>
      </c>
      <c r="J831" s="2">
        <f>'GN-Completo'!C38</f>
        <v>72505663</v>
      </c>
      <c r="K831" s="2" t="str">
        <f>'GN-Completo'!D38</f>
        <v>Luna Alejandra Peláez Egoavil </v>
      </c>
      <c r="L831" s="2" t="str">
        <f>'GN-Completo'!E38</f>
        <v>lunapelaez.25.11@gmail.com</v>
      </c>
      <c r="M831" s="2" t="str">
        <f>'GN-Completo'!F38</f>
        <v>SMP</v>
      </c>
      <c r="N831" s="2" t="str">
        <f>'GN-Completo'!G38</f>
        <v/>
      </c>
      <c r="O831" s="5" t="str">
        <f>'GN-Completo'!H38</f>
        <v/>
      </c>
      <c r="P831" s="5" t="str">
        <f>'GN-Completo'!I38</f>
        <v>x</v>
      </c>
      <c r="Q831" s="5">
        <f>'GN-Completo'!J38</f>
        <v>180</v>
      </c>
      <c r="R831" s="5" t="str">
        <f>'GN-Completo'!K38</f>
        <v/>
      </c>
      <c r="S831" s="2" t="str">
        <f>'GN-Completo'!L38</f>
        <v>PAGO</v>
      </c>
      <c r="T831" s="2" t="str">
        <f>'GN-Completo'!M38</f>
        <v>YAPE JL</v>
      </c>
      <c r="U831" s="34">
        <f>'GN-Completo'!N38</f>
        <v>180</v>
      </c>
      <c r="V831" s="34" t="str">
        <f>'GN-Completo'!O38</f>
        <v/>
      </c>
      <c r="W831" s="2" t="str">
        <f>'GN-Completo'!P38</f>
        <v>Gabriela</v>
      </c>
      <c r="X831" s="34">
        <f>'GN-Completo'!Q38</f>
        <v>180</v>
      </c>
      <c r="Y831" s="1"/>
      <c r="Z831" s="1"/>
      <c r="AA831" s="1"/>
    </row>
    <row r="832">
      <c r="A832" s="1"/>
      <c r="B832" s="14">
        <f t="shared" si="15"/>
        <v>35</v>
      </c>
      <c r="C832" s="15" t="str">
        <f t="shared" si="1"/>
        <v>diciembre</v>
      </c>
      <c r="D832" s="15">
        <f t="shared" si="2"/>
        <v>52</v>
      </c>
      <c r="E832" s="16" t="str">
        <f t="shared" si="3"/>
        <v>sábado</v>
      </c>
      <c r="F832" s="15">
        <f t="shared" si="4"/>
        <v>30</v>
      </c>
      <c r="G832" s="15" t="s">
        <v>27</v>
      </c>
      <c r="H832" s="3" t="str">
        <f>'GN-Completo'!$G$3</f>
        <v>GN</v>
      </c>
      <c r="I832" s="24" t="str">
        <f>'GN-Completo'!B39</f>
        <v/>
      </c>
      <c r="J832" s="2" t="str">
        <f>'GN-Completo'!C39</f>
        <v/>
      </c>
      <c r="K832" s="2" t="str">
        <f>'GN-Completo'!D39</f>
        <v/>
      </c>
      <c r="L832" s="2" t="str">
        <f>'GN-Completo'!E39</f>
        <v/>
      </c>
      <c r="M832" s="2" t="str">
        <f>'GN-Completo'!F39</f>
        <v/>
      </c>
      <c r="N832" s="2" t="str">
        <f>'GN-Completo'!G39</f>
        <v/>
      </c>
      <c r="O832" s="5" t="str">
        <f>'GN-Completo'!H39</f>
        <v/>
      </c>
      <c r="P832" s="5" t="str">
        <f>'GN-Completo'!I39</f>
        <v/>
      </c>
      <c r="Q832" s="5" t="str">
        <f>'GN-Completo'!J39</f>
        <v/>
      </c>
      <c r="R832" s="5" t="str">
        <f>'GN-Completo'!K39</f>
        <v/>
      </c>
      <c r="S832" s="2" t="str">
        <f>'GN-Completo'!L39</f>
        <v/>
      </c>
      <c r="T832" s="2" t="str">
        <f>'GN-Completo'!M39</f>
        <v/>
      </c>
      <c r="U832" s="34" t="str">
        <f>'GN-Completo'!N39</f>
        <v/>
      </c>
      <c r="V832" s="34" t="str">
        <f>'GN-Completo'!O39</f>
        <v/>
      </c>
      <c r="W832" s="2" t="str">
        <f>'GN-Completo'!P39</f>
        <v/>
      </c>
      <c r="X832" s="34">
        <f>'GN-Completo'!Q39</f>
        <v>0</v>
      </c>
      <c r="Y832" s="1"/>
      <c r="Z832" s="1"/>
      <c r="AA832" s="1"/>
    </row>
    <row r="833">
      <c r="A833" s="1"/>
      <c r="B833" s="14">
        <f t="shared" si="15"/>
        <v>36</v>
      </c>
      <c r="C833" s="15" t="str">
        <f t="shared" si="1"/>
        <v>diciembre</v>
      </c>
      <c r="D833" s="15">
        <f t="shared" si="2"/>
        <v>52</v>
      </c>
      <c r="E833" s="16" t="str">
        <f t="shared" si="3"/>
        <v>sábado</v>
      </c>
      <c r="F833" s="15">
        <f t="shared" si="4"/>
        <v>30</v>
      </c>
      <c r="G833" s="15" t="s">
        <v>27</v>
      </c>
      <c r="H833" s="3" t="str">
        <f>'GN-Completo'!$G$3</f>
        <v>GN</v>
      </c>
      <c r="I833" s="24" t="str">
        <f>'GN-Completo'!B40</f>
        <v/>
      </c>
      <c r="J833" s="2" t="str">
        <f>'GN-Completo'!C40</f>
        <v/>
      </c>
      <c r="K833" s="2" t="str">
        <f>'GN-Completo'!D40</f>
        <v>Walter Seyfarth</v>
      </c>
      <c r="L833" s="2" t="str">
        <f>'GN-Completo'!E40</f>
        <v>walterseyfarthbsn@gmail.com</v>
      </c>
      <c r="M833" s="2" t="str">
        <f>'GN-Completo'!F40</f>
        <v/>
      </c>
      <c r="N833" s="2" t="str">
        <f>'GN-Completo'!G40</f>
        <v> 962 372 707</v>
      </c>
      <c r="O833" s="5" t="str">
        <f>'GN-Completo'!H40</f>
        <v/>
      </c>
      <c r="P833" s="5" t="str">
        <f>'GN-Completo'!I40</f>
        <v>x</v>
      </c>
      <c r="Q833" s="5">
        <f>'GN-Completo'!J40</f>
        <v>0</v>
      </c>
      <c r="R833" s="5" t="str">
        <f>'GN-Completo'!K40</f>
        <v/>
      </c>
      <c r="S833" s="2" t="str">
        <f>'GN-Completo'!L40</f>
        <v/>
      </c>
      <c r="T833" s="2" t="str">
        <f>'GN-Completo'!M40</f>
        <v/>
      </c>
      <c r="U833" s="34">
        <f>'GN-Completo'!N40</f>
        <v>0</v>
      </c>
      <c r="V833" s="34" t="str">
        <f>'GN-Completo'!O40</f>
        <v/>
      </c>
      <c r="W833" s="2" t="str">
        <f>'GN-Completo'!P40</f>
        <v/>
      </c>
      <c r="X833" s="34">
        <f>'GN-Completo'!Q40</f>
        <v>0</v>
      </c>
      <c r="Y833" s="1"/>
      <c r="Z833" s="1"/>
      <c r="AA833" s="1"/>
    </row>
    <row r="834">
      <c r="A834" s="1"/>
      <c r="B834" s="14">
        <f t="shared" si="15"/>
        <v>37</v>
      </c>
      <c r="C834" s="15" t="str">
        <f t="shared" si="1"/>
        <v>diciembre</v>
      </c>
      <c r="D834" s="15">
        <f t="shared" si="2"/>
        <v>52</v>
      </c>
      <c r="E834" s="16" t="str">
        <f t="shared" si="3"/>
        <v>sábado</v>
      </c>
      <c r="F834" s="15">
        <f t="shared" si="4"/>
        <v>30</v>
      </c>
      <c r="G834" s="15" t="s">
        <v>27</v>
      </c>
      <c r="H834" s="3" t="str">
        <f>'GN-Completo'!$G$3</f>
        <v>GN</v>
      </c>
      <c r="I834" s="24" t="str">
        <f>'GN-Completo'!B41</f>
        <v/>
      </c>
      <c r="J834" s="2" t="str">
        <f>'GN-Completo'!C41</f>
        <v/>
      </c>
      <c r="K834" s="2" t="str">
        <f>'GN-Completo'!D41</f>
        <v/>
      </c>
      <c r="L834" s="2" t="str">
        <f>'GN-Completo'!E41</f>
        <v/>
      </c>
      <c r="M834" s="2" t="str">
        <f>'GN-Completo'!F41</f>
        <v/>
      </c>
      <c r="N834" s="2" t="str">
        <f>'GN-Completo'!G41</f>
        <v/>
      </c>
      <c r="O834" s="5" t="str">
        <f>'GN-Completo'!H41</f>
        <v/>
      </c>
      <c r="P834" s="5" t="str">
        <f>'GN-Completo'!I41</f>
        <v/>
      </c>
      <c r="Q834" s="5" t="str">
        <f>'GN-Completo'!J41</f>
        <v/>
      </c>
      <c r="R834" s="5" t="str">
        <f>'GN-Completo'!K41</f>
        <v/>
      </c>
      <c r="S834" s="2" t="str">
        <f>'GN-Completo'!L41</f>
        <v/>
      </c>
      <c r="T834" s="2" t="str">
        <f>'GN-Completo'!M41</f>
        <v/>
      </c>
      <c r="U834" s="34" t="str">
        <f>'GN-Completo'!N41</f>
        <v/>
      </c>
      <c r="V834" s="34" t="str">
        <f>'GN-Completo'!O41</f>
        <v/>
      </c>
      <c r="W834" s="2" t="str">
        <f>'GN-Completo'!P41</f>
        <v/>
      </c>
      <c r="X834" s="34">
        <f>'GN-Completo'!Q41</f>
        <v>0</v>
      </c>
      <c r="Y834" s="1"/>
      <c r="Z834" s="1"/>
      <c r="AA834" s="1"/>
    </row>
    <row r="835">
      <c r="A835" s="1"/>
      <c r="B835" s="14">
        <f t="shared" si="15"/>
        <v>38</v>
      </c>
      <c r="C835" s="15" t="str">
        <f t="shared" si="1"/>
        <v>diciembre</v>
      </c>
      <c r="D835" s="15">
        <f t="shared" si="2"/>
        <v>52</v>
      </c>
      <c r="E835" s="16" t="str">
        <f t="shared" si="3"/>
        <v>sábado</v>
      </c>
      <c r="F835" s="15">
        <f t="shared" si="4"/>
        <v>30</v>
      </c>
      <c r="G835" s="15" t="s">
        <v>27</v>
      </c>
      <c r="H835" s="3" t="str">
        <f>'GN-Completo'!$G$3</f>
        <v>GN</v>
      </c>
      <c r="I835" s="24" t="str">
        <f>'GN-Completo'!B42</f>
        <v/>
      </c>
      <c r="J835" s="2" t="str">
        <f>'GN-Completo'!C42</f>
        <v/>
      </c>
      <c r="K835" s="2" t="str">
        <f>'GN-Completo'!D42</f>
        <v/>
      </c>
      <c r="L835" s="2" t="str">
        <f>'GN-Completo'!E42</f>
        <v/>
      </c>
      <c r="M835" s="2" t="str">
        <f>'GN-Completo'!F42</f>
        <v/>
      </c>
      <c r="N835" s="2" t="str">
        <f>'GN-Completo'!G42</f>
        <v/>
      </c>
      <c r="O835" s="5" t="str">
        <f>'GN-Completo'!H42</f>
        <v/>
      </c>
      <c r="P835" s="5" t="str">
        <f>'GN-Completo'!I42</f>
        <v/>
      </c>
      <c r="Q835" s="5" t="str">
        <f>'GN-Completo'!J42</f>
        <v/>
      </c>
      <c r="R835" s="5" t="str">
        <f>'GN-Completo'!K42</f>
        <v/>
      </c>
      <c r="S835" s="2" t="str">
        <f>'GN-Completo'!L42</f>
        <v/>
      </c>
      <c r="T835" s="2" t="str">
        <f>'GN-Completo'!M42</f>
        <v/>
      </c>
      <c r="U835" s="34" t="str">
        <f>'GN-Completo'!N42</f>
        <v/>
      </c>
      <c r="V835" s="34" t="str">
        <f>'GN-Completo'!O42</f>
        <v/>
      </c>
      <c r="W835" s="2" t="str">
        <f>'GN-Completo'!P42</f>
        <v/>
      </c>
      <c r="X835" s="34">
        <f>'GN-Completo'!Q42</f>
        <v>0</v>
      </c>
      <c r="Y835" s="1"/>
      <c r="Z835" s="1"/>
      <c r="AA835" s="1"/>
    </row>
    <row r="836">
      <c r="A836" s="1"/>
      <c r="B836" s="14">
        <f t="shared" si="15"/>
        <v>39</v>
      </c>
      <c r="C836" s="15" t="str">
        <f t="shared" si="1"/>
        <v>diciembre</v>
      </c>
      <c r="D836" s="15">
        <f t="shared" si="2"/>
        <v>52</v>
      </c>
      <c r="E836" s="16" t="str">
        <f t="shared" si="3"/>
        <v>sábado</v>
      </c>
      <c r="F836" s="15">
        <f t="shared" si="4"/>
        <v>30</v>
      </c>
      <c r="G836" s="15" t="s">
        <v>27</v>
      </c>
      <c r="H836" s="3" t="str">
        <f>'GN-Completo'!$G$3</f>
        <v>GN</v>
      </c>
      <c r="I836" s="24" t="str">
        <f>'GN-Completo'!B43</f>
        <v/>
      </c>
      <c r="J836" s="2" t="str">
        <f>'GN-Completo'!C43</f>
        <v/>
      </c>
      <c r="K836" s="2" t="str">
        <f>'GN-Completo'!D43</f>
        <v/>
      </c>
      <c r="L836" s="2" t="str">
        <f>'GN-Completo'!E43</f>
        <v/>
      </c>
      <c r="M836" s="2" t="str">
        <f>'GN-Completo'!F43</f>
        <v/>
      </c>
      <c r="N836" s="2" t="str">
        <f>'GN-Completo'!G43</f>
        <v/>
      </c>
      <c r="O836" s="5" t="str">
        <f>'GN-Completo'!H43</f>
        <v/>
      </c>
      <c r="P836" s="5" t="str">
        <f>'GN-Completo'!I43</f>
        <v/>
      </c>
      <c r="Q836" s="5" t="str">
        <f>'GN-Completo'!J43</f>
        <v/>
      </c>
      <c r="R836" s="5" t="str">
        <f>'GN-Completo'!K43</f>
        <v/>
      </c>
      <c r="S836" s="2" t="str">
        <f>'GN-Completo'!L43</f>
        <v/>
      </c>
      <c r="T836" s="2" t="str">
        <f>'GN-Completo'!M43</f>
        <v/>
      </c>
      <c r="U836" s="34" t="str">
        <f>'GN-Completo'!N43</f>
        <v/>
      </c>
      <c r="V836" s="34" t="str">
        <f>'GN-Completo'!O43</f>
        <v/>
      </c>
      <c r="W836" s="2" t="str">
        <f>'GN-Completo'!P43</f>
        <v/>
      </c>
      <c r="X836" s="34">
        <f>'GN-Completo'!Q43</f>
        <v>0</v>
      </c>
      <c r="Y836" s="1"/>
      <c r="Z836" s="1"/>
      <c r="AA836" s="1"/>
    </row>
    <row r="837">
      <c r="A837" s="1"/>
      <c r="B837" s="14">
        <f t="shared" si="15"/>
        <v>40</v>
      </c>
      <c r="C837" s="15" t="str">
        <f t="shared" si="1"/>
        <v>diciembre</v>
      </c>
      <c r="D837" s="15">
        <f t="shared" si="2"/>
        <v>52</v>
      </c>
      <c r="E837" s="16" t="str">
        <f t="shared" si="3"/>
        <v>sábado</v>
      </c>
      <c r="F837" s="15">
        <f t="shared" si="4"/>
        <v>30</v>
      </c>
      <c r="G837" s="15" t="s">
        <v>27</v>
      </c>
      <c r="H837" s="3" t="str">
        <f>'GN-Completo'!$G$3</f>
        <v>GN</v>
      </c>
      <c r="I837" s="24" t="str">
        <f>'GN-Completo'!B44</f>
        <v/>
      </c>
      <c r="J837" s="2" t="str">
        <f>'GN-Completo'!C44</f>
        <v/>
      </c>
      <c r="K837" s="2" t="str">
        <f>'GN-Completo'!D44</f>
        <v/>
      </c>
      <c r="L837" s="2" t="str">
        <f>'GN-Completo'!E44</f>
        <v/>
      </c>
      <c r="M837" s="2" t="str">
        <f>'GN-Completo'!F44</f>
        <v/>
      </c>
      <c r="N837" s="2" t="str">
        <f>'GN-Completo'!G44</f>
        <v/>
      </c>
      <c r="O837" s="5" t="str">
        <f>'GN-Completo'!H44</f>
        <v/>
      </c>
      <c r="P837" s="5" t="str">
        <f>'GN-Completo'!I44</f>
        <v/>
      </c>
      <c r="Q837" s="5" t="str">
        <f>'GN-Completo'!J44</f>
        <v/>
      </c>
      <c r="R837" s="5" t="str">
        <f>'GN-Completo'!K44</f>
        <v/>
      </c>
      <c r="S837" s="2" t="str">
        <f>'GN-Completo'!L44</f>
        <v/>
      </c>
      <c r="T837" s="2" t="str">
        <f>'GN-Completo'!M44</f>
        <v/>
      </c>
      <c r="U837" s="34" t="str">
        <f>'GN-Completo'!N44</f>
        <v/>
      </c>
      <c r="V837" s="34" t="str">
        <f>'GN-Completo'!O44</f>
        <v/>
      </c>
      <c r="W837" s="2" t="str">
        <f>'GN-Completo'!P44</f>
        <v/>
      </c>
      <c r="X837" s="34">
        <f>'GN-Completo'!Q44</f>
        <v>0</v>
      </c>
      <c r="Y837" s="1"/>
      <c r="Z837" s="1"/>
      <c r="AA837" s="1"/>
    </row>
    <row r="838">
      <c r="A838" s="1"/>
      <c r="B838" s="14">
        <f t="shared" si="15"/>
        <v>41</v>
      </c>
      <c r="C838" s="15" t="str">
        <f t="shared" si="1"/>
        <v>diciembre</v>
      </c>
      <c r="D838" s="15">
        <f t="shared" si="2"/>
        <v>52</v>
      </c>
      <c r="E838" s="16" t="str">
        <f t="shared" si="3"/>
        <v>sábado</v>
      </c>
      <c r="F838" s="15">
        <f t="shared" si="4"/>
        <v>30</v>
      </c>
      <c r="G838" s="15" t="s">
        <v>27</v>
      </c>
      <c r="H838" s="3" t="str">
        <f>'GN-Completo'!$G$3</f>
        <v>GN</v>
      </c>
      <c r="I838" s="24" t="str">
        <f>'GN-Completo'!B45</f>
        <v/>
      </c>
      <c r="J838" s="2" t="str">
        <f>'GN-Completo'!C45</f>
        <v/>
      </c>
      <c r="K838" s="2" t="str">
        <f>'GN-Completo'!D45</f>
        <v/>
      </c>
      <c r="L838" s="2" t="str">
        <f>'GN-Completo'!E45</f>
        <v/>
      </c>
      <c r="M838" s="2" t="str">
        <f>'GN-Completo'!F45</f>
        <v/>
      </c>
      <c r="N838" s="2" t="str">
        <f>'GN-Completo'!G45</f>
        <v/>
      </c>
      <c r="O838" s="5" t="str">
        <f>'GN-Completo'!H45</f>
        <v/>
      </c>
      <c r="P838" s="5" t="str">
        <f>'GN-Completo'!I45</f>
        <v/>
      </c>
      <c r="Q838" s="5" t="str">
        <f>'GN-Completo'!J45</f>
        <v/>
      </c>
      <c r="R838" s="5" t="str">
        <f>'GN-Completo'!K45</f>
        <v/>
      </c>
      <c r="S838" s="2" t="str">
        <f>'GN-Completo'!L45</f>
        <v/>
      </c>
      <c r="T838" s="2" t="str">
        <f>'GN-Completo'!M45</f>
        <v/>
      </c>
      <c r="U838" s="34" t="str">
        <f>'GN-Completo'!N45</f>
        <v/>
      </c>
      <c r="V838" s="34" t="str">
        <f>'GN-Completo'!O45</f>
        <v/>
      </c>
      <c r="W838" s="2" t="str">
        <f>'GN-Completo'!P45</f>
        <v/>
      </c>
      <c r="X838" s="34">
        <f>'GN-Completo'!Q45</f>
        <v>0</v>
      </c>
      <c r="Y838" s="1"/>
      <c r="Z838" s="1"/>
      <c r="AA838" s="1"/>
    </row>
    <row r="839">
      <c r="A839" s="1"/>
      <c r="B839" s="14">
        <f t="shared" si="15"/>
        <v>42</v>
      </c>
      <c r="C839" s="15" t="str">
        <f t="shared" si="1"/>
        <v>diciembre</v>
      </c>
      <c r="D839" s="15">
        <f t="shared" si="2"/>
        <v>52</v>
      </c>
      <c r="E839" s="16" t="str">
        <f t="shared" si="3"/>
        <v>sábado</v>
      </c>
      <c r="F839" s="15">
        <f t="shared" si="4"/>
        <v>30</v>
      </c>
      <c r="G839" s="15" t="s">
        <v>27</v>
      </c>
      <c r="H839" s="3" t="str">
        <f>'GN-Completo'!$G$3</f>
        <v>GN</v>
      </c>
      <c r="I839" s="24" t="str">
        <f>'GN-Completo'!B46</f>
        <v/>
      </c>
      <c r="J839" s="2" t="str">
        <f>'GN-Completo'!C46</f>
        <v/>
      </c>
      <c r="K839" s="2" t="str">
        <f>'GN-Completo'!D46</f>
        <v/>
      </c>
      <c r="L839" s="2" t="str">
        <f>'GN-Completo'!E46</f>
        <v/>
      </c>
      <c r="M839" s="2" t="str">
        <f>'GN-Completo'!F46</f>
        <v/>
      </c>
      <c r="N839" s="2" t="str">
        <f>'GN-Completo'!G46</f>
        <v/>
      </c>
      <c r="O839" s="5" t="str">
        <f>'GN-Completo'!H46</f>
        <v/>
      </c>
      <c r="P839" s="5" t="str">
        <f>'GN-Completo'!I46</f>
        <v/>
      </c>
      <c r="Q839" s="5" t="str">
        <f>'GN-Completo'!J46</f>
        <v/>
      </c>
      <c r="R839" s="5" t="str">
        <f>'GN-Completo'!K46</f>
        <v/>
      </c>
      <c r="S839" s="2" t="str">
        <f>'GN-Completo'!L46</f>
        <v/>
      </c>
      <c r="T839" s="2" t="str">
        <f>'GN-Completo'!M46</f>
        <v/>
      </c>
      <c r="U839" s="34" t="str">
        <f>'GN-Completo'!N46</f>
        <v/>
      </c>
      <c r="V839" s="34" t="str">
        <f>'GN-Completo'!O46</f>
        <v/>
      </c>
      <c r="W839" s="2" t="str">
        <f>'GN-Completo'!P46</f>
        <v/>
      </c>
      <c r="X839" s="34">
        <f>'GN-Completo'!Q46</f>
        <v>0</v>
      </c>
      <c r="Y839" s="1"/>
      <c r="Z839" s="1"/>
      <c r="AA839" s="1"/>
    </row>
    <row r="840">
      <c r="A840" s="1"/>
      <c r="B840" s="14">
        <f t="shared" si="15"/>
        <v>43</v>
      </c>
      <c r="C840" s="15" t="str">
        <f t="shared" si="1"/>
        <v>diciembre</v>
      </c>
      <c r="D840" s="15">
        <f t="shared" si="2"/>
        <v>52</v>
      </c>
      <c r="E840" s="16" t="str">
        <f t="shared" si="3"/>
        <v>sábado</v>
      </c>
      <c r="F840" s="15">
        <f t="shared" si="4"/>
        <v>30</v>
      </c>
      <c r="G840" s="15" t="s">
        <v>27</v>
      </c>
      <c r="H840" s="3" t="str">
        <f>'GN-Completo'!$G$3</f>
        <v>GN</v>
      </c>
      <c r="I840" s="24" t="str">
        <f>'GN-Completo'!B47</f>
        <v/>
      </c>
      <c r="J840" s="2" t="str">
        <f>'GN-Completo'!C47</f>
        <v/>
      </c>
      <c r="K840" s="2" t="str">
        <f>'GN-Completo'!D47</f>
        <v/>
      </c>
      <c r="L840" s="2" t="str">
        <f>'GN-Completo'!E47</f>
        <v/>
      </c>
      <c r="M840" s="2" t="str">
        <f>'GN-Completo'!F47</f>
        <v/>
      </c>
      <c r="N840" s="2" t="str">
        <f>'GN-Completo'!G47</f>
        <v/>
      </c>
      <c r="O840" s="5" t="str">
        <f>'GN-Completo'!H47</f>
        <v/>
      </c>
      <c r="P840" s="5" t="str">
        <f>'GN-Completo'!I47</f>
        <v/>
      </c>
      <c r="Q840" s="5" t="str">
        <f>'GN-Completo'!J47</f>
        <v/>
      </c>
      <c r="R840" s="5" t="str">
        <f>'GN-Completo'!K47</f>
        <v/>
      </c>
      <c r="S840" s="2" t="str">
        <f>'GN-Completo'!L47</f>
        <v/>
      </c>
      <c r="T840" s="2" t="str">
        <f>'GN-Completo'!M47</f>
        <v/>
      </c>
      <c r="U840" s="34" t="str">
        <f>'GN-Completo'!N47</f>
        <v/>
      </c>
      <c r="V840" s="34" t="str">
        <f>'GN-Completo'!O47</f>
        <v/>
      </c>
      <c r="W840" s="2" t="str">
        <f>'GN-Completo'!P47</f>
        <v/>
      </c>
      <c r="X840" s="34">
        <f>'GN-Completo'!Q47</f>
        <v>0</v>
      </c>
      <c r="Y840" s="1"/>
      <c r="Z840" s="1"/>
      <c r="AA840" s="1"/>
    </row>
    <row r="841">
      <c r="A841" s="1"/>
      <c r="B841" s="14">
        <f t="shared" si="15"/>
        <v>44</v>
      </c>
      <c r="C841" s="15" t="str">
        <f t="shared" si="1"/>
        <v>diciembre</v>
      </c>
      <c r="D841" s="15">
        <f t="shared" si="2"/>
        <v>52</v>
      </c>
      <c r="E841" s="16" t="str">
        <f t="shared" si="3"/>
        <v>sábado</v>
      </c>
      <c r="F841" s="15">
        <f t="shared" si="4"/>
        <v>30</v>
      </c>
      <c r="G841" s="15" t="s">
        <v>27</v>
      </c>
      <c r="H841" s="3" t="str">
        <f>'GN-Completo'!$G$3</f>
        <v>GN</v>
      </c>
      <c r="I841" s="24" t="str">
        <f>'GN-Completo'!B48</f>
        <v/>
      </c>
      <c r="J841" s="2" t="str">
        <f>'GN-Completo'!C48</f>
        <v/>
      </c>
      <c r="K841" s="2" t="str">
        <f>'GN-Completo'!D48</f>
        <v/>
      </c>
      <c r="L841" s="2" t="str">
        <f>'GN-Completo'!E48</f>
        <v/>
      </c>
      <c r="M841" s="2" t="str">
        <f>'GN-Completo'!F48</f>
        <v/>
      </c>
      <c r="N841" s="2" t="str">
        <f>'GN-Completo'!G48</f>
        <v/>
      </c>
      <c r="O841" s="5" t="str">
        <f>'GN-Completo'!H48</f>
        <v/>
      </c>
      <c r="P841" s="5" t="str">
        <f>'GN-Completo'!I48</f>
        <v/>
      </c>
      <c r="Q841" s="5" t="str">
        <f>'GN-Completo'!J48</f>
        <v/>
      </c>
      <c r="R841" s="5" t="str">
        <f>'GN-Completo'!K48</f>
        <v/>
      </c>
      <c r="S841" s="2" t="str">
        <f>'GN-Completo'!L48</f>
        <v/>
      </c>
      <c r="T841" s="2" t="str">
        <f>'GN-Completo'!M48</f>
        <v/>
      </c>
      <c r="U841" s="34" t="str">
        <f>'GN-Completo'!N48</f>
        <v/>
      </c>
      <c r="V841" s="34" t="str">
        <f>'GN-Completo'!O48</f>
        <v/>
      </c>
      <c r="W841" s="2" t="str">
        <f>'GN-Completo'!P48</f>
        <v/>
      </c>
      <c r="X841" s="34">
        <f>'GN-Completo'!Q48</f>
        <v>0</v>
      </c>
      <c r="Y841" s="1"/>
      <c r="Z841" s="1"/>
      <c r="AA841" s="1"/>
    </row>
    <row r="842">
      <c r="A842" s="1"/>
      <c r="B842" s="14">
        <f t="shared" si="15"/>
        <v>45</v>
      </c>
      <c r="C842" s="15" t="str">
        <f t="shared" si="1"/>
        <v>diciembre</v>
      </c>
      <c r="D842" s="15">
        <f t="shared" si="2"/>
        <v>52</v>
      </c>
      <c r="E842" s="16" t="str">
        <f t="shared" si="3"/>
        <v>sábado</v>
      </c>
      <c r="F842" s="15">
        <f t="shared" si="4"/>
        <v>30</v>
      </c>
      <c r="G842" s="15" t="s">
        <v>27</v>
      </c>
      <c r="H842" s="3" t="str">
        <f>'GN-Completo'!$G$3</f>
        <v>GN</v>
      </c>
      <c r="I842" s="24" t="str">
        <f>'GN-Completo'!B49</f>
        <v/>
      </c>
      <c r="J842" s="2" t="str">
        <f>'GN-Completo'!C49</f>
        <v/>
      </c>
      <c r="K842" s="2" t="str">
        <f>'GN-Completo'!D49</f>
        <v/>
      </c>
      <c r="L842" s="2" t="str">
        <f>'GN-Completo'!E49</f>
        <v/>
      </c>
      <c r="M842" s="2" t="str">
        <f>'GN-Completo'!F49</f>
        <v/>
      </c>
      <c r="N842" s="2" t="str">
        <f>'GN-Completo'!G49</f>
        <v/>
      </c>
      <c r="O842" s="5" t="str">
        <f>'GN-Completo'!H49</f>
        <v/>
      </c>
      <c r="P842" s="5" t="str">
        <f>'GN-Completo'!I49</f>
        <v/>
      </c>
      <c r="Q842" s="5" t="str">
        <f>'GN-Completo'!J49</f>
        <v/>
      </c>
      <c r="R842" s="5" t="str">
        <f>'GN-Completo'!K49</f>
        <v/>
      </c>
      <c r="S842" s="2" t="str">
        <f>'GN-Completo'!L49</f>
        <v/>
      </c>
      <c r="T842" s="2" t="str">
        <f>'GN-Completo'!M49</f>
        <v/>
      </c>
      <c r="U842" s="34" t="str">
        <f>'GN-Completo'!N49</f>
        <v/>
      </c>
      <c r="V842" s="34" t="str">
        <f>'GN-Completo'!O49</f>
        <v/>
      </c>
      <c r="W842" s="2" t="str">
        <f>'GN-Completo'!P49</f>
        <v/>
      </c>
      <c r="X842" s="34">
        <f>'GN-Completo'!Q49</f>
        <v>0</v>
      </c>
      <c r="Y842" s="1"/>
      <c r="Z842" s="1"/>
      <c r="AA842" s="1"/>
    </row>
    <row r="843">
      <c r="A843" s="1"/>
      <c r="B843" s="14">
        <f t="shared" si="15"/>
        <v>46</v>
      </c>
      <c r="C843" s="15" t="str">
        <f t="shared" si="1"/>
        <v>diciembre</v>
      </c>
      <c r="D843" s="15">
        <f t="shared" si="2"/>
        <v>52</v>
      </c>
      <c r="E843" s="16" t="str">
        <f t="shared" si="3"/>
        <v>sábado</v>
      </c>
      <c r="F843" s="15">
        <f t="shared" si="4"/>
        <v>30</v>
      </c>
      <c r="G843" s="15" t="s">
        <v>27</v>
      </c>
      <c r="H843" s="3" t="str">
        <f>'GN-Completo'!$G$3</f>
        <v>GN</v>
      </c>
      <c r="I843" s="24" t="str">
        <f>'GN-Completo'!B50</f>
        <v/>
      </c>
      <c r="J843" s="2" t="str">
        <f>'GN-Completo'!C50</f>
        <v/>
      </c>
      <c r="K843" s="2" t="str">
        <f>'GN-Completo'!D50</f>
        <v/>
      </c>
      <c r="L843" s="2" t="str">
        <f>'GN-Completo'!E50</f>
        <v/>
      </c>
      <c r="M843" s="2" t="str">
        <f>'GN-Completo'!F50</f>
        <v/>
      </c>
      <c r="N843" s="2" t="str">
        <f>'GN-Completo'!G50</f>
        <v/>
      </c>
      <c r="O843" s="5" t="str">
        <f>'GN-Completo'!H50</f>
        <v/>
      </c>
      <c r="P843" s="5" t="str">
        <f>'GN-Completo'!I50</f>
        <v/>
      </c>
      <c r="Q843" s="5" t="str">
        <f>'GN-Completo'!J50</f>
        <v/>
      </c>
      <c r="R843" s="5" t="str">
        <f>'GN-Completo'!K50</f>
        <v/>
      </c>
      <c r="S843" s="2" t="str">
        <f>'GN-Completo'!L50</f>
        <v/>
      </c>
      <c r="T843" s="2" t="str">
        <f>'GN-Completo'!M50</f>
        <v/>
      </c>
      <c r="U843" s="34" t="str">
        <f>'GN-Completo'!N50</f>
        <v/>
      </c>
      <c r="V843" s="34" t="str">
        <f>'GN-Completo'!O50</f>
        <v/>
      </c>
      <c r="W843" s="2" t="str">
        <f>'GN-Completo'!P50</f>
        <v/>
      </c>
      <c r="X843" s="34">
        <f>'GN-Completo'!Q50</f>
        <v>0</v>
      </c>
      <c r="Y843" s="1"/>
      <c r="Z843" s="1"/>
      <c r="AA843" s="1"/>
    </row>
    <row r="844">
      <c r="A844" s="1"/>
      <c r="B844" s="14">
        <f t="shared" si="15"/>
        <v>47</v>
      </c>
      <c r="C844" s="15" t="str">
        <f t="shared" si="1"/>
        <v>diciembre</v>
      </c>
      <c r="D844" s="15">
        <f t="shared" si="2"/>
        <v>52</v>
      </c>
      <c r="E844" s="16" t="str">
        <f t="shared" si="3"/>
        <v>sábado</v>
      </c>
      <c r="F844" s="15">
        <f t="shared" si="4"/>
        <v>30</v>
      </c>
      <c r="G844" s="15" t="s">
        <v>27</v>
      </c>
      <c r="H844" s="3" t="str">
        <f>'GN-Completo'!$G$3</f>
        <v>GN</v>
      </c>
      <c r="I844" s="24" t="str">
        <f>'GN-Completo'!B51</f>
        <v/>
      </c>
      <c r="J844" s="2" t="str">
        <f>'GN-Completo'!C51</f>
        <v/>
      </c>
      <c r="K844" s="2" t="str">
        <f>'GN-Completo'!D51</f>
        <v/>
      </c>
      <c r="L844" s="2" t="str">
        <f>'GN-Completo'!E51</f>
        <v/>
      </c>
      <c r="M844" s="2" t="str">
        <f>'GN-Completo'!F51</f>
        <v/>
      </c>
      <c r="N844" s="2" t="str">
        <f>'GN-Completo'!G51</f>
        <v/>
      </c>
      <c r="O844" s="5" t="str">
        <f>'GN-Completo'!H51</f>
        <v/>
      </c>
      <c r="P844" s="5" t="str">
        <f>'GN-Completo'!I51</f>
        <v/>
      </c>
      <c r="Q844" s="5" t="str">
        <f>'GN-Completo'!J51</f>
        <v/>
      </c>
      <c r="R844" s="5" t="str">
        <f>'GN-Completo'!K51</f>
        <v/>
      </c>
      <c r="S844" s="2" t="str">
        <f>'GN-Completo'!L51</f>
        <v/>
      </c>
      <c r="T844" s="2" t="str">
        <f>'GN-Completo'!M51</f>
        <v/>
      </c>
      <c r="U844" s="34" t="str">
        <f>'GN-Completo'!N51</f>
        <v/>
      </c>
      <c r="V844" s="34" t="str">
        <f>'GN-Completo'!O51</f>
        <v/>
      </c>
      <c r="W844" s="2" t="str">
        <f>'GN-Completo'!P51</f>
        <v/>
      </c>
      <c r="X844" s="34">
        <f>'GN-Completo'!Q51</f>
        <v>0</v>
      </c>
      <c r="Y844" s="1"/>
      <c r="Z844" s="1"/>
      <c r="AA844" s="1"/>
    </row>
    <row r="845">
      <c r="A845" s="1"/>
      <c r="B845" s="14">
        <f t="shared" si="15"/>
        <v>48</v>
      </c>
      <c r="C845" s="15" t="str">
        <f t="shared" si="1"/>
        <v>diciembre</v>
      </c>
      <c r="D845" s="15">
        <f t="shared" si="2"/>
        <v>52</v>
      </c>
      <c r="E845" s="16" t="str">
        <f t="shared" si="3"/>
        <v>sábado</v>
      </c>
      <c r="F845" s="15">
        <f t="shared" si="4"/>
        <v>30</v>
      </c>
      <c r="G845" s="15" t="s">
        <v>27</v>
      </c>
      <c r="H845" s="3" t="str">
        <f>'GN-Completo'!$G$3</f>
        <v>GN</v>
      </c>
      <c r="I845" s="24" t="str">
        <f>'GN-Completo'!B52</f>
        <v/>
      </c>
      <c r="J845" s="2" t="str">
        <f>'GN-Completo'!C52</f>
        <v/>
      </c>
      <c r="K845" s="2" t="str">
        <f>'GN-Completo'!D52</f>
        <v/>
      </c>
      <c r="L845" s="2" t="str">
        <f>'GN-Completo'!E52</f>
        <v/>
      </c>
      <c r="M845" s="2" t="str">
        <f>'GN-Completo'!F52</f>
        <v/>
      </c>
      <c r="N845" s="2" t="str">
        <f>'GN-Completo'!G52</f>
        <v/>
      </c>
      <c r="O845" s="5" t="str">
        <f>'GN-Completo'!H52</f>
        <v/>
      </c>
      <c r="P845" s="5" t="str">
        <f>'GN-Completo'!I52</f>
        <v/>
      </c>
      <c r="Q845" s="5" t="str">
        <f>'GN-Completo'!J52</f>
        <v/>
      </c>
      <c r="R845" s="5" t="str">
        <f>'GN-Completo'!K52</f>
        <v/>
      </c>
      <c r="S845" s="2" t="str">
        <f>'GN-Completo'!L52</f>
        <v/>
      </c>
      <c r="T845" s="2" t="str">
        <f>'GN-Completo'!M52</f>
        <v/>
      </c>
      <c r="U845" s="34" t="str">
        <f>'GN-Completo'!N52</f>
        <v/>
      </c>
      <c r="V845" s="34" t="str">
        <f>'GN-Completo'!O52</f>
        <v/>
      </c>
      <c r="W845" s="2" t="str">
        <f>'GN-Completo'!P52</f>
        <v/>
      </c>
      <c r="X845" s="34">
        <f>'GN-Completo'!Q52</f>
        <v>0</v>
      </c>
      <c r="Y845" s="1"/>
      <c r="Z845" s="1"/>
      <c r="AA845" s="1"/>
    </row>
    <row r="846">
      <c r="A846" s="1"/>
      <c r="B846" s="14">
        <f t="shared" si="15"/>
        <v>49</v>
      </c>
      <c r="C846" s="15" t="str">
        <f t="shared" si="1"/>
        <v>diciembre</v>
      </c>
      <c r="D846" s="15">
        <f t="shared" si="2"/>
        <v>52</v>
      </c>
      <c r="E846" s="16" t="str">
        <f t="shared" si="3"/>
        <v>sábado</v>
      </c>
      <c r="F846" s="15">
        <f t="shared" si="4"/>
        <v>30</v>
      </c>
      <c r="G846" s="15" t="s">
        <v>27</v>
      </c>
      <c r="H846" s="3" t="str">
        <f>'GN-Completo'!$G$3</f>
        <v>GN</v>
      </c>
      <c r="I846" s="24" t="str">
        <f>'GN-Completo'!B53</f>
        <v/>
      </c>
      <c r="J846" s="2" t="str">
        <f>'GN-Completo'!C53</f>
        <v/>
      </c>
      <c r="K846" s="2" t="str">
        <f>'GN-Completo'!D53</f>
        <v/>
      </c>
      <c r="L846" s="2" t="str">
        <f>'GN-Completo'!E53</f>
        <v/>
      </c>
      <c r="M846" s="2" t="str">
        <f>'GN-Completo'!F53</f>
        <v/>
      </c>
      <c r="N846" s="2" t="str">
        <f>'GN-Completo'!G53</f>
        <v/>
      </c>
      <c r="O846" s="5" t="str">
        <f>'GN-Completo'!H53</f>
        <v/>
      </c>
      <c r="P846" s="5" t="str">
        <f>'GN-Completo'!I53</f>
        <v/>
      </c>
      <c r="Q846" s="5" t="str">
        <f>'GN-Completo'!J53</f>
        <v/>
      </c>
      <c r="R846" s="5" t="str">
        <f>'GN-Completo'!K53</f>
        <v/>
      </c>
      <c r="S846" s="2" t="str">
        <f>'GN-Completo'!L53</f>
        <v/>
      </c>
      <c r="T846" s="2" t="str">
        <f>'GN-Completo'!M53</f>
        <v/>
      </c>
      <c r="U846" s="34" t="str">
        <f>'GN-Completo'!N53</f>
        <v/>
      </c>
      <c r="V846" s="34" t="str">
        <f>'GN-Completo'!O53</f>
        <v/>
      </c>
      <c r="W846" s="2" t="str">
        <f>'GN-Completo'!P53</f>
        <v/>
      </c>
      <c r="X846" s="34">
        <f>'GN-Completo'!Q53</f>
        <v>0</v>
      </c>
      <c r="Y846" s="1"/>
      <c r="Z846" s="1"/>
      <c r="AA846" s="1"/>
    </row>
    <row r="847">
      <c r="A847" s="1"/>
      <c r="B847" s="14">
        <f t="shared" si="15"/>
        <v>50</v>
      </c>
      <c r="C847" s="15" t="str">
        <f t="shared" si="1"/>
        <v>diciembre</v>
      </c>
      <c r="D847" s="15">
        <f t="shared" si="2"/>
        <v>52</v>
      </c>
      <c r="E847" s="16" t="str">
        <f t="shared" si="3"/>
        <v>sábado</v>
      </c>
      <c r="F847" s="15">
        <f t="shared" si="4"/>
        <v>30</v>
      </c>
      <c r="G847" s="15" t="s">
        <v>27</v>
      </c>
      <c r="H847" s="3" t="str">
        <f>'GN-Completo'!$G$3</f>
        <v>GN</v>
      </c>
      <c r="I847" s="24" t="str">
        <f>'GN-Completo'!B54</f>
        <v/>
      </c>
      <c r="J847" s="2" t="str">
        <f>'GN-Completo'!C54</f>
        <v/>
      </c>
      <c r="K847" s="2" t="str">
        <f>'GN-Completo'!D54</f>
        <v/>
      </c>
      <c r="L847" s="2" t="str">
        <f>'GN-Completo'!E54</f>
        <v/>
      </c>
      <c r="M847" s="2" t="str">
        <f>'GN-Completo'!F54</f>
        <v/>
      </c>
      <c r="N847" s="2" t="str">
        <f>'GN-Completo'!G54</f>
        <v/>
      </c>
      <c r="O847" s="5" t="str">
        <f>'GN-Completo'!H54</f>
        <v/>
      </c>
      <c r="P847" s="5" t="str">
        <f>'GN-Completo'!I54</f>
        <v/>
      </c>
      <c r="Q847" s="5" t="str">
        <f>'GN-Completo'!J54</f>
        <v/>
      </c>
      <c r="R847" s="5" t="str">
        <f>'GN-Completo'!K54</f>
        <v/>
      </c>
      <c r="S847" s="2" t="str">
        <f>'GN-Completo'!L54</f>
        <v/>
      </c>
      <c r="T847" s="2" t="str">
        <f>'GN-Completo'!M54</f>
        <v/>
      </c>
      <c r="U847" s="34" t="str">
        <f>'GN-Completo'!N54</f>
        <v/>
      </c>
      <c r="V847" s="34" t="str">
        <f>'GN-Completo'!O54</f>
        <v/>
      </c>
      <c r="W847" s="2" t="str">
        <f>'GN-Completo'!P54</f>
        <v/>
      </c>
      <c r="X847" s="34">
        <f>'GN-Completo'!Q54</f>
        <v>0</v>
      </c>
      <c r="Y847" s="1"/>
      <c r="Z847" s="1"/>
      <c r="AA847" s="1"/>
    </row>
    <row r="848">
      <c r="A848" s="1"/>
      <c r="B848" s="14">
        <f t="shared" si="15"/>
        <v>51</v>
      </c>
      <c r="C848" s="15" t="str">
        <f t="shared" si="1"/>
        <v>diciembre</v>
      </c>
      <c r="D848" s="15">
        <f t="shared" si="2"/>
        <v>52</v>
      </c>
      <c r="E848" s="16" t="str">
        <f t="shared" si="3"/>
        <v>sábado</v>
      </c>
      <c r="F848" s="15">
        <f t="shared" si="4"/>
        <v>30</v>
      </c>
      <c r="G848" s="15" t="s">
        <v>27</v>
      </c>
      <c r="H848" s="3" t="str">
        <f>'GN-Completo'!$G$3</f>
        <v>GN</v>
      </c>
      <c r="I848" s="24" t="str">
        <f>'GN-Completo'!B55</f>
        <v/>
      </c>
      <c r="J848" s="2" t="str">
        <f>'GN-Completo'!C55</f>
        <v/>
      </c>
      <c r="K848" s="2" t="str">
        <f>'GN-Completo'!D55</f>
        <v/>
      </c>
      <c r="L848" s="2" t="str">
        <f>'GN-Completo'!E55</f>
        <v/>
      </c>
      <c r="M848" s="2" t="str">
        <f>'GN-Completo'!F55</f>
        <v/>
      </c>
      <c r="N848" s="2" t="str">
        <f>'GN-Completo'!G55</f>
        <v/>
      </c>
      <c r="O848" s="5" t="str">
        <f>'GN-Completo'!H55</f>
        <v/>
      </c>
      <c r="P848" s="5" t="str">
        <f>'GN-Completo'!I55</f>
        <v/>
      </c>
      <c r="Q848" s="5" t="str">
        <f>'GN-Completo'!J55</f>
        <v/>
      </c>
      <c r="R848" s="5" t="str">
        <f>'GN-Completo'!K55</f>
        <v/>
      </c>
      <c r="S848" s="2" t="str">
        <f>'GN-Completo'!L55</f>
        <v/>
      </c>
      <c r="T848" s="2" t="str">
        <f>'GN-Completo'!M55</f>
        <v/>
      </c>
      <c r="U848" s="34" t="str">
        <f>'GN-Completo'!N55</f>
        <v/>
      </c>
      <c r="V848" s="34" t="str">
        <f>'GN-Completo'!O55</f>
        <v/>
      </c>
      <c r="W848" s="2" t="str">
        <f>'GN-Completo'!P55</f>
        <v/>
      </c>
      <c r="X848" s="34">
        <f>'GN-Completo'!Q55</f>
        <v>0</v>
      </c>
      <c r="Y848" s="1"/>
      <c r="Z848" s="1"/>
      <c r="AA848" s="1"/>
    </row>
    <row r="849">
      <c r="A849" s="1"/>
      <c r="B849" s="14">
        <f t="shared" si="15"/>
        <v>52</v>
      </c>
      <c r="C849" s="15" t="str">
        <f t="shared" si="1"/>
        <v>diciembre</v>
      </c>
      <c r="D849" s="15">
        <f t="shared" si="2"/>
        <v>52</v>
      </c>
      <c r="E849" s="16" t="str">
        <f t="shared" si="3"/>
        <v>sábado</v>
      </c>
      <c r="F849" s="15">
        <f t="shared" si="4"/>
        <v>30</v>
      </c>
      <c r="G849" s="15" t="s">
        <v>27</v>
      </c>
      <c r="H849" s="3" t="str">
        <f>'GN-Completo'!$G$3</f>
        <v>GN</v>
      </c>
      <c r="I849" s="24" t="str">
        <f>'GN-Completo'!B56</f>
        <v/>
      </c>
      <c r="J849" s="2" t="str">
        <f>'GN-Completo'!C56</f>
        <v/>
      </c>
      <c r="K849" s="2" t="str">
        <f>'GN-Completo'!D56</f>
        <v/>
      </c>
      <c r="L849" s="2" t="str">
        <f>'GN-Completo'!E56</f>
        <v/>
      </c>
      <c r="M849" s="2" t="str">
        <f>'GN-Completo'!F56</f>
        <v/>
      </c>
      <c r="N849" s="2" t="str">
        <f>'GN-Completo'!G56</f>
        <v/>
      </c>
      <c r="O849" s="5" t="str">
        <f>'GN-Completo'!H56</f>
        <v/>
      </c>
      <c r="P849" s="5" t="str">
        <f>'GN-Completo'!I56</f>
        <v/>
      </c>
      <c r="Q849" s="5" t="str">
        <f>'GN-Completo'!J56</f>
        <v/>
      </c>
      <c r="R849" s="5" t="str">
        <f>'GN-Completo'!K56</f>
        <v/>
      </c>
      <c r="S849" s="2" t="str">
        <f>'GN-Completo'!L56</f>
        <v/>
      </c>
      <c r="T849" s="2" t="str">
        <f>'GN-Completo'!M56</f>
        <v/>
      </c>
      <c r="U849" s="34" t="str">
        <f>'GN-Completo'!N56</f>
        <v/>
      </c>
      <c r="V849" s="34" t="str">
        <f>'GN-Completo'!O56</f>
        <v/>
      </c>
      <c r="W849" s="2" t="str">
        <f>'GN-Completo'!P56</f>
        <v/>
      </c>
      <c r="X849" s="34">
        <f>'GN-Completo'!Q56</f>
        <v>0</v>
      </c>
      <c r="Y849" s="1"/>
      <c r="Z849" s="1"/>
      <c r="AA849" s="1"/>
    </row>
    <row r="850">
      <c r="A850" s="1"/>
      <c r="B850" s="14">
        <f t="shared" si="15"/>
        <v>53</v>
      </c>
      <c r="C850" s="15" t="str">
        <f t="shared" si="1"/>
        <v>diciembre</v>
      </c>
      <c r="D850" s="15">
        <f t="shared" si="2"/>
        <v>52</v>
      </c>
      <c r="E850" s="16" t="str">
        <f t="shared" si="3"/>
        <v>sábado</v>
      </c>
      <c r="F850" s="15">
        <f t="shared" si="4"/>
        <v>30</v>
      </c>
      <c r="G850" s="15" t="s">
        <v>27</v>
      </c>
      <c r="H850" s="3" t="str">
        <f>'GN-Completo'!$G$3</f>
        <v>GN</v>
      </c>
      <c r="I850" s="24" t="str">
        <f>'GN-Completo'!B57</f>
        <v/>
      </c>
      <c r="J850" s="2" t="str">
        <f>'GN-Completo'!C57</f>
        <v/>
      </c>
      <c r="K850" s="2" t="str">
        <f>'GN-Completo'!D57</f>
        <v/>
      </c>
      <c r="L850" s="2" t="str">
        <f>'GN-Completo'!E57</f>
        <v/>
      </c>
      <c r="M850" s="2" t="str">
        <f>'GN-Completo'!F57</f>
        <v/>
      </c>
      <c r="N850" s="2" t="str">
        <f>'GN-Completo'!G57</f>
        <v/>
      </c>
      <c r="O850" s="5" t="str">
        <f>'GN-Completo'!H57</f>
        <v/>
      </c>
      <c r="P850" s="5" t="str">
        <f>'GN-Completo'!I57</f>
        <v/>
      </c>
      <c r="Q850" s="5" t="str">
        <f>'GN-Completo'!J57</f>
        <v/>
      </c>
      <c r="R850" s="5" t="str">
        <f>'GN-Completo'!K57</f>
        <v/>
      </c>
      <c r="S850" s="2" t="str">
        <f>'GN-Completo'!L57</f>
        <v/>
      </c>
      <c r="T850" s="2" t="str">
        <f>'GN-Completo'!M57</f>
        <v/>
      </c>
      <c r="U850" s="34" t="str">
        <f>'GN-Completo'!N57</f>
        <v/>
      </c>
      <c r="V850" s="34" t="str">
        <f>'GN-Completo'!O57</f>
        <v/>
      </c>
      <c r="W850" s="2" t="str">
        <f>'GN-Completo'!P57</f>
        <v/>
      </c>
      <c r="X850" s="34">
        <f>'GN-Completo'!Q57</f>
        <v>0</v>
      </c>
      <c r="Y850" s="1"/>
      <c r="Z850" s="1"/>
      <c r="AA850" s="1"/>
    </row>
    <row r="851">
      <c r="A851" s="1"/>
      <c r="B851" s="14">
        <f t="shared" si="15"/>
        <v>54</v>
      </c>
      <c r="C851" s="15" t="str">
        <f t="shared" si="1"/>
        <v>diciembre</v>
      </c>
      <c r="D851" s="15">
        <f t="shared" si="2"/>
        <v>52</v>
      </c>
      <c r="E851" s="16" t="str">
        <f t="shared" si="3"/>
        <v>sábado</v>
      </c>
      <c r="F851" s="15">
        <f t="shared" si="4"/>
        <v>30</v>
      </c>
      <c r="G851" s="15" t="s">
        <v>27</v>
      </c>
      <c r="H851" s="3" t="str">
        <f>'GN-Completo'!$G$3</f>
        <v>GN</v>
      </c>
      <c r="I851" s="24" t="str">
        <f>'GN-Completo'!B58</f>
        <v/>
      </c>
      <c r="J851" s="2" t="str">
        <f>'GN-Completo'!C58</f>
        <v/>
      </c>
      <c r="K851" s="2" t="str">
        <f>'GN-Completo'!D58</f>
        <v/>
      </c>
      <c r="L851" s="2" t="str">
        <f>'GN-Completo'!E58</f>
        <v/>
      </c>
      <c r="M851" s="2" t="str">
        <f>'GN-Completo'!F58</f>
        <v/>
      </c>
      <c r="N851" s="2" t="str">
        <f>'GN-Completo'!G58</f>
        <v/>
      </c>
      <c r="O851" s="5" t="str">
        <f>'GN-Completo'!H58</f>
        <v/>
      </c>
      <c r="P851" s="5" t="str">
        <f>'GN-Completo'!I58</f>
        <v/>
      </c>
      <c r="Q851" s="5" t="str">
        <f>'GN-Completo'!J58</f>
        <v/>
      </c>
      <c r="R851" s="5" t="str">
        <f>'GN-Completo'!K58</f>
        <v/>
      </c>
      <c r="S851" s="2" t="str">
        <f>'GN-Completo'!L58</f>
        <v/>
      </c>
      <c r="T851" s="2" t="str">
        <f>'GN-Completo'!M58</f>
        <v/>
      </c>
      <c r="U851" s="34" t="str">
        <f>'GN-Completo'!N58</f>
        <v/>
      </c>
      <c r="V851" s="34" t="str">
        <f>'GN-Completo'!O58</f>
        <v/>
      </c>
      <c r="W851" s="2" t="str">
        <f>'GN-Completo'!P58</f>
        <v/>
      </c>
      <c r="X851" s="34">
        <f>'GN-Completo'!Q58</f>
        <v>0</v>
      </c>
      <c r="Y851" s="1"/>
      <c r="Z851" s="1"/>
      <c r="AA851" s="1"/>
    </row>
    <row r="852">
      <c r="A852" s="1"/>
      <c r="B852" s="14">
        <f t="shared" si="15"/>
        <v>55</v>
      </c>
      <c r="C852" s="15" t="str">
        <f t="shared" si="1"/>
        <v>diciembre</v>
      </c>
      <c r="D852" s="15">
        <f t="shared" si="2"/>
        <v>52</v>
      </c>
      <c r="E852" s="16" t="str">
        <f t="shared" si="3"/>
        <v>sábado</v>
      </c>
      <c r="F852" s="15">
        <f t="shared" si="4"/>
        <v>30</v>
      </c>
      <c r="G852" s="15" t="s">
        <v>27</v>
      </c>
      <c r="H852" s="3" t="str">
        <f>'GN-Completo'!$G$3</f>
        <v>GN</v>
      </c>
      <c r="I852" s="24" t="str">
        <f>'GN-Completo'!B59</f>
        <v/>
      </c>
      <c r="J852" s="2" t="str">
        <f>'GN-Completo'!C59</f>
        <v/>
      </c>
      <c r="K852" s="2" t="str">
        <f>'GN-Completo'!D59</f>
        <v/>
      </c>
      <c r="L852" s="2" t="str">
        <f>'GN-Completo'!E59</f>
        <v/>
      </c>
      <c r="M852" s="2" t="str">
        <f>'GN-Completo'!F59</f>
        <v/>
      </c>
      <c r="N852" s="2" t="str">
        <f>'GN-Completo'!G59</f>
        <v/>
      </c>
      <c r="O852" s="5" t="str">
        <f>'GN-Completo'!H59</f>
        <v/>
      </c>
      <c r="P852" s="5" t="str">
        <f>'GN-Completo'!I59</f>
        <v/>
      </c>
      <c r="Q852" s="5" t="str">
        <f>'GN-Completo'!J59</f>
        <v/>
      </c>
      <c r="R852" s="5" t="str">
        <f>'GN-Completo'!K59</f>
        <v/>
      </c>
      <c r="S852" s="2" t="str">
        <f>'GN-Completo'!L59</f>
        <v/>
      </c>
      <c r="T852" s="2" t="str">
        <f>'GN-Completo'!M59</f>
        <v/>
      </c>
      <c r="U852" s="34" t="str">
        <f>'GN-Completo'!N59</f>
        <v/>
      </c>
      <c r="V852" s="34" t="str">
        <f>'GN-Completo'!O59</f>
        <v/>
      </c>
      <c r="W852" s="2" t="str">
        <f>'GN-Completo'!P59</f>
        <v/>
      </c>
      <c r="X852" s="34">
        <f>'GN-Completo'!Q59</f>
        <v>0</v>
      </c>
      <c r="Y852" s="1"/>
      <c r="Z852" s="1"/>
      <c r="AA852" s="1"/>
    </row>
    <row r="853">
      <c r="A853" s="1"/>
      <c r="B853" s="14">
        <f t="shared" si="15"/>
        <v>56</v>
      </c>
      <c r="C853" s="15" t="str">
        <f t="shared" si="1"/>
        <v>diciembre</v>
      </c>
      <c r="D853" s="15">
        <f t="shared" si="2"/>
        <v>52</v>
      </c>
      <c r="E853" s="16" t="str">
        <f t="shared" si="3"/>
        <v>sábado</v>
      </c>
      <c r="F853" s="15">
        <f t="shared" si="4"/>
        <v>30</v>
      </c>
      <c r="G853" s="15" t="s">
        <v>27</v>
      </c>
      <c r="H853" s="3" t="str">
        <f>'GN-Completo'!$G$3</f>
        <v>GN</v>
      </c>
      <c r="I853" s="24" t="str">
        <f>'GN-Completo'!B60</f>
        <v/>
      </c>
      <c r="J853" s="2" t="str">
        <f>'GN-Completo'!C60</f>
        <v/>
      </c>
      <c r="K853" s="2" t="str">
        <f>'GN-Completo'!D60</f>
        <v/>
      </c>
      <c r="L853" s="2" t="str">
        <f>'GN-Completo'!E60</f>
        <v/>
      </c>
      <c r="M853" s="2" t="str">
        <f>'GN-Completo'!F60</f>
        <v/>
      </c>
      <c r="N853" s="2" t="str">
        <f>'GN-Completo'!G60</f>
        <v/>
      </c>
      <c r="O853" s="5" t="str">
        <f>'GN-Completo'!H60</f>
        <v/>
      </c>
      <c r="P853" s="5" t="str">
        <f>'GN-Completo'!I60</f>
        <v/>
      </c>
      <c r="Q853" s="5" t="str">
        <f>'GN-Completo'!J60</f>
        <v/>
      </c>
      <c r="R853" s="5" t="str">
        <f>'GN-Completo'!K60</f>
        <v/>
      </c>
      <c r="S853" s="2" t="str">
        <f>'GN-Completo'!L60</f>
        <v/>
      </c>
      <c r="T853" s="2" t="str">
        <f>'GN-Completo'!M60</f>
        <v/>
      </c>
      <c r="U853" s="34" t="str">
        <f>'GN-Completo'!N60</f>
        <v/>
      </c>
      <c r="V853" s="34" t="str">
        <f>'GN-Completo'!O60</f>
        <v/>
      </c>
      <c r="W853" s="2" t="str">
        <f>'GN-Completo'!P60</f>
        <v/>
      </c>
      <c r="X853" s="34">
        <f>'GN-Completo'!Q60</f>
        <v>0</v>
      </c>
      <c r="Y853" s="1"/>
      <c r="Z853" s="1"/>
      <c r="AA853" s="1"/>
    </row>
    <row r="854">
      <c r="A854" s="1"/>
      <c r="B854" s="14">
        <f t="shared" si="15"/>
        <v>57</v>
      </c>
      <c r="C854" s="15" t="str">
        <f t="shared" si="1"/>
        <v>diciembre</v>
      </c>
      <c r="D854" s="15">
        <f t="shared" si="2"/>
        <v>52</v>
      </c>
      <c r="E854" s="16" t="str">
        <f t="shared" si="3"/>
        <v>sábado</v>
      </c>
      <c r="F854" s="15">
        <f t="shared" si="4"/>
        <v>30</v>
      </c>
      <c r="G854" s="15" t="s">
        <v>27</v>
      </c>
      <c r="H854" s="3" t="str">
        <f>'GN-Completo'!$G$3</f>
        <v>GN</v>
      </c>
      <c r="I854" s="24" t="str">
        <f>'GN-Completo'!B61</f>
        <v/>
      </c>
      <c r="J854" s="2" t="str">
        <f>'GN-Completo'!C61</f>
        <v/>
      </c>
      <c r="K854" s="2" t="str">
        <f>'GN-Completo'!D61</f>
        <v/>
      </c>
      <c r="L854" s="2" t="str">
        <f>'GN-Completo'!E61</f>
        <v/>
      </c>
      <c r="M854" s="2" t="str">
        <f>'GN-Completo'!F61</f>
        <v/>
      </c>
      <c r="N854" s="2" t="str">
        <f>'GN-Completo'!G61</f>
        <v/>
      </c>
      <c r="O854" s="5" t="str">
        <f>'GN-Completo'!H61</f>
        <v/>
      </c>
      <c r="P854" s="5" t="str">
        <f>'GN-Completo'!I61</f>
        <v/>
      </c>
      <c r="Q854" s="5" t="str">
        <f>'GN-Completo'!J61</f>
        <v/>
      </c>
      <c r="R854" s="5" t="str">
        <f>'GN-Completo'!K61</f>
        <v/>
      </c>
      <c r="S854" s="2" t="str">
        <f>'GN-Completo'!L61</f>
        <v/>
      </c>
      <c r="T854" s="2" t="str">
        <f>'GN-Completo'!M61</f>
        <v/>
      </c>
      <c r="U854" s="34" t="str">
        <f>'GN-Completo'!N61</f>
        <v/>
      </c>
      <c r="V854" s="34" t="str">
        <f>'GN-Completo'!O61</f>
        <v/>
      </c>
      <c r="W854" s="2" t="str">
        <f>'GN-Completo'!P61</f>
        <v/>
      </c>
      <c r="X854" s="34">
        <f>'GN-Completo'!Q61</f>
        <v>0</v>
      </c>
      <c r="Y854" s="1"/>
      <c r="Z854" s="1"/>
      <c r="AA854" s="1"/>
    </row>
    <row r="855">
      <c r="A855" s="1"/>
      <c r="B855" s="14">
        <f t="shared" si="15"/>
        <v>58</v>
      </c>
      <c r="C855" s="15" t="str">
        <f t="shared" si="1"/>
        <v>diciembre</v>
      </c>
      <c r="D855" s="15">
        <f t="shared" si="2"/>
        <v>52</v>
      </c>
      <c r="E855" s="16" t="str">
        <f t="shared" si="3"/>
        <v>sábado</v>
      </c>
      <c r="F855" s="15">
        <f t="shared" si="4"/>
        <v>30</v>
      </c>
      <c r="G855" s="15" t="s">
        <v>27</v>
      </c>
      <c r="H855" s="3" t="str">
        <f>'GN-Completo'!$G$3</f>
        <v>GN</v>
      </c>
      <c r="I855" s="24" t="str">
        <f>'GN-Completo'!B62</f>
        <v/>
      </c>
      <c r="J855" s="2" t="str">
        <f>'GN-Completo'!C62</f>
        <v/>
      </c>
      <c r="K855" s="2" t="str">
        <f>'GN-Completo'!D62</f>
        <v/>
      </c>
      <c r="L855" s="2" t="str">
        <f>'GN-Completo'!E62</f>
        <v/>
      </c>
      <c r="M855" s="2" t="str">
        <f>'GN-Completo'!F62</f>
        <v/>
      </c>
      <c r="N855" s="2" t="str">
        <f>'GN-Completo'!G62</f>
        <v/>
      </c>
      <c r="O855" s="2" t="str">
        <f>'GN-Completo'!H62</f>
        <v/>
      </c>
      <c r="P855" s="2" t="str">
        <f>'GN-Completo'!I62</f>
        <v/>
      </c>
      <c r="Q855" s="2" t="str">
        <f>'GN-Completo'!J62</f>
        <v/>
      </c>
      <c r="R855" s="2" t="str">
        <f>'GN-Completo'!K62</f>
        <v/>
      </c>
      <c r="S855" s="2" t="str">
        <f>'GN-Completo'!L62</f>
        <v/>
      </c>
      <c r="T855" s="2" t="str">
        <f>'GN-Completo'!M62</f>
        <v/>
      </c>
      <c r="U855" s="2" t="str">
        <f>'GN-Completo'!N62</f>
        <v/>
      </c>
      <c r="V855" s="2" t="str">
        <f>'GN-Completo'!O62</f>
        <v/>
      </c>
      <c r="W855" s="2" t="str">
        <f>'GN-Completo'!P62</f>
        <v/>
      </c>
      <c r="X855" s="34">
        <f>'GN-Completo'!Q62</f>
        <v>0</v>
      </c>
      <c r="Y855" s="1"/>
      <c r="Z855" s="1"/>
      <c r="AA855" s="1"/>
    </row>
    <row r="856">
      <c r="A856" s="1"/>
      <c r="B856" s="14">
        <f t="shared" si="15"/>
        <v>59</v>
      </c>
      <c r="C856" s="15" t="str">
        <f t="shared" si="1"/>
        <v>diciembre</v>
      </c>
      <c r="D856" s="15">
        <f t="shared" si="2"/>
        <v>52</v>
      </c>
      <c r="E856" s="16" t="str">
        <f t="shared" si="3"/>
        <v>sábado</v>
      </c>
      <c r="F856" s="15">
        <f t="shared" si="4"/>
        <v>30</v>
      </c>
      <c r="G856" s="15" t="s">
        <v>27</v>
      </c>
      <c r="H856" s="3" t="str">
        <f>'GN-Completo'!$G$3</f>
        <v>GN</v>
      </c>
      <c r="I856" s="24" t="str">
        <f>'GN-Completo'!B63</f>
        <v/>
      </c>
      <c r="J856" s="2" t="str">
        <f>'GN-Completo'!C63</f>
        <v/>
      </c>
      <c r="K856" s="2" t="str">
        <f>'GN-Completo'!D63</f>
        <v/>
      </c>
      <c r="L856" s="2" t="str">
        <f>'GN-Completo'!E63</f>
        <v/>
      </c>
      <c r="M856" s="2" t="str">
        <f>'GN-Completo'!F63</f>
        <v/>
      </c>
      <c r="N856" s="2" t="str">
        <f>'GN-Completo'!G63</f>
        <v/>
      </c>
      <c r="O856" s="5" t="str">
        <f>'GN-Completo'!H63</f>
        <v/>
      </c>
      <c r="P856" s="5" t="str">
        <f>'GN-Completo'!I63</f>
        <v/>
      </c>
      <c r="Q856" s="5" t="str">
        <f>'GN-Completo'!J63</f>
        <v/>
      </c>
      <c r="R856" s="5" t="str">
        <f>'GN-Completo'!K63</f>
        <v/>
      </c>
      <c r="S856" s="2" t="str">
        <f>'GN-Completo'!L63</f>
        <v/>
      </c>
      <c r="T856" s="2" t="str">
        <f>'GN-Completo'!M63</f>
        <v/>
      </c>
      <c r="U856" s="34" t="str">
        <f>'GN-Completo'!N63</f>
        <v/>
      </c>
      <c r="V856" s="34" t="str">
        <f>'GN-Completo'!O63</f>
        <v/>
      </c>
      <c r="W856" s="2" t="str">
        <f>'GN-Completo'!P63</f>
        <v/>
      </c>
      <c r="X856" s="34">
        <f>'GN-Completo'!Q63</f>
        <v>0</v>
      </c>
      <c r="Y856" s="1"/>
      <c r="Z856" s="1"/>
      <c r="AA856" s="1"/>
    </row>
    <row r="857">
      <c r="A857" s="1"/>
      <c r="B857" s="14">
        <f t="shared" si="15"/>
        <v>60</v>
      </c>
      <c r="C857" s="15" t="str">
        <f t="shared" si="1"/>
        <v>diciembre</v>
      </c>
      <c r="D857" s="15">
        <f t="shared" si="2"/>
        <v>52</v>
      </c>
      <c r="E857" s="16" t="str">
        <f t="shared" si="3"/>
        <v>sábado</v>
      </c>
      <c r="F857" s="15">
        <f t="shared" si="4"/>
        <v>30</v>
      </c>
      <c r="G857" s="15" t="s">
        <v>27</v>
      </c>
      <c r="H857" s="3" t="str">
        <f>'GN-Completo'!$G$3</f>
        <v>GN</v>
      </c>
      <c r="I857" s="24" t="str">
        <f>'GN-Completo'!B64</f>
        <v/>
      </c>
      <c r="J857" s="2" t="str">
        <f>'GN-Completo'!C64</f>
        <v/>
      </c>
      <c r="K857" s="2" t="str">
        <f>'GN-Completo'!D64</f>
        <v/>
      </c>
      <c r="L857" s="2" t="str">
        <f>'GN-Completo'!E64</f>
        <v/>
      </c>
      <c r="M857" s="2" t="str">
        <f>'GN-Completo'!F64</f>
        <v/>
      </c>
      <c r="N857" s="2" t="str">
        <f>'GN-Completo'!G64</f>
        <v/>
      </c>
      <c r="O857" s="5" t="str">
        <f>'GN-Completo'!H64</f>
        <v/>
      </c>
      <c r="P857" s="5" t="str">
        <f>'GN-Completo'!I64</f>
        <v/>
      </c>
      <c r="Q857" s="5" t="str">
        <f>'GN-Completo'!J64</f>
        <v/>
      </c>
      <c r="R857" s="5" t="str">
        <f>'GN-Completo'!K64</f>
        <v/>
      </c>
      <c r="S857" s="2" t="str">
        <f>'GN-Completo'!L64</f>
        <v/>
      </c>
      <c r="T857" s="2" t="str">
        <f>'GN-Completo'!M64</f>
        <v/>
      </c>
      <c r="U857" s="34" t="str">
        <f>'GN-Completo'!N64</f>
        <v/>
      </c>
      <c r="V857" s="34" t="str">
        <f>'GN-Completo'!O64</f>
        <v/>
      </c>
      <c r="W857" s="2" t="str">
        <f>'GN-Completo'!P64</f>
        <v/>
      </c>
      <c r="X857" s="34">
        <f>'GN-Completo'!Q64</f>
        <v>0</v>
      </c>
      <c r="Y857" s="1"/>
      <c r="Z857" s="1"/>
      <c r="AA857" s="1"/>
    </row>
    <row r="858">
      <c r="A858" s="1"/>
      <c r="B858" s="14">
        <f t="shared" si="15"/>
        <v>61</v>
      </c>
      <c r="C858" s="15" t="str">
        <f t="shared" si="1"/>
        <v>diciembre</v>
      </c>
      <c r="D858" s="15">
        <f t="shared" si="2"/>
        <v>52</v>
      </c>
      <c r="E858" s="16" t="str">
        <f t="shared" si="3"/>
        <v>sábado</v>
      </c>
      <c r="F858" s="15">
        <f t="shared" si="4"/>
        <v>30</v>
      </c>
      <c r="G858" s="15" t="s">
        <v>27</v>
      </c>
      <c r="H858" s="3" t="str">
        <f>'GN-Completo'!$G$3</f>
        <v>GN</v>
      </c>
      <c r="I858" s="24" t="str">
        <f>'GN-Completo'!B65</f>
        <v/>
      </c>
      <c r="J858" s="2" t="str">
        <f>'GN-Completo'!C65</f>
        <v/>
      </c>
      <c r="K858" s="2" t="str">
        <f>'GN-Completo'!D65</f>
        <v/>
      </c>
      <c r="L858" s="2" t="str">
        <f>'GN-Completo'!E65</f>
        <v/>
      </c>
      <c r="M858" s="2" t="str">
        <f>'GN-Completo'!F65</f>
        <v/>
      </c>
      <c r="N858" s="2" t="str">
        <f>'GN-Completo'!G65</f>
        <v/>
      </c>
      <c r="O858" s="5" t="str">
        <f>'GN-Completo'!H65</f>
        <v/>
      </c>
      <c r="P858" s="5" t="str">
        <f>'GN-Completo'!I65</f>
        <v/>
      </c>
      <c r="Q858" s="5" t="str">
        <f>'GN-Completo'!J65</f>
        <v/>
      </c>
      <c r="R858" s="5" t="str">
        <f>'GN-Completo'!K65</f>
        <v/>
      </c>
      <c r="S858" s="2" t="str">
        <f>'GN-Completo'!L65</f>
        <v/>
      </c>
      <c r="T858" s="2" t="str">
        <f>'GN-Completo'!M65</f>
        <v/>
      </c>
      <c r="U858" s="34" t="str">
        <f>'GN-Completo'!N65</f>
        <v/>
      </c>
      <c r="V858" s="34" t="str">
        <f>'GN-Completo'!O65</f>
        <v/>
      </c>
      <c r="W858" s="2" t="str">
        <f>'GN-Completo'!P65</f>
        <v/>
      </c>
      <c r="X858" s="34">
        <f>'GN-Completo'!Q65</f>
        <v>0</v>
      </c>
      <c r="Y858" s="1"/>
      <c r="Z858" s="1"/>
      <c r="AA858" s="1"/>
    </row>
    <row r="859">
      <c r="A859" s="1"/>
      <c r="B859" s="14">
        <f t="shared" si="15"/>
        <v>62</v>
      </c>
      <c r="C859" s="15" t="str">
        <f t="shared" si="1"/>
        <v>diciembre</v>
      </c>
      <c r="D859" s="15">
        <f t="shared" si="2"/>
        <v>52</v>
      </c>
      <c r="E859" s="16" t="str">
        <f t="shared" si="3"/>
        <v>sábado</v>
      </c>
      <c r="F859" s="15">
        <f t="shared" si="4"/>
        <v>30</v>
      </c>
      <c r="G859" s="15" t="s">
        <v>27</v>
      </c>
      <c r="H859" s="3" t="str">
        <f>'GN-Completo'!$G$3</f>
        <v>GN</v>
      </c>
      <c r="I859" s="24" t="str">
        <f>'GN-Completo'!B66</f>
        <v/>
      </c>
      <c r="J859" s="2" t="str">
        <f>'GN-Completo'!C66</f>
        <v/>
      </c>
      <c r="K859" s="2" t="str">
        <f>'GN-Completo'!D66</f>
        <v/>
      </c>
      <c r="L859" s="2" t="str">
        <f>'GN-Completo'!E66</f>
        <v/>
      </c>
      <c r="M859" s="2" t="str">
        <f>'GN-Completo'!F66</f>
        <v/>
      </c>
      <c r="N859" s="2" t="str">
        <f>'GN-Completo'!G66</f>
        <v/>
      </c>
      <c r="O859" s="5" t="str">
        <f>'GN-Completo'!H66</f>
        <v/>
      </c>
      <c r="P859" s="5" t="str">
        <f>'GN-Completo'!I66</f>
        <v/>
      </c>
      <c r="Q859" s="5" t="str">
        <f>'GN-Completo'!J66</f>
        <v/>
      </c>
      <c r="R859" s="5" t="str">
        <f>'GN-Completo'!K66</f>
        <v/>
      </c>
      <c r="S859" s="2" t="str">
        <f>'GN-Completo'!L66</f>
        <v/>
      </c>
      <c r="T859" s="2" t="str">
        <f>'GN-Completo'!M66</f>
        <v/>
      </c>
      <c r="U859" s="34" t="str">
        <f>'GN-Completo'!N66</f>
        <v/>
      </c>
      <c r="V859" s="34" t="str">
        <f>'GN-Completo'!O66</f>
        <v/>
      </c>
      <c r="W859" s="2" t="str">
        <f>'GN-Completo'!P66</f>
        <v/>
      </c>
      <c r="X859" s="34">
        <f>'GN-Completo'!Q66</f>
        <v>0</v>
      </c>
      <c r="Y859" s="1"/>
      <c r="Z859" s="1"/>
      <c r="AA859" s="1"/>
    </row>
    <row r="860">
      <c r="A860" s="1"/>
      <c r="B860" s="14">
        <v>1.0</v>
      </c>
      <c r="C860" s="22" t="str">
        <f t="shared" si="1"/>
        <v>enero</v>
      </c>
      <c r="D860" s="22">
        <f t="shared" si="2"/>
        <v>4</v>
      </c>
      <c r="E860" s="23" t="str">
        <f t="shared" si="3"/>
        <v>viernes</v>
      </c>
      <c r="F860" s="22">
        <f t="shared" si="4"/>
        <v>23</v>
      </c>
      <c r="G860" s="22" t="s">
        <v>28</v>
      </c>
      <c r="H860" s="3" t="str">
        <f>Corporativo!$G$3</f>
        <v>CORPORATIVO</v>
      </c>
      <c r="I860" s="24">
        <f>Corporativo!B5</f>
        <v>46045</v>
      </c>
      <c r="J860" s="2" t="str">
        <f>Corporativo!C5</f>
        <v>Catering</v>
      </c>
      <c r="K860" s="2" t="str">
        <f>Corporativo!D5</f>
        <v>Jorge</v>
      </c>
      <c r="L860" s="2" t="str">
        <f>Corporativo!E5</f>
        <v/>
      </c>
      <c r="M860" s="2" t="str">
        <f>Corporativo!F5</f>
        <v>San isidro</v>
      </c>
      <c r="N860" s="2" t="str">
        <f>Corporativo!G5</f>
        <v/>
      </c>
      <c r="O860" s="2" t="str">
        <f>Corporativo!H5</f>
        <v>x</v>
      </c>
      <c r="P860" s="2" t="str">
        <f>Corporativo!I5</f>
        <v/>
      </c>
      <c r="Q860" s="2">
        <f>Corporativo!J5</f>
        <v>1700</v>
      </c>
      <c r="R860" s="2">
        <f>Corporativo!K5</f>
        <v>720</v>
      </c>
      <c r="S860" s="2" t="str">
        <f>Corporativo!L5</f>
        <v>COBR</v>
      </c>
      <c r="T860" s="2" t="str">
        <f>Corporativo!M5</f>
        <v>BCP EPP</v>
      </c>
      <c r="U860" s="2">
        <f>Corporativo!N5</f>
        <v>1700</v>
      </c>
      <c r="V860" s="2">
        <f>Corporativo!O5</f>
        <v>720</v>
      </c>
      <c r="W860" s="2" t="str">
        <f>Corporativo!P5</f>
        <v>Katherine</v>
      </c>
      <c r="X860" s="5">
        <f>Corporativo!Q5</f>
        <v>2420</v>
      </c>
      <c r="Y860" s="1"/>
      <c r="Z860" s="1"/>
      <c r="AA860" s="1"/>
    </row>
    <row r="861">
      <c r="A861" s="1"/>
      <c r="B861" s="14">
        <f t="shared" ref="B861:B869" si="16">B860+1</f>
        <v>2</v>
      </c>
      <c r="C861" s="22" t="str">
        <f t="shared" si="1"/>
        <v>enero</v>
      </c>
      <c r="D861" s="22">
        <f t="shared" si="2"/>
        <v>4</v>
      </c>
      <c r="E861" s="23" t="str">
        <f t="shared" si="3"/>
        <v>jueves</v>
      </c>
      <c r="F861" s="22">
        <f t="shared" si="4"/>
        <v>22</v>
      </c>
      <c r="G861" s="22" t="s">
        <v>28</v>
      </c>
      <c r="H861" s="3" t="str">
        <f>Corporativo!$G$3</f>
        <v>CORPORATIVO</v>
      </c>
      <c r="I861" s="24">
        <f>Corporativo!B6</f>
        <v>46044</v>
      </c>
      <c r="J861" s="2" t="str">
        <f>Corporativo!C6</f>
        <v>Catering</v>
      </c>
      <c r="K861" s="2" t="str">
        <f>Corporativo!D6</f>
        <v>BRENDA FARAON</v>
      </c>
      <c r="L861" s="2" t="str">
        <f>Corporativo!E6</f>
        <v/>
      </c>
      <c r="M861" s="2" t="str">
        <f>Corporativo!F6</f>
        <v>SURCO</v>
      </c>
      <c r="N861" s="2" t="str">
        <f>Corporativo!G6</f>
        <v/>
      </c>
      <c r="O861" s="5" t="str">
        <f>Corporativo!H6</f>
        <v>X</v>
      </c>
      <c r="P861" s="5" t="str">
        <f>Corporativo!I6</f>
        <v/>
      </c>
      <c r="Q861" s="5">
        <f>Corporativo!J6</f>
        <v>1724</v>
      </c>
      <c r="R861" s="5" t="str">
        <f>Corporativo!K6</f>
        <v/>
      </c>
      <c r="S861" s="2" t="str">
        <f>Corporativo!L6</f>
        <v>PAGO</v>
      </c>
      <c r="T861" s="2" t="str">
        <f>Corporativo!M6</f>
        <v/>
      </c>
      <c r="U861" s="34">
        <f>Corporativo!N6</f>
        <v>1724</v>
      </c>
      <c r="V861" s="34" t="str">
        <f>Corporativo!O6</f>
        <v/>
      </c>
      <c r="W861" s="2" t="str">
        <f>Corporativo!P6</f>
        <v>FH</v>
      </c>
      <c r="X861" s="5">
        <f>Corporativo!Q6</f>
        <v>1724</v>
      </c>
      <c r="Y861" s="1"/>
      <c r="Z861" s="1"/>
      <c r="AA861" s="1"/>
    </row>
    <row r="862">
      <c r="A862" s="1"/>
      <c r="B862" s="14">
        <f t="shared" si="16"/>
        <v>3</v>
      </c>
      <c r="C862" s="22" t="str">
        <f t="shared" si="1"/>
        <v>diciembre</v>
      </c>
      <c r="D862" s="22">
        <f t="shared" si="2"/>
        <v>52</v>
      </c>
      <c r="E862" s="23" t="str">
        <f t="shared" si="3"/>
        <v>sábado</v>
      </c>
      <c r="F862" s="22">
        <f t="shared" si="4"/>
        <v>30</v>
      </c>
      <c r="G862" s="22" t="s">
        <v>28</v>
      </c>
      <c r="H862" s="3" t="str">
        <f>Corporativo!$G$3</f>
        <v>CORPORATIVO</v>
      </c>
      <c r="I862" s="24" t="str">
        <f>Corporativo!B7</f>
        <v/>
      </c>
      <c r="J862" s="2" t="str">
        <f>Corporativo!C7</f>
        <v/>
      </c>
      <c r="K862" s="2" t="str">
        <f>Corporativo!D7</f>
        <v>JULIO GELDRES</v>
      </c>
      <c r="L862" s="2" t="str">
        <f>Corporativo!E7</f>
        <v/>
      </c>
      <c r="M862" s="2" t="str">
        <f>Corporativo!F7</f>
        <v/>
      </c>
      <c r="N862" s="2" t="str">
        <f>Corporativo!G7</f>
        <v/>
      </c>
      <c r="O862" s="5" t="str">
        <f>Corporativo!H7</f>
        <v>X</v>
      </c>
      <c r="P862" s="5" t="str">
        <f>Corporativo!I7</f>
        <v/>
      </c>
      <c r="Q862" s="5">
        <f>Corporativo!J7</f>
        <v>500</v>
      </c>
      <c r="R862" s="5" t="str">
        <f>Corporativo!K7</f>
        <v/>
      </c>
      <c r="S862" s="2" t="str">
        <f>Corporativo!L7</f>
        <v/>
      </c>
      <c r="T862" s="2" t="str">
        <f>Corporativo!M7</f>
        <v/>
      </c>
      <c r="U862" s="34">
        <f>Corporativo!N7</f>
        <v>500</v>
      </c>
      <c r="V862" s="34" t="str">
        <f>Corporativo!O7</f>
        <v/>
      </c>
      <c r="W862" s="2" t="str">
        <f>Corporativo!P7</f>
        <v>FH</v>
      </c>
      <c r="X862" s="5">
        <f>Corporativo!Q7</f>
        <v>500</v>
      </c>
      <c r="Y862" s="1"/>
      <c r="Z862" s="1"/>
      <c r="AA862" s="1"/>
    </row>
    <row r="863">
      <c r="A863" s="1"/>
      <c r="B863" s="14">
        <f t="shared" si="16"/>
        <v>4</v>
      </c>
      <c r="C863" s="22" t="str">
        <f t="shared" si="1"/>
        <v>diciembre</v>
      </c>
      <c r="D863" s="22">
        <f t="shared" si="2"/>
        <v>52</v>
      </c>
      <c r="E863" s="23" t="str">
        <f t="shared" si="3"/>
        <v>sábado</v>
      </c>
      <c r="F863" s="22">
        <f t="shared" si="4"/>
        <v>30</v>
      </c>
      <c r="G863" s="22" t="s">
        <v>28</v>
      </c>
      <c r="H863" s="3" t="str">
        <f>Corporativo!$G$3</f>
        <v>CORPORATIVO</v>
      </c>
      <c r="I863" s="24" t="str">
        <f>Corporativo!B8</f>
        <v/>
      </c>
      <c r="J863" s="2" t="str">
        <f>Corporativo!C8</f>
        <v/>
      </c>
      <c r="K863" s="2" t="str">
        <f>Corporativo!D8</f>
        <v/>
      </c>
      <c r="L863" s="2" t="str">
        <f>Corporativo!E8</f>
        <v/>
      </c>
      <c r="M863" s="2" t="str">
        <f>Corporativo!F8</f>
        <v/>
      </c>
      <c r="N863" s="2" t="str">
        <f>Corporativo!G8</f>
        <v/>
      </c>
      <c r="O863" s="5" t="str">
        <f>Corporativo!H8</f>
        <v/>
      </c>
      <c r="P863" s="5" t="str">
        <f>Corporativo!I8</f>
        <v/>
      </c>
      <c r="Q863" s="5" t="str">
        <f>Corporativo!J8</f>
        <v/>
      </c>
      <c r="R863" s="5" t="str">
        <f>Corporativo!K8</f>
        <v/>
      </c>
      <c r="S863" s="2" t="str">
        <f>Corporativo!L8</f>
        <v/>
      </c>
      <c r="T863" s="2" t="str">
        <f>Corporativo!M8</f>
        <v/>
      </c>
      <c r="U863" s="34" t="str">
        <f>Corporativo!N8</f>
        <v/>
      </c>
      <c r="V863" s="34" t="str">
        <f>Corporativo!O8</f>
        <v/>
      </c>
      <c r="W863" s="2" t="str">
        <f>Corporativo!P8</f>
        <v/>
      </c>
      <c r="X863" s="5">
        <f>Corporativo!Q8</f>
        <v>0</v>
      </c>
      <c r="Y863" s="1"/>
      <c r="Z863" s="1"/>
      <c r="AA863" s="1"/>
    </row>
    <row r="864">
      <c r="A864" s="1"/>
      <c r="B864" s="14">
        <f t="shared" si="16"/>
        <v>5</v>
      </c>
      <c r="C864" s="22" t="str">
        <f t="shared" si="1"/>
        <v>diciembre</v>
      </c>
      <c r="D864" s="22">
        <f t="shared" si="2"/>
        <v>52</v>
      </c>
      <c r="E864" s="23" t="str">
        <f t="shared" si="3"/>
        <v>sábado</v>
      </c>
      <c r="F864" s="22">
        <f t="shared" si="4"/>
        <v>30</v>
      </c>
      <c r="G864" s="22" t="s">
        <v>28</v>
      </c>
      <c r="H864" s="3" t="str">
        <f>Corporativo!$G$3</f>
        <v>CORPORATIVO</v>
      </c>
      <c r="I864" s="24" t="str">
        <f>Corporativo!B9</f>
        <v/>
      </c>
      <c r="J864" s="2" t="str">
        <f>Corporativo!C9</f>
        <v/>
      </c>
      <c r="K864" s="2" t="str">
        <f>Corporativo!D9</f>
        <v/>
      </c>
      <c r="L864" s="2" t="str">
        <f>Corporativo!E9</f>
        <v/>
      </c>
      <c r="M864" s="2" t="str">
        <f>Corporativo!F9</f>
        <v/>
      </c>
      <c r="N864" s="2" t="str">
        <f>Corporativo!G9</f>
        <v/>
      </c>
      <c r="O864" s="5" t="str">
        <f>Corporativo!H9</f>
        <v/>
      </c>
      <c r="P864" s="5" t="str">
        <f>Corporativo!I9</f>
        <v/>
      </c>
      <c r="Q864" s="5" t="str">
        <f>Corporativo!J9</f>
        <v/>
      </c>
      <c r="R864" s="5" t="str">
        <f>Corporativo!K9</f>
        <v/>
      </c>
      <c r="S864" s="2" t="str">
        <f>Corporativo!L9</f>
        <v/>
      </c>
      <c r="T864" s="2" t="str">
        <f>Corporativo!M9</f>
        <v/>
      </c>
      <c r="U864" s="34" t="str">
        <f>Corporativo!N9</f>
        <v/>
      </c>
      <c r="V864" s="34" t="str">
        <f>Corporativo!O9</f>
        <v/>
      </c>
      <c r="W864" s="2" t="str">
        <f>Corporativo!P9</f>
        <v/>
      </c>
      <c r="X864" s="5">
        <f>Corporativo!Q9</f>
        <v>0</v>
      </c>
      <c r="Y864" s="1"/>
      <c r="Z864" s="1"/>
      <c r="AA864" s="1"/>
    </row>
    <row r="865">
      <c r="A865" s="1"/>
      <c r="B865" s="14">
        <f t="shared" si="16"/>
        <v>6</v>
      </c>
      <c r="C865" s="22" t="str">
        <f t="shared" si="1"/>
        <v>diciembre</v>
      </c>
      <c r="D865" s="22">
        <f t="shared" si="2"/>
        <v>52</v>
      </c>
      <c r="E865" s="23" t="str">
        <f t="shared" si="3"/>
        <v>sábado</v>
      </c>
      <c r="F865" s="22">
        <f t="shared" si="4"/>
        <v>30</v>
      </c>
      <c r="G865" s="22" t="s">
        <v>28</v>
      </c>
      <c r="H865" s="3" t="str">
        <f>Corporativo!$G$3</f>
        <v>CORPORATIVO</v>
      </c>
      <c r="I865" s="24" t="str">
        <f>Corporativo!B10</f>
        <v/>
      </c>
      <c r="J865" s="2" t="str">
        <f>Corporativo!C10</f>
        <v/>
      </c>
      <c r="K865" s="2" t="str">
        <f>Corporativo!D10</f>
        <v/>
      </c>
      <c r="L865" s="2" t="str">
        <f>Corporativo!E10</f>
        <v/>
      </c>
      <c r="M865" s="2" t="str">
        <f>Corporativo!F10</f>
        <v/>
      </c>
      <c r="N865" s="2" t="str">
        <f>Corporativo!G10</f>
        <v/>
      </c>
      <c r="O865" s="5" t="str">
        <f>Corporativo!H10</f>
        <v/>
      </c>
      <c r="P865" s="5" t="str">
        <f>Corporativo!I10</f>
        <v/>
      </c>
      <c r="Q865" s="5" t="str">
        <f>Corporativo!J10</f>
        <v/>
      </c>
      <c r="R865" s="5" t="str">
        <f>Corporativo!K10</f>
        <v/>
      </c>
      <c r="S865" s="2" t="str">
        <f>Corporativo!L10</f>
        <v/>
      </c>
      <c r="T865" s="2" t="str">
        <f>Corporativo!M10</f>
        <v/>
      </c>
      <c r="U865" s="34" t="str">
        <f>Corporativo!N10</f>
        <v/>
      </c>
      <c r="V865" s="34" t="str">
        <f>Corporativo!O10</f>
        <v/>
      </c>
      <c r="W865" s="2" t="str">
        <f>Corporativo!P10</f>
        <v/>
      </c>
      <c r="X865" s="5">
        <f>Corporativo!Q10</f>
        <v>0</v>
      </c>
      <c r="Y865" s="1"/>
      <c r="Z865" s="1"/>
      <c r="AA865" s="1"/>
    </row>
    <row r="866">
      <c r="A866" s="1"/>
      <c r="B866" s="14">
        <f t="shared" si="16"/>
        <v>7</v>
      </c>
      <c r="C866" s="22" t="str">
        <f t="shared" si="1"/>
        <v>diciembre</v>
      </c>
      <c r="D866" s="22">
        <f t="shared" si="2"/>
        <v>52</v>
      </c>
      <c r="E866" s="23" t="str">
        <f t="shared" si="3"/>
        <v>sábado</v>
      </c>
      <c r="F866" s="22">
        <f t="shared" si="4"/>
        <v>30</v>
      </c>
      <c r="G866" s="22" t="s">
        <v>28</v>
      </c>
      <c r="H866" s="3" t="str">
        <f>Corporativo!$G$3</f>
        <v>CORPORATIVO</v>
      </c>
      <c r="I866" s="24" t="str">
        <f>Corporativo!B11</f>
        <v/>
      </c>
      <c r="J866" s="2" t="str">
        <f>Corporativo!C11</f>
        <v/>
      </c>
      <c r="K866" s="2" t="str">
        <f>Corporativo!D11</f>
        <v/>
      </c>
      <c r="L866" s="2" t="str">
        <f>Corporativo!E11</f>
        <v/>
      </c>
      <c r="M866" s="2" t="str">
        <f>Corporativo!F11</f>
        <v/>
      </c>
      <c r="N866" s="2" t="str">
        <f>Corporativo!G11</f>
        <v/>
      </c>
      <c r="O866" s="5" t="str">
        <f>Corporativo!H11</f>
        <v/>
      </c>
      <c r="P866" s="5" t="str">
        <f>Corporativo!I11</f>
        <v/>
      </c>
      <c r="Q866" s="5" t="str">
        <f>Corporativo!J11</f>
        <v/>
      </c>
      <c r="R866" s="5" t="str">
        <f>Corporativo!K11</f>
        <v/>
      </c>
      <c r="S866" s="2" t="str">
        <f>Corporativo!L11</f>
        <v/>
      </c>
      <c r="T866" s="2" t="str">
        <f>Corporativo!M11</f>
        <v/>
      </c>
      <c r="U866" s="34" t="str">
        <f>Corporativo!N11</f>
        <v/>
      </c>
      <c r="V866" s="34" t="str">
        <f>Corporativo!O11</f>
        <v/>
      </c>
      <c r="W866" s="2" t="str">
        <f>Corporativo!P11</f>
        <v/>
      </c>
      <c r="X866" s="5">
        <f>Corporativo!Q11</f>
        <v>0</v>
      </c>
      <c r="Y866" s="1"/>
      <c r="Z866" s="1"/>
      <c r="AA866" s="1"/>
    </row>
    <row r="867">
      <c r="A867" s="1"/>
      <c r="B867" s="14">
        <f t="shared" si="16"/>
        <v>8</v>
      </c>
      <c r="C867" s="22" t="str">
        <f t="shared" si="1"/>
        <v>diciembre</v>
      </c>
      <c r="D867" s="22">
        <f t="shared" si="2"/>
        <v>52</v>
      </c>
      <c r="E867" s="23" t="str">
        <f t="shared" si="3"/>
        <v>sábado</v>
      </c>
      <c r="F867" s="22">
        <f t="shared" si="4"/>
        <v>30</v>
      </c>
      <c r="G867" s="22" t="s">
        <v>28</v>
      </c>
      <c r="H867" s="3" t="str">
        <f>Corporativo!$G$3</f>
        <v>CORPORATIVO</v>
      </c>
      <c r="I867" s="24" t="str">
        <f>Corporativo!B12</f>
        <v/>
      </c>
      <c r="J867" s="2" t="str">
        <f>Corporativo!C12</f>
        <v/>
      </c>
      <c r="K867" s="2" t="str">
        <f>Corporativo!D12</f>
        <v/>
      </c>
      <c r="L867" s="2" t="str">
        <f>Corporativo!E12</f>
        <v/>
      </c>
      <c r="M867" s="2" t="str">
        <f>Corporativo!F12</f>
        <v/>
      </c>
      <c r="N867" s="2" t="str">
        <f>Corporativo!G12</f>
        <v/>
      </c>
      <c r="O867" s="5" t="str">
        <f>Corporativo!H12</f>
        <v/>
      </c>
      <c r="P867" s="5" t="str">
        <f>Corporativo!I12</f>
        <v/>
      </c>
      <c r="Q867" s="5" t="str">
        <f>Corporativo!J12</f>
        <v/>
      </c>
      <c r="R867" s="5" t="str">
        <f>Corporativo!K12</f>
        <v/>
      </c>
      <c r="S867" s="2" t="str">
        <f>Corporativo!L12</f>
        <v/>
      </c>
      <c r="T867" s="2" t="str">
        <f>Corporativo!M12</f>
        <v/>
      </c>
      <c r="U867" s="34" t="str">
        <f>Corporativo!N12</f>
        <v/>
      </c>
      <c r="V867" s="34" t="str">
        <f>Corporativo!O12</f>
        <v/>
      </c>
      <c r="W867" s="2" t="str">
        <f>Corporativo!P12</f>
        <v/>
      </c>
      <c r="X867" s="5">
        <f>Corporativo!Q12</f>
        <v>0</v>
      </c>
      <c r="Y867" s="1"/>
      <c r="Z867" s="1"/>
      <c r="AA867" s="1"/>
    </row>
    <row r="868">
      <c r="A868" s="1"/>
      <c r="B868" s="14">
        <f t="shared" si="16"/>
        <v>9</v>
      </c>
      <c r="C868" s="22" t="str">
        <f t="shared" si="1"/>
        <v>diciembre</v>
      </c>
      <c r="D868" s="22">
        <f t="shared" si="2"/>
        <v>52</v>
      </c>
      <c r="E868" s="23" t="str">
        <f t="shared" si="3"/>
        <v>sábado</v>
      </c>
      <c r="F868" s="22">
        <f t="shared" si="4"/>
        <v>30</v>
      </c>
      <c r="G868" s="22" t="s">
        <v>28</v>
      </c>
      <c r="H868" s="3" t="str">
        <f>Corporativo!$G$3</f>
        <v>CORPORATIVO</v>
      </c>
      <c r="I868" s="24" t="str">
        <f>Corporativo!B13</f>
        <v/>
      </c>
      <c r="J868" s="2" t="str">
        <f>Corporativo!C13</f>
        <v/>
      </c>
      <c r="K868" s="2" t="str">
        <f>Corporativo!D13</f>
        <v/>
      </c>
      <c r="L868" s="2" t="str">
        <f>Corporativo!E13</f>
        <v/>
      </c>
      <c r="M868" s="2" t="str">
        <f>Corporativo!F13</f>
        <v/>
      </c>
      <c r="N868" s="2" t="str">
        <f>Corporativo!G13</f>
        <v/>
      </c>
      <c r="O868" s="5" t="str">
        <f>Corporativo!H13</f>
        <v/>
      </c>
      <c r="P868" s="5" t="str">
        <f>Corporativo!I13</f>
        <v/>
      </c>
      <c r="Q868" s="5" t="str">
        <f>Corporativo!J13</f>
        <v/>
      </c>
      <c r="R868" s="5" t="str">
        <f>Corporativo!K13</f>
        <v/>
      </c>
      <c r="S868" s="2" t="str">
        <f>Corporativo!L13</f>
        <v/>
      </c>
      <c r="T868" s="2" t="str">
        <f>Corporativo!M13</f>
        <v/>
      </c>
      <c r="U868" s="34" t="str">
        <f>Corporativo!N13</f>
        <v/>
      </c>
      <c r="V868" s="34" t="str">
        <f>Corporativo!O13</f>
        <v/>
      </c>
      <c r="W868" s="2" t="str">
        <f>Corporativo!P13</f>
        <v/>
      </c>
      <c r="X868" s="5">
        <f>Corporativo!Q13</f>
        <v>0</v>
      </c>
      <c r="Y868" s="1"/>
      <c r="Z868" s="1"/>
      <c r="AA868" s="1"/>
    </row>
    <row r="869">
      <c r="A869" s="1"/>
      <c r="B869" s="14">
        <f t="shared" si="16"/>
        <v>10</v>
      </c>
      <c r="C869" s="22" t="str">
        <f t="shared" si="1"/>
        <v>diciembre</v>
      </c>
      <c r="D869" s="22">
        <f t="shared" si="2"/>
        <v>52</v>
      </c>
      <c r="E869" s="23" t="str">
        <f t="shared" si="3"/>
        <v>sábado</v>
      </c>
      <c r="F869" s="22">
        <f t="shared" si="4"/>
        <v>30</v>
      </c>
      <c r="G869" s="22" t="s">
        <v>28</v>
      </c>
      <c r="H869" s="3" t="str">
        <f>Corporativo!$G$3</f>
        <v>CORPORATIVO</v>
      </c>
      <c r="I869" s="24" t="str">
        <f>Corporativo!B14</f>
        <v/>
      </c>
      <c r="J869" s="2" t="str">
        <f>Corporativo!C14</f>
        <v/>
      </c>
      <c r="K869" s="2" t="str">
        <f>Corporativo!D14</f>
        <v/>
      </c>
      <c r="L869" s="2" t="str">
        <f>Corporativo!E14</f>
        <v/>
      </c>
      <c r="M869" s="2" t="str">
        <f>Corporativo!F14</f>
        <v/>
      </c>
      <c r="N869" s="2" t="str">
        <f>Corporativo!G14</f>
        <v/>
      </c>
      <c r="O869" s="5" t="str">
        <f>Corporativo!H14</f>
        <v/>
      </c>
      <c r="P869" s="5" t="str">
        <f>Corporativo!I14</f>
        <v/>
      </c>
      <c r="Q869" s="5" t="str">
        <f>Corporativo!J14</f>
        <v/>
      </c>
      <c r="R869" s="5" t="str">
        <f>Corporativo!K14</f>
        <v/>
      </c>
      <c r="S869" s="2" t="str">
        <f>Corporativo!L14</f>
        <v/>
      </c>
      <c r="T869" s="2" t="str">
        <f>Corporativo!M14</f>
        <v/>
      </c>
      <c r="U869" s="34" t="str">
        <f>Corporativo!N14</f>
        <v/>
      </c>
      <c r="V869" s="34" t="str">
        <f>Corporativo!O14</f>
        <v/>
      </c>
      <c r="W869" s="2" t="str">
        <f>Corporativo!P14</f>
        <v/>
      </c>
      <c r="X869" s="5">
        <f>Corporativo!Q14</f>
        <v>0</v>
      </c>
      <c r="Y869" s="1"/>
      <c r="Z869" s="1"/>
      <c r="AA869" s="1"/>
    </row>
    <row r="870">
      <c r="A870" s="1"/>
      <c r="B870" s="14">
        <v>1.0</v>
      </c>
      <c r="C870" s="22" t="str">
        <f t="shared" si="1"/>
        <v>noviembre</v>
      </c>
      <c r="D870" s="22">
        <f t="shared" si="2"/>
        <v>49</v>
      </c>
      <c r="E870" s="23" t="str">
        <f t="shared" si="3"/>
        <v>domingo</v>
      </c>
      <c r="F870" s="22">
        <f t="shared" si="4"/>
        <v>30</v>
      </c>
      <c r="G870" s="22" t="str">
        <f>"COMPL-" &amp;'GB1'!$G$3</f>
        <v>COMPL-GB </v>
      </c>
      <c r="H870" s="3" t="str">
        <f>'GB1'!$A$3</f>
        <v>GASTRONOMIA EN BRASAS</v>
      </c>
      <c r="I870" s="24">
        <f>'GB1'!B5</f>
        <v>45991</v>
      </c>
      <c r="J870" s="2">
        <f>'GB1'!C5</f>
        <v>41318618</v>
      </c>
      <c r="K870" s="2" t="str">
        <f>'GB1'!D5</f>
        <v>Wilder francisco hurtado torres</v>
      </c>
      <c r="L870" s="2" t="str">
        <f>'GB1'!E5</f>
        <v>Willyht072@gmail.com</v>
      </c>
      <c r="M870" s="2" t="str">
        <f>'GB1'!F5</f>
        <v>Bellavista </v>
      </c>
      <c r="N870" s="2" t="str">
        <f>'GB1'!G5</f>
        <v>980 199 023</v>
      </c>
      <c r="O870" s="2" t="str">
        <f>'GB1'!H5</f>
        <v>x</v>
      </c>
      <c r="P870" s="2" t="str">
        <f>'GB1'!I5</f>
        <v/>
      </c>
      <c r="Q870" s="2">
        <f>'GB1'!J5</f>
        <v>1400</v>
      </c>
      <c r="R870" s="2" t="str">
        <f>'GB1'!K5</f>
        <v/>
      </c>
      <c r="S870" s="2" t="str">
        <f>'GB1'!L5</f>
        <v>PAGO</v>
      </c>
      <c r="T870" s="2" t="str">
        <f>'GB1'!M5</f>
        <v>YAPE JL</v>
      </c>
      <c r="U870" s="2">
        <f>'GB1'!N5</f>
        <v>300</v>
      </c>
      <c r="V870" s="2" t="str">
        <f>'GB1'!P5</f>
        <v/>
      </c>
      <c r="W870" s="2" t="str">
        <f>'GB1'!Q5</f>
        <v>Gabriela</v>
      </c>
      <c r="X870" s="5">
        <f>'GB1'!R5</f>
        <v>1400</v>
      </c>
      <c r="Y870" s="1"/>
      <c r="Z870" s="1"/>
      <c r="AA870" s="1"/>
    </row>
    <row r="871">
      <c r="A871" s="1"/>
      <c r="B871" s="14">
        <f t="shared" ref="B871:B899" si="17">B870+1</f>
        <v>2</v>
      </c>
      <c r="C871" s="22" t="str">
        <f t="shared" si="1"/>
        <v>octubre</v>
      </c>
      <c r="D871" s="22">
        <f t="shared" si="2"/>
        <v>44</v>
      </c>
      <c r="E871" s="23" t="str">
        <f t="shared" si="3"/>
        <v>jueves</v>
      </c>
      <c r="F871" s="22">
        <f t="shared" si="4"/>
        <v>30</v>
      </c>
      <c r="G871" s="22" t="str">
        <f>"COMPL-" &amp;'GB1'!$G$3</f>
        <v>COMPL-GB </v>
      </c>
      <c r="H871" s="3" t="str">
        <f>'GB1'!$A$3</f>
        <v>GASTRONOMIA EN BRASAS</v>
      </c>
      <c r="I871" s="24">
        <f>'GB1'!B6</f>
        <v>45960</v>
      </c>
      <c r="J871" s="2" t="str">
        <f>'GB1'!C6</f>
        <v/>
      </c>
      <c r="K871" s="2" t="str">
        <f>'GB1'!D6</f>
        <v>Geoffrey Mogollon</v>
      </c>
      <c r="L871" s="2" t="str">
        <f>'GB1'!E6</f>
        <v/>
      </c>
      <c r="M871" s="2" t="str">
        <f>'GB1'!F6</f>
        <v/>
      </c>
      <c r="N871" s="2" t="str">
        <f>'GB1'!G6</f>
        <v>920 385 441</v>
      </c>
      <c r="O871" s="5" t="str">
        <f>'GB1'!H6</f>
        <v/>
      </c>
      <c r="P871" s="5" t="str">
        <f>'GB1'!I6</f>
        <v>x</v>
      </c>
      <c r="Q871" s="5">
        <f>'GB1'!J6</f>
        <v>100</v>
      </c>
      <c r="R871" s="5" t="str">
        <f>'GB1'!K6</f>
        <v/>
      </c>
      <c r="S871" s="2" t="str">
        <f>'GB1'!L6</f>
        <v>PAGO</v>
      </c>
      <c r="T871" s="2" t="str">
        <f>'GB1'!M6</f>
        <v/>
      </c>
      <c r="U871" s="34">
        <f>'GB1'!N6</f>
        <v>100</v>
      </c>
      <c r="V871" s="34" t="str">
        <f>'GB1'!P6</f>
        <v/>
      </c>
      <c r="W871" s="2" t="str">
        <f>'GB1'!Q6</f>
        <v>Gabriela</v>
      </c>
      <c r="X871" s="5">
        <f>'GB1'!R6</f>
        <v>100</v>
      </c>
      <c r="Y871" s="1"/>
      <c r="Z871" s="1"/>
      <c r="AA871" s="1"/>
    </row>
    <row r="872">
      <c r="A872" s="1"/>
      <c r="B872" s="14">
        <f t="shared" si="17"/>
        <v>3</v>
      </c>
      <c r="C872" s="22" t="str">
        <f t="shared" si="1"/>
        <v>diciembre</v>
      </c>
      <c r="D872" s="22">
        <f t="shared" si="2"/>
        <v>49</v>
      </c>
      <c r="E872" s="23" t="str">
        <f t="shared" si="3"/>
        <v>miércoles</v>
      </c>
      <c r="F872" s="22">
        <f t="shared" si="4"/>
        <v>3</v>
      </c>
      <c r="G872" s="22" t="str">
        <f>"COMPL-" &amp;'GB1'!$G$3</f>
        <v>COMPL-GB </v>
      </c>
      <c r="H872" s="3" t="str">
        <f>'GB1'!$A$3</f>
        <v>GASTRONOMIA EN BRASAS</v>
      </c>
      <c r="I872" s="24">
        <f>'GB1'!B7</f>
        <v>45994</v>
      </c>
      <c r="J872" s="2">
        <f>'GB1'!C7</f>
        <v>10257770</v>
      </c>
      <c r="K872" s="2" t="str">
        <f>'GB1'!D7</f>
        <v>Ynalia Noemí Quispe Valdivia</v>
      </c>
      <c r="L872" s="2" t="str">
        <f>'GB1'!E7</f>
        <v>ynalianoemi@gmail.com</v>
      </c>
      <c r="M872" s="2" t="str">
        <f>'GB1'!F7</f>
        <v>Ate</v>
      </c>
      <c r="N872" s="2" t="str">
        <f>'GB1'!G7</f>
        <v>982 215 485</v>
      </c>
      <c r="O872" s="5" t="str">
        <f>'GB1'!H7</f>
        <v/>
      </c>
      <c r="P872" s="5" t="str">
        <f>'GB1'!I7</f>
        <v>x</v>
      </c>
      <c r="Q872" s="5">
        <f>'GB1'!J7</f>
        <v>1400</v>
      </c>
      <c r="R872" s="5" t="str">
        <f>'GB1'!K7</f>
        <v/>
      </c>
      <c r="S872" s="2" t="str">
        <f>'GB1'!L7</f>
        <v>PAGO</v>
      </c>
      <c r="T872" s="2" t="str">
        <f>'GB1'!M7</f>
        <v/>
      </c>
      <c r="U872" s="34">
        <f>'GB1'!N7</f>
        <v>300</v>
      </c>
      <c r="V872" s="34" t="str">
        <f>'GB1'!P7</f>
        <v/>
      </c>
      <c r="W872" s="2" t="str">
        <f>'GB1'!Q7</f>
        <v>Gabriela</v>
      </c>
      <c r="X872" s="5">
        <f>'GB1'!R7</f>
        <v>1400</v>
      </c>
      <c r="Y872" s="1"/>
      <c r="Z872" s="1"/>
      <c r="AA872" s="1"/>
    </row>
    <row r="873">
      <c r="A873" s="1"/>
      <c r="B873" s="14">
        <f t="shared" si="17"/>
        <v>4</v>
      </c>
      <c r="C873" s="22" t="str">
        <f t="shared" si="1"/>
        <v>diciembre</v>
      </c>
      <c r="D873" s="22">
        <f t="shared" si="2"/>
        <v>50</v>
      </c>
      <c r="E873" s="23" t="str">
        <f t="shared" si="3"/>
        <v>martes</v>
      </c>
      <c r="F873" s="22">
        <f t="shared" si="4"/>
        <v>9</v>
      </c>
      <c r="G873" s="22" t="str">
        <f>"COMPL-" &amp;'GB1'!$G$3</f>
        <v>COMPL-GB </v>
      </c>
      <c r="H873" s="3" t="str">
        <f>'GB1'!$A$3</f>
        <v>GASTRONOMIA EN BRASAS</v>
      </c>
      <c r="I873" s="24">
        <f>'GB1'!B8</f>
        <v>46000</v>
      </c>
      <c r="J873" s="2">
        <f>'GB1'!C8</f>
        <v>44028083</v>
      </c>
      <c r="K873" s="2" t="str">
        <f>'GB1'!D8</f>
        <v>Isolina Ruiz roman </v>
      </c>
      <c r="L873" s="2" t="str">
        <f>'GB1'!E8</f>
        <v>isolinachef@gmail.com </v>
      </c>
      <c r="M873" s="2" t="str">
        <f>'GB1'!F8</f>
        <v>SMP</v>
      </c>
      <c r="N873" s="2" t="str">
        <f>'GB1'!G8</f>
        <v>987 868 627</v>
      </c>
      <c r="O873" s="5" t="str">
        <f>'GB1'!H8</f>
        <v>x</v>
      </c>
      <c r="P873" s="5" t="str">
        <f>'GB1'!I8</f>
        <v/>
      </c>
      <c r="Q873" s="5">
        <f>'GB1'!J8</f>
        <v>1300</v>
      </c>
      <c r="R873" s="5" t="str">
        <f>'GB1'!K8</f>
        <v/>
      </c>
      <c r="S873" s="2" t="str">
        <f>'GB1'!L8</f>
        <v>PAGO</v>
      </c>
      <c r="T873" s="2" t="str">
        <f>'GB1'!M8</f>
        <v/>
      </c>
      <c r="U873" s="34">
        <f>'GB1'!N8</f>
        <v>300</v>
      </c>
      <c r="V873" s="34" t="str">
        <f>'GB1'!P8</f>
        <v/>
      </c>
      <c r="W873" s="2" t="str">
        <f>'GB1'!Q8</f>
        <v>Gabriela</v>
      </c>
      <c r="X873" s="5">
        <f>'GB1'!R8</f>
        <v>1300</v>
      </c>
      <c r="Y873" s="1"/>
      <c r="Z873" s="1"/>
      <c r="AA873" s="1"/>
    </row>
    <row r="874">
      <c r="A874" s="1"/>
      <c r="B874" s="14">
        <f t="shared" si="17"/>
        <v>5</v>
      </c>
      <c r="C874" s="22" t="str">
        <f t="shared" si="1"/>
        <v>diciembre</v>
      </c>
      <c r="D874" s="22">
        <f t="shared" si="2"/>
        <v>50</v>
      </c>
      <c r="E874" s="23" t="str">
        <f t="shared" si="3"/>
        <v>miércoles</v>
      </c>
      <c r="F874" s="22">
        <f t="shared" si="4"/>
        <v>10</v>
      </c>
      <c r="G874" s="22" t="str">
        <f>"COMPL-" &amp;'GB1'!$G$3</f>
        <v>COMPL-GB </v>
      </c>
      <c r="H874" s="3" t="str">
        <f>'GB1'!$A$3</f>
        <v>GASTRONOMIA EN BRASAS</v>
      </c>
      <c r="I874" s="24">
        <f>'GB1'!B9</f>
        <v>46001</v>
      </c>
      <c r="J874" s="2">
        <f>'GB1'!C9</f>
        <v>72685604</v>
      </c>
      <c r="K874" s="2" t="str">
        <f>'GB1'!D9</f>
        <v>Roberto Gabriel Flores Butron</v>
      </c>
      <c r="L874" s="2" t="str">
        <f>'GB1'!E9</f>
        <v>floresrgb97@gmail.com</v>
      </c>
      <c r="M874" s="2" t="str">
        <f>'GB1'!F9</f>
        <v>Yanahuara-Arequipa</v>
      </c>
      <c r="N874" s="2" t="str">
        <f>'GB1'!G9</f>
        <v>950 536 721</v>
      </c>
      <c r="O874" s="5" t="str">
        <f>'GB1'!H9</f>
        <v>x</v>
      </c>
      <c r="P874" s="5" t="str">
        <f>'GB1'!I9</f>
        <v/>
      </c>
      <c r="Q874" s="5">
        <f>'GB1'!J9</f>
        <v>1500</v>
      </c>
      <c r="R874" s="5" t="str">
        <f>'GB1'!K9</f>
        <v/>
      </c>
      <c r="S874" s="2" t="str">
        <f>'GB1'!L9</f>
        <v>PAGO</v>
      </c>
      <c r="T874" s="2" t="str">
        <f>'GB1'!M9</f>
        <v/>
      </c>
      <c r="U874" s="34">
        <f>'GB1'!N9</f>
        <v>300</v>
      </c>
      <c r="V874" s="34" t="str">
        <f>'GB1'!P9</f>
        <v/>
      </c>
      <c r="W874" s="2" t="str">
        <f>'GB1'!Q9</f>
        <v>Gabriela</v>
      </c>
      <c r="X874" s="5">
        <f>'GB1'!R9</f>
        <v>1500</v>
      </c>
      <c r="Y874" s="1"/>
      <c r="Z874" s="1"/>
      <c r="AA874" s="1"/>
    </row>
    <row r="875">
      <c r="A875" s="1"/>
      <c r="B875" s="14">
        <f t="shared" si="17"/>
        <v>6</v>
      </c>
      <c r="C875" s="22" t="str">
        <f t="shared" si="1"/>
        <v>diciembre</v>
      </c>
      <c r="D875" s="22">
        <f t="shared" si="2"/>
        <v>50</v>
      </c>
      <c r="E875" s="23" t="str">
        <f t="shared" si="3"/>
        <v>jueves</v>
      </c>
      <c r="F875" s="22">
        <f t="shared" si="4"/>
        <v>11</v>
      </c>
      <c r="G875" s="22" t="str">
        <f>"COMPL-" &amp;'GB1'!$G$3</f>
        <v>COMPL-GB </v>
      </c>
      <c r="H875" s="3" t="str">
        <f>'GB1'!$A$3</f>
        <v>GASTRONOMIA EN BRASAS</v>
      </c>
      <c r="I875" s="24">
        <f>'GB1'!B10</f>
        <v>46002</v>
      </c>
      <c r="J875" s="2">
        <f>'GB1'!C10</f>
        <v>46749055</v>
      </c>
      <c r="K875" s="2" t="str">
        <f>'GB1'!D10</f>
        <v>Eber huayhua vargas </v>
      </c>
      <c r="L875" s="2" t="str">
        <f>'GB1'!E10</f>
        <v>Huayhuavargase@gmail.com</v>
      </c>
      <c r="M875" s="2" t="str">
        <f>'GB1'!F10</f>
        <v>Chorrillos</v>
      </c>
      <c r="N875" s="2" t="str">
        <f>'GB1'!G10</f>
        <v>902 779 238</v>
      </c>
      <c r="O875" s="5" t="str">
        <f>'GB1'!H10</f>
        <v>x</v>
      </c>
      <c r="P875" s="5" t="str">
        <f>'GB1'!I10</f>
        <v/>
      </c>
      <c r="Q875" s="5">
        <f>'GB1'!J10</f>
        <v>1500</v>
      </c>
      <c r="R875" s="5" t="str">
        <f>'GB1'!K10</f>
        <v/>
      </c>
      <c r="S875" s="2" t="str">
        <f>'GB1'!L10</f>
        <v>PAGO</v>
      </c>
      <c r="T875" s="2" t="str">
        <f>'GB1'!M10</f>
        <v/>
      </c>
      <c r="U875" s="34">
        <f>'GB1'!N10</f>
        <v>100</v>
      </c>
      <c r="V875" s="34" t="str">
        <f>'GB1'!P10</f>
        <v/>
      </c>
      <c r="W875" s="2" t="str">
        <f>'GB1'!Q10</f>
        <v>Gabriela</v>
      </c>
      <c r="X875" s="5">
        <f>'GB1'!R10</f>
        <v>1500</v>
      </c>
      <c r="Y875" s="1"/>
      <c r="Z875" s="1"/>
      <c r="AA875" s="1"/>
    </row>
    <row r="876">
      <c r="A876" s="1"/>
      <c r="B876" s="14">
        <f t="shared" si="17"/>
        <v>7</v>
      </c>
      <c r="C876" s="22" t="str">
        <f t="shared" si="1"/>
        <v>diciembre</v>
      </c>
      <c r="D876" s="22">
        <f t="shared" si="2"/>
        <v>51</v>
      </c>
      <c r="E876" s="23" t="str">
        <f t="shared" si="3"/>
        <v>lunes</v>
      </c>
      <c r="F876" s="22">
        <f t="shared" si="4"/>
        <v>17</v>
      </c>
      <c r="G876" s="22" t="str">
        <f>"COMPL-" &amp;'GB1'!$G$3</f>
        <v>COMPL-GB </v>
      </c>
      <c r="H876" s="3" t="str">
        <f>'GB1'!$A$3</f>
        <v>GASTRONOMIA EN BRASAS</v>
      </c>
      <c r="I876" s="24">
        <f>'GB1'!B11</f>
        <v>41260</v>
      </c>
      <c r="J876" s="2">
        <f>'GB1'!C11</f>
        <v>75240792</v>
      </c>
      <c r="K876" s="2" t="str">
        <f>'GB1'!D11</f>
        <v>Victor Mario Zapata Vilchez </v>
      </c>
      <c r="L876" s="2" t="str">
        <f>'GB1'!E11</f>
        <v>qjazminmilagros@gmail.com</v>
      </c>
      <c r="M876" s="2" t="str">
        <f>'GB1'!F11</f>
        <v>Cieneguilla </v>
      </c>
      <c r="N876" s="2" t="str">
        <f>'GB1'!G11</f>
        <v>991 548 337</v>
      </c>
      <c r="O876" s="5" t="str">
        <f>'GB1'!H11</f>
        <v/>
      </c>
      <c r="P876" s="5" t="str">
        <f>'GB1'!I11</f>
        <v>x</v>
      </c>
      <c r="Q876" s="5">
        <f>'GB1'!J11</f>
        <v>1300</v>
      </c>
      <c r="R876" s="5" t="str">
        <f>'GB1'!K11</f>
        <v/>
      </c>
      <c r="S876" s="2" t="str">
        <f>'GB1'!L11</f>
        <v>PAGO</v>
      </c>
      <c r="T876" s="2" t="str">
        <f>'GB1'!M11</f>
        <v/>
      </c>
      <c r="U876" s="34">
        <f>'GB1'!N11</f>
        <v>800</v>
      </c>
      <c r="V876" s="34" t="str">
        <f>'GB1'!P11</f>
        <v/>
      </c>
      <c r="W876" s="2" t="str">
        <f>'GB1'!Q11</f>
        <v>Gabriela</v>
      </c>
      <c r="X876" s="5">
        <f>'GB1'!R11</f>
        <v>1300</v>
      </c>
      <c r="Y876" s="1"/>
      <c r="Z876" s="1"/>
      <c r="AA876" s="1"/>
    </row>
    <row r="877">
      <c r="A877" s="1"/>
      <c r="B877" s="14">
        <f t="shared" si="17"/>
        <v>8</v>
      </c>
      <c r="C877" s="22" t="str">
        <f t="shared" si="1"/>
        <v>diciembre</v>
      </c>
      <c r="D877" s="22">
        <f t="shared" si="2"/>
        <v>51</v>
      </c>
      <c r="E877" s="23" t="str">
        <f t="shared" si="3"/>
        <v>jueves</v>
      </c>
      <c r="F877" s="22">
        <f t="shared" si="4"/>
        <v>18</v>
      </c>
      <c r="G877" s="22" t="str">
        <f>"COMPL-" &amp;'GB1'!$G$3</f>
        <v>COMPL-GB </v>
      </c>
      <c r="H877" s="3" t="str">
        <f>'GB1'!$A$3</f>
        <v>GASTRONOMIA EN BRASAS</v>
      </c>
      <c r="I877" s="24">
        <f>'GB1'!B12</f>
        <v>46009</v>
      </c>
      <c r="J877" s="2">
        <f>'GB1'!C12</f>
        <v>1240711</v>
      </c>
      <c r="K877" s="2" t="str">
        <f>'GB1'!D12</f>
        <v>Andrés Sebastian Ordenes Lobatón</v>
      </c>
      <c r="L877" s="27" t="str">
        <f>'GB1'!E12</f>
        <v>andresordeneslo@gmail.com</v>
      </c>
      <c r="M877" s="2" t="str">
        <f>'GB1'!F12</f>
        <v>San isidro</v>
      </c>
      <c r="N877" s="2" t="str">
        <f>'GB1'!G12</f>
        <v>999 508 901</v>
      </c>
      <c r="O877" s="5" t="str">
        <f>'GB1'!H12</f>
        <v/>
      </c>
      <c r="P877" s="5" t="str">
        <f>'GB1'!I12</f>
        <v>x</v>
      </c>
      <c r="Q877" s="5">
        <f>'GB1'!J12</f>
        <v>1500</v>
      </c>
      <c r="R877" s="5" t="str">
        <f>'GB1'!K12</f>
        <v/>
      </c>
      <c r="S877" s="2" t="str">
        <f>'GB1'!L12</f>
        <v>PAGO</v>
      </c>
      <c r="T877" s="2" t="str">
        <f>'GB1'!M12</f>
        <v/>
      </c>
      <c r="U877" s="34">
        <f>'GB1'!N12</f>
        <v>300</v>
      </c>
      <c r="V877" s="34" t="str">
        <f>'GB1'!P12</f>
        <v/>
      </c>
      <c r="W877" s="2" t="str">
        <f>'GB1'!Q12</f>
        <v>Gabriela</v>
      </c>
      <c r="X877" s="5">
        <f>'GB1'!R12</f>
        <v>1500</v>
      </c>
      <c r="Y877" s="1"/>
      <c r="Z877" s="1"/>
      <c r="AA877" s="1"/>
    </row>
    <row r="878">
      <c r="A878" s="1"/>
      <c r="B878" s="14">
        <f t="shared" si="17"/>
        <v>9</v>
      </c>
      <c r="C878" s="22" t="str">
        <f t="shared" si="1"/>
        <v>diciembre</v>
      </c>
      <c r="D878" s="22">
        <f t="shared" si="2"/>
        <v>51</v>
      </c>
      <c r="E878" s="23" t="str">
        <f t="shared" si="3"/>
        <v>sábado</v>
      </c>
      <c r="F878" s="22">
        <f t="shared" si="4"/>
        <v>20</v>
      </c>
      <c r="G878" s="22" t="str">
        <f>"COMPL-" &amp;'GB1'!$G$3</f>
        <v>COMPL-GB </v>
      </c>
      <c r="H878" s="3" t="str">
        <f>'GB1'!$A$3</f>
        <v>GASTRONOMIA EN BRASAS</v>
      </c>
      <c r="I878" s="24">
        <f>'GB1'!B13</f>
        <v>46011</v>
      </c>
      <c r="J878" s="2">
        <f>'GB1'!C13</f>
        <v>72543662</v>
      </c>
      <c r="K878" s="2" t="str">
        <f>'GB1'!D13</f>
        <v>Rodrigo Romero León</v>
      </c>
      <c r="L878" s="2" t="str">
        <f>'GB1'!E13</f>
        <v> christian_romleo@hotmail.com</v>
      </c>
      <c r="M878" s="2" t="str">
        <f>'GB1'!F13</f>
        <v>SJL</v>
      </c>
      <c r="N878" s="2">
        <f>'GB1'!G13</f>
        <v>991177495</v>
      </c>
      <c r="O878" s="5" t="str">
        <f>'GB1'!H13</f>
        <v>x</v>
      </c>
      <c r="P878" s="5" t="str">
        <f>'GB1'!I13</f>
        <v/>
      </c>
      <c r="Q878" s="5">
        <f>'GB1'!J13</f>
        <v>1300</v>
      </c>
      <c r="R878" s="5" t="str">
        <f>'GB1'!K13</f>
        <v/>
      </c>
      <c r="S878" s="2" t="str">
        <f>'GB1'!L13</f>
        <v>PAGO</v>
      </c>
      <c r="T878" s="2" t="str">
        <f>'GB1'!M13</f>
        <v/>
      </c>
      <c r="U878" s="34">
        <f>'GB1'!N13</f>
        <v>200</v>
      </c>
      <c r="V878" s="34" t="str">
        <f>'GB1'!P13</f>
        <v/>
      </c>
      <c r="W878" s="2" t="str">
        <f>'GB1'!Q13</f>
        <v>Gabriela</v>
      </c>
      <c r="X878" s="5">
        <f>'GB1'!R13</f>
        <v>1300</v>
      </c>
      <c r="Y878" s="1"/>
      <c r="Z878" s="1"/>
      <c r="AA878" s="1"/>
    </row>
    <row r="879">
      <c r="A879" s="1"/>
      <c r="B879" s="14">
        <f t="shared" si="17"/>
        <v>10</v>
      </c>
      <c r="C879" s="22" t="str">
        <f t="shared" si="1"/>
        <v>diciembre</v>
      </c>
      <c r="D879" s="22">
        <f t="shared" si="2"/>
        <v>52</v>
      </c>
      <c r="E879" s="23" t="str">
        <f t="shared" si="3"/>
        <v>jueves</v>
      </c>
      <c r="F879" s="22">
        <f t="shared" si="4"/>
        <v>25</v>
      </c>
      <c r="G879" s="22" t="str">
        <f>"COMPL-" &amp;'GB1'!$G$3</f>
        <v>COMPL-GB </v>
      </c>
      <c r="H879" s="3" t="str">
        <f>'GB1'!$A$3</f>
        <v>GASTRONOMIA EN BRASAS</v>
      </c>
      <c r="I879" s="38">
        <f>'GB1'!B14</f>
        <v>46016</v>
      </c>
      <c r="J879" s="2">
        <f>'GB1'!C14</f>
        <v>71412900</v>
      </c>
      <c r="K879" s="2" t="str">
        <f>'GB1'!D14</f>
        <v>Jordan Aaron Suarez Acuña</v>
      </c>
      <c r="L879" s="2" t="str">
        <f>'GB1'!E14</f>
        <v>sjordanaaron@gmail.com</v>
      </c>
      <c r="M879" s="2" t="str">
        <f>'GB1'!F14</f>
        <v>Comas</v>
      </c>
      <c r="N879" s="2">
        <f>'GB1'!G14</f>
        <v>972453322</v>
      </c>
      <c r="O879" s="5" t="str">
        <f>'GB1'!H14</f>
        <v>x</v>
      </c>
      <c r="P879" s="5" t="str">
        <f>'GB1'!I14</f>
        <v/>
      </c>
      <c r="Q879" s="5">
        <f>'GB1'!J14</f>
        <v>1500</v>
      </c>
      <c r="R879" s="5" t="str">
        <f>'GB1'!K14</f>
        <v/>
      </c>
      <c r="S879" s="2" t="str">
        <f>'GB1'!L14</f>
        <v>PAGO</v>
      </c>
      <c r="T879" s="2" t="str">
        <f>'GB1'!M14</f>
        <v>YAPE JL</v>
      </c>
      <c r="U879" s="34">
        <f>'GB1'!N14</f>
        <v>200</v>
      </c>
      <c r="V879" s="34" t="str">
        <f>'GB1'!P14</f>
        <v/>
      </c>
      <c r="W879" s="2" t="str">
        <f>'GB1'!Q14</f>
        <v>Gabriela</v>
      </c>
      <c r="X879" s="5">
        <f>'GB1'!R14</f>
        <v>1500</v>
      </c>
      <c r="Y879" s="1"/>
      <c r="Z879" s="1"/>
      <c r="AA879" s="1"/>
    </row>
    <row r="880">
      <c r="A880" s="1"/>
      <c r="B880" s="14">
        <f t="shared" si="17"/>
        <v>11</v>
      </c>
      <c r="C880" s="22" t="str">
        <f t="shared" si="1"/>
        <v>diciembre</v>
      </c>
      <c r="D880" s="22">
        <f t="shared" si="2"/>
        <v>50</v>
      </c>
      <c r="E880" s="23" t="str">
        <f t="shared" si="3"/>
        <v>viernes</v>
      </c>
      <c r="F880" s="22">
        <f t="shared" si="4"/>
        <v>10</v>
      </c>
      <c r="G880" s="22" t="str">
        <f>"COMPL-" &amp;'GB1'!$G$3</f>
        <v>COMPL-GB </v>
      </c>
      <c r="H880" s="3" t="str">
        <f>'GB1'!$A$3</f>
        <v>GASTRONOMIA EN BRASAS</v>
      </c>
      <c r="I880" s="24">
        <f>'GB1'!B15</f>
        <v>44540</v>
      </c>
      <c r="J880" s="2">
        <f>'GB1'!C15</f>
        <v>46847985</v>
      </c>
      <c r="K880" s="2" t="str">
        <f>'GB1'!D15</f>
        <v>Nilber Eduardo portocarrero López</v>
      </c>
      <c r="L880" s="2" t="str">
        <f>'GB1'!E15</f>
        <v>e.portocarrero_10@hotmail.com</v>
      </c>
      <c r="M880" s="2" t="str">
        <f>'GB1'!F15</f>
        <v>Callao</v>
      </c>
      <c r="N880" s="2" t="str">
        <f>'GB1'!G15</f>
        <v/>
      </c>
      <c r="O880" s="5" t="str">
        <f>'GB1'!H15</f>
        <v/>
      </c>
      <c r="P880" s="5" t="str">
        <f>'GB1'!I15</f>
        <v>x</v>
      </c>
      <c r="Q880" s="5">
        <f>'GB1'!J15</f>
        <v>300</v>
      </c>
      <c r="R880" s="5">
        <f>'GB1'!K15</f>
        <v>500</v>
      </c>
      <c r="S880" s="2" t="str">
        <f>'GB1'!L15</f>
        <v>COBR</v>
      </c>
      <c r="T880" s="2" t="str">
        <f>'GB1'!M15</f>
        <v>YAPE JL</v>
      </c>
      <c r="U880" s="34">
        <f>'GB1'!N15</f>
        <v>300</v>
      </c>
      <c r="V880" s="34" t="str">
        <f>'GB1'!P15</f>
        <v/>
      </c>
      <c r="W880" s="2" t="str">
        <f>'GB1'!Q15</f>
        <v>Katherine</v>
      </c>
      <c r="X880" s="5">
        <f>'GB1'!R15</f>
        <v>300</v>
      </c>
      <c r="Y880" s="1"/>
      <c r="Z880" s="1"/>
      <c r="AA880" s="1"/>
    </row>
    <row r="881">
      <c r="A881" s="1"/>
      <c r="B881" s="14">
        <f t="shared" si="17"/>
        <v>12</v>
      </c>
      <c r="C881" s="22" t="str">
        <f t="shared" si="1"/>
        <v>diciembre</v>
      </c>
      <c r="D881" s="22">
        <f t="shared" si="2"/>
        <v>52</v>
      </c>
      <c r="E881" s="23" t="str">
        <f t="shared" si="3"/>
        <v>lunes</v>
      </c>
      <c r="F881" s="22">
        <f t="shared" si="4"/>
        <v>22</v>
      </c>
      <c r="G881" s="22" t="str">
        <f>"COMPL-" &amp;'GB1'!$G$3</f>
        <v>COMPL-GB </v>
      </c>
      <c r="H881" s="3" t="str">
        <f>'GB1'!$A$3</f>
        <v>GASTRONOMIA EN BRASAS</v>
      </c>
      <c r="I881" s="24">
        <f>'GB1'!B16</f>
        <v>46013</v>
      </c>
      <c r="J881" s="2">
        <f>'GB1'!C16</f>
        <v>44048290</v>
      </c>
      <c r="K881" s="2" t="str">
        <f>'GB1'!D16</f>
        <v>Ronald Rene cuya lozano </v>
      </c>
      <c r="L881" s="2" t="str">
        <f>'GB1'!E16</f>
        <v>ronaldcuya61@gmail.com</v>
      </c>
      <c r="M881" s="2" t="str">
        <f>'GB1'!F16</f>
        <v/>
      </c>
      <c r="N881" s="2" t="str">
        <f>'GB1'!G16</f>
        <v> 957 347 807</v>
      </c>
      <c r="O881" s="5" t="str">
        <f>'GB1'!H16</f>
        <v>x</v>
      </c>
      <c r="P881" s="5" t="str">
        <f>'GB1'!I16</f>
        <v/>
      </c>
      <c r="Q881" s="5">
        <f>'GB1'!J16</f>
        <v>1400</v>
      </c>
      <c r="R881" s="5" t="str">
        <f>'GB1'!K16</f>
        <v> </v>
      </c>
      <c r="S881" s="2" t="str">
        <f>'GB1'!L16</f>
        <v>PAGO</v>
      </c>
      <c r="T881" s="2" t="str">
        <f>'GB1'!M16</f>
        <v>YAPE JL</v>
      </c>
      <c r="U881" s="34">
        <f>'GB1'!N16</f>
        <v>1400</v>
      </c>
      <c r="V881" s="34" t="str">
        <f>'GB1'!P16</f>
        <v/>
      </c>
      <c r="W881" s="2" t="str">
        <f>'GB1'!Q16</f>
        <v>Katherine</v>
      </c>
      <c r="X881" s="5">
        <f>'GB1'!R16</f>
        <v>1400</v>
      </c>
      <c r="Y881" s="1"/>
      <c r="Z881" s="1"/>
      <c r="AA881" s="1"/>
    </row>
    <row r="882">
      <c r="A882" s="1"/>
      <c r="B882" s="14">
        <f t="shared" si="17"/>
        <v>13</v>
      </c>
      <c r="C882" s="22" t="str">
        <f t="shared" si="1"/>
        <v>diciembre</v>
      </c>
      <c r="D882" s="22">
        <f t="shared" si="2"/>
        <v>52</v>
      </c>
      <c r="E882" s="23" t="str">
        <f t="shared" si="3"/>
        <v>sábado</v>
      </c>
      <c r="F882" s="22">
        <f t="shared" si="4"/>
        <v>30</v>
      </c>
      <c r="G882" s="22" t="str">
        <f>"COMPL-" &amp;'GB1'!$G$3</f>
        <v>COMPL-GB </v>
      </c>
      <c r="H882" s="3" t="str">
        <f>'GB1'!$A$3</f>
        <v>GASTRONOMIA EN BRASAS</v>
      </c>
      <c r="I882" s="24" t="str">
        <f>'GB1'!B17</f>
        <v/>
      </c>
      <c r="J882" s="2" t="str">
        <f>'GB1'!C17</f>
        <v/>
      </c>
      <c r="K882" s="2" t="str">
        <f>'GB1'!D17</f>
        <v/>
      </c>
      <c r="L882" s="2" t="str">
        <f>'GB1'!E17</f>
        <v/>
      </c>
      <c r="M882" s="2" t="str">
        <f>'GB1'!F17</f>
        <v/>
      </c>
      <c r="N882" s="2" t="str">
        <f>'GB1'!G17</f>
        <v>966 205 316</v>
      </c>
      <c r="O882" s="5" t="str">
        <f>'GB1'!H17</f>
        <v/>
      </c>
      <c r="P882" s="5" t="str">
        <f>'GB1'!I17</f>
        <v/>
      </c>
      <c r="Q882" s="5" t="str">
        <f>'GB1'!J17</f>
        <v/>
      </c>
      <c r="R882" s="5" t="str">
        <f>'GB1'!K17</f>
        <v/>
      </c>
      <c r="S882" s="2" t="str">
        <f>'GB1'!L17</f>
        <v>PAGO</v>
      </c>
      <c r="T882" s="2" t="str">
        <f>'GB1'!M17</f>
        <v>YAPE JL</v>
      </c>
      <c r="U882" s="34">
        <f>'GB1'!N17</f>
        <v>0</v>
      </c>
      <c r="V882" s="34" t="str">
        <f>'GB1'!P17</f>
        <v/>
      </c>
      <c r="W882" s="2" t="str">
        <f>'GB1'!Q17</f>
        <v>Katherine</v>
      </c>
      <c r="X882" s="5">
        <f>'GB1'!R17</f>
        <v>0</v>
      </c>
      <c r="Y882" s="1"/>
      <c r="Z882" s="1"/>
      <c r="AA882" s="1"/>
    </row>
    <row r="883">
      <c r="A883" s="1"/>
      <c r="B883" s="14">
        <f t="shared" si="17"/>
        <v>14</v>
      </c>
      <c r="C883" s="22" t="str">
        <f t="shared" si="1"/>
        <v>diciembre</v>
      </c>
      <c r="D883" s="22">
        <f t="shared" si="2"/>
        <v>52</v>
      </c>
      <c r="E883" s="23" t="str">
        <f t="shared" si="3"/>
        <v>viernes</v>
      </c>
      <c r="F883" s="22">
        <f t="shared" si="4"/>
        <v>26</v>
      </c>
      <c r="G883" s="22" t="str">
        <f>"COMPL-" &amp;'GB1'!$G$3</f>
        <v>COMPL-GB </v>
      </c>
      <c r="H883" s="3" t="str">
        <f>'GB1'!$A$3</f>
        <v>GASTRONOMIA EN BRASAS</v>
      </c>
      <c r="I883" s="24">
        <f>'GB1'!B18</f>
        <v>46017</v>
      </c>
      <c r="J883" s="2">
        <f>'GB1'!C18</f>
        <v>73851205</v>
      </c>
      <c r="K883" s="2" t="str">
        <f>'GB1'!D18</f>
        <v>Miguel  Angel Peña Mata</v>
      </c>
      <c r="L883" s="2" t="str">
        <f>'GB1'!E18</f>
        <v>penamata90@gmail.com</v>
      </c>
      <c r="M883" s="2" t="str">
        <f>'GB1'!F18</f>
        <v>SURQUILLO</v>
      </c>
      <c r="N883" s="2">
        <f>'GB1'!G18</f>
        <v>946856472</v>
      </c>
      <c r="O883" s="5" t="str">
        <f>'GB1'!H18</f>
        <v/>
      </c>
      <c r="P883" s="5" t="str">
        <f>'GB1'!I18</f>
        <v>X</v>
      </c>
      <c r="Q883" s="5">
        <f>'GB1'!J18</f>
        <v>1500</v>
      </c>
      <c r="R883" s="5" t="str">
        <f>'GB1'!K18</f>
        <v/>
      </c>
      <c r="S883" s="2" t="str">
        <f>'GB1'!L18</f>
        <v>PAGO</v>
      </c>
      <c r="T883" s="2" t="str">
        <f>'GB1'!M18</f>
        <v>BCP JL</v>
      </c>
      <c r="U883" s="34">
        <f>'GB1'!N18</f>
        <v>300</v>
      </c>
      <c r="V883" s="34" t="str">
        <f>'GB1'!P18</f>
        <v/>
      </c>
      <c r="W883" s="2" t="str">
        <f>'GB1'!Q18</f>
        <v>Gabriela</v>
      </c>
      <c r="X883" s="5">
        <f>'GB1'!R18</f>
        <v>1500</v>
      </c>
      <c r="Y883" s="1"/>
      <c r="Z883" s="1"/>
      <c r="AA883" s="1"/>
    </row>
    <row r="884">
      <c r="A884" s="1"/>
      <c r="B884" s="14">
        <f t="shared" si="17"/>
        <v>15</v>
      </c>
      <c r="C884" s="22" t="str">
        <f t="shared" si="1"/>
        <v>diciembre</v>
      </c>
      <c r="D884" s="22">
        <f t="shared" si="2"/>
        <v>52</v>
      </c>
      <c r="E884" s="23" t="str">
        <f t="shared" si="3"/>
        <v>sábado</v>
      </c>
      <c r="F884" s="22">
        <f t="shared" si="4"/>
        <v>27</v>
      </c>
      <c r="G884" s="22" t="str">
        <f>"COMPL-" &amp;'GB1'!$G$3</f>
        <v>COMPL-GB </v>
      </c>
      <c r="H884" s="3" t="str">
        <f>'GB1'!$A$3</f>
        <v>GASTRONOMIA EN BRASAS</v>
      </c>
      <c r="I884" s="24">
        <f>'GB1'!B19</f>
        <v>46018</v>
      </c>
      <c r="J884" s="2">
        <f>'GB1'!C19</f>
        <v>7454502</v>
      </c>
      <c r="K884" s="2" t="str">
        <f>'GB1'!D19</f>
        <v>Carlos Díaz Ocaña </v>
      </c>
      <c r="L884" s="2" t="str">
        <f>'GB1'!E19</f>
        <v/>
      </c>
      <c r="M884" s="2" t="str">
        <f>'GB1'!F19</f>
        <v>San Borja </v>
      </c>
      <c r="N884" s="2">
        <f>'GB1'!G19</f>
        <v>995951313</v>
      </c>
      <c r="O884" s="5" t="str">
        <f>'GB1'!H19</f>
        <v/>
      </c>
      <c r="P884" s="5" t="str">
        <f>'GB1'!I19</f>
        <v>x</v>
      </c>
      <c r="Q884" s="5">
        <f>'GB1'!J19</f>
        <v>1500</v>
      </c>
      <c r="R884" s="5" t="str">
        <f>'GB1'!K19</f>
        <v/>
      </c>
      <c r="S884" s="2" t="str">
        <f>'GB1'!L19</f>
        <v>PAGO</v>
      </c>
      <c r="T884" s="2" t="str">
        <f>'GB1'!M19</f>
        <v>PLIN JL</v>
      </c>
      <c r="U884" s="34">
        <f>'GB1'!N19</f>
        <v>300</v>
      </c>
      <c r="V884" s="34" t="str">
        <f>'GB1'!P19</f>
        <v/>
      </c>
      <c r="W884" s="2" t="str">
        <f>'GB1'!Q19</f>
        <v>Gabriela</v>
      </c>
      <c r="X884" s="5">
        <f>'GB1'!R19</f>
        <v>1500</v>
      </c>
      <c r="Y884" s="1"/>
      <c r="Z884" s="1"/>
      <c r="AA884" s="1"/>
    </row>
    <row r="885">
      <c r="A885" s="1"/>
      <c r="B885" s="14">
        <f t="shared" si="17"/>
        <v>16</v>
      </c>
      <c r="C885" s="22" t="str">
        <f t="shared" si="1"/>
        <v>diciembre</v>
      </c>
      <c r="D885" s="22">
        <f t="shared" si="2"/>
        <v>52</v>
      </c>
      <c r="E885" s="23" t="str">
        <f t="shared" si="3"/>
        <v>sábado</v>
      </c>
      <c r="F885" s="22">
        <f t="shared" si="4"/>
        <v>27</v>
      </c>
      <c r="G885" s="22" t="str">
        <f>"COMPL-" &amp;'GB1'!$G$3</f>
        <v>COMPL-GB </v>
      </c>
      <c r="H885" s="3" t="str">
        <f>'GB1'!$A$3</f>
        <v>GASTRONOMIA EN BRASAS</v>
      </c>
      <c r="I885" s="24">
        <f>'GB1'!B20</f>
        <v>46018</v>
      </c>
      <c r="J885" s="2">
        <f>'GB1'!C20</f>
        <v>20609390264</v>
      </c>
      <c r="K885" s="2" t="str">
        <f>'GB1'!D20</f>
        <v>Lucia Jessica Chávez Ramírez </v>
      </c>
      <c r="L885" s="2" t="str">
        <f>'GB1'!E20</f>
        <v>Elchicharrondechavez@gmail.com</v>
      </c>
      <c r="M885" s="2" t="str">
        <f>'GB1'!F20</f>
        <v>Los Olivos </v>
      </c>
      <c r="N885" s="2" t="str">
        <f>'GB1'!G20</f>
        <v>957 435 806</v>
      </c>
      <c r="O885" s="5" t="str">
        <f>'GB1'!H20</f>
        <v>x</v>
      </c>
      <c r="P885" s="5" t="str">
        <f>'GB1'!I20</f>
        <v/>
      </c>
      <c r="Q885" s="5">
        <f>'GB1'!J20</f>
        <v>1500</v>
      </c>
      <c r="R885" s="5" t="str">
        <f>'GB1'!K20</f>
        <v/>
      </c>
      <c r="S885" s="2" t="str">
        <f>'GB1'!L20</f>
        <v>PAGO</v>
      </c>
      <c r="T885" s="2" t="str">
        <f>'GB1'!M20</f>
        <v>PLIN JL</v>
      </c>
      <c r="U885" s="34">
        <f>'GB1'!N20</f>
        <v>300</v>
      </c>
      <c r="V885" s="34" t="str">
        <f>'GB1'!P20</f>
        <v/>
      </c>
      <c r="W885" s="2" t="str">
        <f>'GB1'!Q20</f>
        <v>Gabriela</v>
      </c>
      <c r="X885" s="5">
        <f>'GB1'!R20</f>
        <v>1500</v>
      </c>
      <c r="Y885" s="1"/>
      <c r="Z885" s="1"/>
      <c r="AA885" s="1"/>
    </row>
    <row r="886">
      <c r="A886" s="1"/>
      <c r="B886" s="14">
        <f t="shared" si="17"/>
        <v>17</v>
      </c>
      <c r="C886" s="22" t="str">
        <f t="shared" si="1"/>
        <v>diciembre</v>
      </c>
      <c r="D886" s="22">
        <f t="shared" si="2"/>
        <v>53</v>
      </c>
      <c r="E886" s="23" t="str">
        <f t="shared" si="3"/>
        <v>domingo</v>
      </c>
      <c r="F886" s="22">
        <f t="shared" si="4"/>
        <v>28</v>
      </c>
      <c r="G886" s="22" t="str">
        <f>"COMPL-" &amp;'GB1'!$G$3</f>
        <v>COMPL-GB </v>
      </c>
      <c r="H886" s="3" t="str">
        <f>'GB1'!$A$3</f>
        <v>GASTRONOMIA EN BRASAS</v>
      </c>
      <c r="I886" s="24">
        <f>'GB1'!B21</f>
        <v>46019</v>
      </c>
      <c r="J886" s="2">
        <f>'GB1'!C21</f>
        <v>47729335</v>
      </c>
      <c r="K886" s="2" t="str">
        <f>'GB1'!D21</f>
        <v>Jorge luis padilla zapata</v>
      </c>
      <c r="L886" s="2" t="str">
        <f>'GB1'!E21</f>
        <v>j.l.padilla_93@hotmail.com</v>
      </c>
      <c r="M886" s="2" t="str">
        <f>'GB1'!F21</f>
        <v>Huaral</v>
      </c>
      <c r="N886" s="2" t="str">
        <f>'GB1'!G21</f>
        <v>916 155 109</v>
      </c>
      <c r="O886" s="5" t="str">
        <f>'GB1'!H21</f>
        <v/>
      </c>
      <c r="P886" s="5" t="str">
        <f>'GB1'!I21</f>
        <v>x</v>
      </c>
      <c r="Q886" s="5">
        <f>'GB1'!J21</f>
        <v>1400</v>
      </c>
      <c r="R886" s="5" t="str">
        <f>'GB1'!K21</f>
        <v/>
      </c>
      <c r="S886" s="2" t="str">
        <f>'GB1'!L21</f>
        <v>PAGO</v>
      </c>
      <c r="T886" s="2" t="str">
        <f>'GB1'!M21</f>
        <v>BCP JL</v>
      </c>
      <c r="U886" s="34">
        <f>'GB1'!N21</f>
        <v>1400</v>
      </c>
      <c r="V886" s="34" t="str">
        <f>'GB1'!P21</f>
        <v/>
      </c>
      <c r="W886" s="2" t="str">
        <f>'GB1'!Q21</f>
        <v>Gabriela</v>
      </c>
      <c r="X886" s="5">
        <f>'GB1'!R21</f>
        <v>1400</v>
      </c>
      <c r="Y886" s="1"/>
      <c r="Z886" s="1"/>
      <c r="AA886" s="1"/>
    </row>
    <row r="887">
      <c r="A887" s="1"/>
      <c r="B887" s="14">
        <f t="shared" si="17"/>
        <v>18</v>
      </c>
      <c r="C887" s="22" t="str">
        <f t="shared" si="1"/>
        <v>diciembre</v>
      </c>
      <c r="D887" s="22">
        <f t="shared" si="2"/>
        <v>53</v>
      </c>
      <c r="E887" s="23" t="str">
        <f t="shared" si="3"/>
        <v>lunes</v>
      </c>
      <c r="F887" s="22">
        <f t="shared" si="4"/>
        <v>29</v>
      </c>
      <c r="G887" s="22" t="str">
        <f>"COMPL-" &amp;'GB1'!$G$3</f>
        <v>COMPL-GB </v>
      </c>
      <c r="H887" s="3" t="str">
        <f>'GB1'!$A$3</f>
        <v>GASTRONOMIA EN BRASAS</v>
      </c>
      <c r="I887" s="24">
        <f>'GB1'!B22</f>
        <v>46020</v>
      </c>
      <c r="J887" s="2">
        <f>'GB1'!C22</f>
        <v>48371859</v>
      </c>
      <c r="K887" s="2" t="str">
        <f>'GB1'!D22</f>
        <v>Miguel Angel Martinez Galvez </v>
      </c>
      <c r="L887" s="2" t="str">
        <f>'GB1'!E22</f>
        <v>mg.martinezgalvez@gmail.com</v>
      </c>
      <c r="M887" s="2" t="str">
        <f>'GB1'!F22</f>
        <v>Lince</v>
      </c>
      <c r="N887" s="2" t="str">
        <f>'GB1'!G22</f>
        <v>922 518 814</v>
      </c>
      <c r="O887" s="5" t="str">
        <f>'GB1'!H22</f>
        <v>x</v>
      </c>
      <c r="P887" s="5" t="str">
        <f>'GB1'!I22</f>
        <v/>
      </c>
      <c r="Q887" s="5">
        <f>'GB1'!J22</f>
        <v>1300</v>
      </c>
      <c r="R887" s="5" t="str">
        <f>'GB1'!K22</f>
        <v/>
      </c>
      <c r="S887" s="2" t="str">
        <f>'GB1'!L22</f>
        <v>PAGO</v>
      </c>
      <c r="T887" s="2" t="str">
        <f>'GB1'!M22</f>
        <v>PLIN JL</v>
      </c>
      <c r="U887" s="34">
        <f>'GB1'!N22</f>
        <v>300</v>
      </c>
      <c r="V887" s="34" t="str">
        <f>'GB1'!P22</f>
        <v/>
      </c>
      <c r="W887" s="2" t="str">
        <f>'GB1'!Q22</f>
        <v>Gabriela</v>
      </c>
      <c r="X887" s="5">
        <f>'GB1'!R22</f>
        <v>1300</v>
      </c>
      <c r="Y887" s="1"/>
      <c r="Z887" s="1"/>
      <c r="AA887" s="1"/>
    </row>
    <row r="888">
      <c r="A888" s="1"/>
      <c r="B888" s="14">
        <f t="shared" si="17"/>
        <v>19</v>
      </c>
      <c r="C888" s="22" t="str">
        <f t="shared" si="1"/>
        <v>diciembre</v>
      </c>
      <c r="D888" s="22">
        <f t="shared" si="2"/>
        <v>53</v>
      </c>
      <c r="E888" s="23" t="str">
        <f t="shared" si="3"/>
        <v>lunes</v>
      </c>
      <c r="F888" s="22">
        <f t="shared" si="4"/>
        <v>29</v>
      </c>
      <c r="G888" s="22" t="str">
        <f>"COMPL-" &amp;'GB1'!$G$3</f>
        <v>COMPL-GB </v>
      </c>
      <c r="H888" s="3" t="str">
        <f>'GB1'!$A$3</f>
        <v>GASTRONOMIA EN BRASAS</v>
      </c>
      <c r="I888" s="24">
        <f>'GB1'!B23</f>
        <v>46020</v>
      </c>
      <c r="J888" s="2">
        <f>'GB1'!C23</f>
        <v>60393570</v>
      </c>
      <c r="K888" s="2" t="str">
        <f>'GB1'!D23</f>
        <v>Maycol Jonathan paz Retamozo </v>
      </c>
      <c r="L888" s="27" t="str">
        <f>'GB1'!E23</f>
        <v>Pazm20481gmail.com</v>
      </c>
      <c r="M888" s="2" t="str">
        <f>'GB1'!F23</f>
        <v>SJL</v>
      </c>
      <c r="N888" s="2" t="str">
        <f>'GB1'!G23</f>
        <v>901 686 803</v>
      </c>
      <c r="O888" s="5" t="str">
        <f>'GB1'!H23</f>
        <v>x</v>
      </c>
      <c r="P888" s="5" t="str">
        <f>'GB1'!I23</f>
        <v/>
      </c>
      <c r="Q888" s="5">
        <f>'GB1'!J23</f>
        <v>1500</v>
      </c>
      <c r="R888" s="5" t="str">
        <f>'GB1'!K23</f>
        <v/>
      </c>
      <c r="S888" s="2" t="str">
        <f>'GB1'!L23</f>
        <v>PAGO</v>
      </c>
      <c r="T888" s="2" t="str">
        <f>'GB1'!M23</f>
        <v>PLIN JL</v>
      </c>
      <c r="U888" s="34">
        <f>'GB1'!N23</f>
        <v>200</v>
      </c>
      <c r="V888" s="34" t="str">
        <f>'GB1'!P23</f>
        <v/>
      </c>
      <c r="W888" s="2" t="str">
        <f>'GB1'!Q23</f>
        <v>Gabriela</v>
      </c>
      <c r="X888" s="5">
        <f>'GB1'!R23</f>
        <v>1500</v>
      </c>
      <c r="Y888" s="1"/>
      <c r="Z888" s="1"/>
      <c r="AA888" s="1"/>
    </row>
    <row r="889">
      <c r="A889" s="1"/>
      <c r="B889" s="14">
        <f t="shared" si="17"/>
        <v>20</v>
      </c>
      <c r="C889" s="22" t="str">
        <f t="shared" si="1"/>
        <v>diciembre</v>
      </c>
      <c r="D889" s="22">
        <f t="shared" si="2"/>
        <v>53</v>
      </c>
      <c r="E889" s="23" t="str">
        <f t="shared" si="3"/>
        <v>lunes</v>
      </c>
      <c r="F889" s="22">
        <f t="shared" si="4"/>
        <v>29</v>
      </c>
      <c r="G889" s="22" t="str">
        <f>"COMPL-" &amp;'GB1'!$G$3</f>
        <v>COMPL-GB </v>
      </c>
      <c r="H889" s="3" t="str">
        <f>'GB1'!$A$3</f>
        <v>GASTRONOMIA EN BRASAS</v>
      </c>
      <c r="I889" s="24">
        <f>'GB1'!B24</f>
        <v>46020</v>
      </c>
      <c r="J889" s="2">
        <f>'GB1'!C24</f>
        <v>43712509</v>
      </c>
      <c r="K889" s="2" t="str">
        <f>'GB1'!D24</f>
        <v>Brian portilla orquiz </v>
      </c>
      <c r="L889" s="2" t="str">
        <f>'GB1'!E24</f>
        <v>brianportilla.bp@gmail.com</v>
      </c>
      <c r="M889" s="2" t="str">
        <f>'GB1'!F24</f>
        <v>Comas </v>
      </c>
      <c r="N889" s="2" t="str">
        <f>'GB1'!G24</f>
        <v>954 423 850</v>
      </c>
      <c r="O889" s="5" t="str">
        <f>'GB1'!H24</f>
        <v>x</v>
      </c>
      <c r="P889" s="5" t="str">
        <f>'GB1'!I24</f>
        <v/>
      </c>
      <c r="Q889" s="5">
        <f>'GB1'!J24</f>
        <v>1500</v>
      </c>
      <c r="R889" s="5" t="str">
        <f>'GB1'!K24</f>
        <v/>
      </c>
      <c r="S889" s="2" t="str">
        <f>'GB1'!L24</f>
        <v>PAGO</v>
      </c>
      <c r="T889" s="2" t="str">
        <f>'GB1'!M24</f>
        <v>BCP JL</v>
      </c>
      <c r="U889" s="34">
        <f>'GB1'!N24</f>
        <v>1500</v>
      </c>
      <c r="V889" s="34" t="str">
        <f>'GB1'!P24</f>
        <v/>
      </c>
      <c r="W889" s="2" t="str">
        <f>'GB1'!Q24</f>
        <v>Gabriela</v>
      </c>
      <c r="X889" s="5">
        <f>'GB1'!R24</f>
        <v>1500</v>
      </c>
      <c r="Y889" s="1"/>
      <c r="Z889" s="1"/>
      <c r="AA889" s="1"/>
    </row>
    <row r="890">
      <c r="A890" s="1"/>
      <c r="B890" s="14">
        <f t="shared" si="17"/>
        <v>21</v>
      </c>
      <c r="C890" s="22" t="str">
        <f t="shared" si="1"/>
        <v>diciembre</v>
      </c>
      <c r="D890" s="22">
        <f t="shared" si="2"/>
        <v>53</v>
      </c>
      <c r="E890" s="23" t="str">
        <f t="shared" si="3"/>
        <v>miércoles</v>
      </c>
      <c r="F890" s="22">
        <f t="shared" si="4"/>
        <v>31</v>
      </c>
      <c r="G890" s="22" t="str">
        <f>"COMPL-" &amp;'GB1'!$G$3</f>
        <v>COMPL-GB </v>
      </c>
      <c r="H890" s="3" t="str">
        <f>'GB1'!$A$3</f>
        <v>GASTRONOMIA EN BRASAS</v>
      </c>
      <c r="I890" s="24">
        <f>'GB1'!B25</f>
        <v>46022</v>
      </c>
      <c r="J890" s="2">
        <f>'GB1'!C25</f>
        <v>71176371</v>
      </c>
      <c r="K890" s="2" t="str">
        <f>'GB1'!D25</f>
        <v>César Miguel Oré Astorga</v>
      </c>
      <c r="L890" s="2" t="str">
        <f>'GB1'!E25</f>
        <v>orec.1602@gmail.com</v>
      </c>
      <c r="M890" s="2" t="str">
        <f>'GB1'!F25</f>
        <v>Cercado de Lima </v>
      </c>
      <c r="N890" s="2" t="str">
        <f>'GB1'!G25</f>
        <v>932 401 077</v>
      </c>
      <c r="O890" s="5" t="str">
        <f>'GB1'!H25</f>
        <v>x</v>
      </c>
      <c r="P890" s="5" t="str">
        <f>'GB1'!I25</f>
        <v/>
      </c>
      <c r="Q890" s="5">
        <f>'GB1'!J25</f>
        <v>1500</v>
      </c>
      <c r="R890" s="5" t="str">
        <f>'GB1'!K25</f>
        <v/>
      </c>
      <c r="S890" s="2" t="str">
        <f>'GB1'!L25</f>
        <v>PAGO</v>
      </c>
      <c r="T890" s="2" t="str">
        <f>'GB1'!M25</f>
        <v>BCP JL</v>
      </c>
      <c r="U890" s="34">
        <f>'GB1'!N25</f>
        <v>300</v>
      </c>
      <c r="V890" s="34" t="str">
        <f>'GB1'!P25</f>
        <v/>
      </c>
      <c r="W890" s="2" t="str">
        <f>'GB1'!Q25</f>
        <v>Gabriela</v>
      </c>
      <c r="X890" s="5">
        <f>'GB1'!R25</f>
        <v>1500</v>
      </c>
      <c r="Y890" s="1"/>
      <c r="Z890" s="1"/>
      <c r="AA890" s="1"/>
    </row>
    <row r="891">
      <c r="A891" s="1"/>
      <c r="B891" s="14">
        <f t="shared" si="17"/>
        <v>22</v>
      </c>
      <c r="C891" s="22" t="str">
        <f t="shared" si="1"/>
        <v>enero</v>
      </c>
      <c r="D891" s="22">
        <f t="shared" si="2"/>
        <v>1</v>
      </c>
      <c r="E891" s="23" t="str">
        <f t="shared" si="3"/>
        <v>jueves</v>
      </c>
      <c r="F891" s="22">
        <f t="shared" si="4"/>
        <v>1</v>
      </c>
      <c r="G891" s="22" t="str">
        <f>"COMPL-" &amp;'GB1'!$G$3</f>
        <v>COMPL-GB </v>
      </c>
      <c r="H891" s="3" t="str">
        <f>'GB1'!$A$3</f>
        <v>GASTRONOMIA EN BRASAS</v>
      </c>
      <c r="I891" s="24">
        <f>'GB1'!B26</f>
        <v>46023</v>
      </c>
      <c r="J891" s="2">
        <f>'GB1'!C26</f>
        <v>75014725</v>
      </c>
      <c r="K891" s="2" t="str">
        <f>'GB1'!D26</f>
        <v>Piero André Damas Salhuana</v>
      </c>
      <c r="L891" s="2" t="str">
        <f>'GB1'!E26</f>
        <v>piero27022000@gmail.com</v>
      </c>
      <c r="M891" s="2" t="str">
        <f>'GB1'!F26</f>
        <v>Carabayllo </v>
      </c>
      <c r="N891" s="2" t="str">
        <f>'GB1'!G26</f>
        <v>927 991 306</v>
      </c>
      <c r="O891" s="5" t="str">
        <f>'GB1'!H26</f>
        <v>x</v>
      </c>
      <c r="P891" s="5" t="str">
        <f>'GB1'!I26</f>
        <v/>
      </c>
      <c r="Q891" s="5">
        <f>'GB1'!J26</f>
        <v>1500</v>
      </c>
      <c r="R891" s="5" t="str">
        <f>'GB1'!K26</f>
        <v/>
      </c>
      <c r="S891" s="2" t="str">
        <f>'GB1'!L26</f>
        <v>PAGO</v>
      </c>
      <c r="T891" s="2" t="str">
        <f>'GB1'!M26</f>
        <v>BCP JL</v>
      </c>
      <c r="U891" s="34">
        <f>'GB1'!N26</f>
        <v>1500</v>
      </c>
      <c r="V891" s="34" t="str">
        <f>'GB1'!P26</f>
        <v/>
      </c>
      <c r="W891" s="2" t="str">
        <f>'GB1'!Q26</f>
        <v>Gabriela</v>
      </c>
      <c r="X891" s="5">
        <f>'GB1'!R26</f>
        <v>1500</v>
      </c>
      <c r="Y891" s="1"/>
      <c r="Z891" s="1"/>
      <c r="AA891" s="1"/>
    </row>
    <row r="892">
      <c r="A892" s="1"/>
      <c r="B892" s="14">
        <f t="shared" si="17"/>
        <v>23</v>
      </c>
      <c r="C892" s="22" t="str">
        <f t="shared" si="1"/>
        <v>enero</v>
      </c>
      <c r="D892" s="22">
        <f t="shared" si="2"/>
        <v>1</v>
      </c>
      <c r="E892" s="23" t="str">
        <f t="shared" si="3"/>
        <v>viernes</v>
      </c>
      <c r="F892" s="22">
        <f t="shared" si="4"/>
        <v>2</v>
      </c>
      <c r="G892" s="22" t="str">
        <f>"COMPL-" &amp;'GB1'!$G$3</f>
        <v>COMPL-GB </v>
      </c>
      <c r="H892" s="3" t="str">
        <f>'GB1'!$A$3</f>
        <v>GASTRONOMIA EN BRASAS</v>
      </c>
      <c r="I892" s="24">
        <f>'GB1'!B27</f>
        <v>46024</v>
      </c>
      <c r="J892" s="2" t="str">
        <f>'GB1'!C27</f>
        <v>*09837904</v>
      </c>
      <c r="K892" s="2" t="str">
        <f>'GB1'!D27</f>
        <v>María Bertha Chavarría rios</v>
      </c>
      <c r="L892" s="2" t="str">
        <f>'GB1'!E27</f>
        <v>mariachavarria079@gmail.com</v>
      </c>
      <c r="M892" s="2" t="str">
        <f>'GB1'!F27</f>
        <v>Chosica</v>
      </c>
      <c r="N892" s="2" t="str">
        <f>'GB1'!G27</f>
        <v>962 916 978</v>
      </c>
      <c r="O892" s="5" t="str">
        <f>'GB1'!H27</f>
        <v>x</v>
      </c>
      <c r="P892" s="5" t="str">
        <f>'GB1'!I27</f>
        <v/>
      </c>
      <c r="Q892" s="5">
        <f>'GB1'!J27</f>
        <v>1500</v>
      </c>
      <c r="R892" s="5" t="str">
        <f>'GB1'!K27</f>
        <v/>
      </c>
      <c r="S892" s="2" t="str">
        <f>'GB1'!L27</f>
        <v>PAGO</v>
      </c>
      <c r="T892" s="2" t="str">
        <f>'GB1'!M27</f>
        <v>YAPE JL</v>
      </c>
      <c r="U892" s="34">
        <f>'GB1'!N27</f>
        <v>200</v>
      </c>
      <c r="V892" s="34" t="str">
        <f>'GB1'!P27</f>
        <v/>
      </c>
      <c r="W892" s="2" t="str">
        <f>'GB1'!Q27</f>
        <v>Gabriela</v>
      </c>
      <c r="X892" s="5">
        <f>'GB1'!R27</f>
        <v>1500</v>
      </c>
      <c r="Y892" s="1"/>
      <c r="Z892" s="1"/>
      <c r="AA892" s="1"/>
    </row>
    <row r="893">
      <c r="A893" s="1"/>
      <c r="B893" s="14">
        <f t="shared" si="17"/>
        <v>24</v>
      </c>
      <c r="C893" s="22" t="str">
        <f t="shared" si="1"/>
        <v>enero</v>
      </c>
      <c r="D893" s="22">
        <f t="shared" si="2"/>
        <v>1</v>
      </c>
      <c r="E893" s="23" t="str">
        <f t="shared" si="3"/>
        <v>jueves</v>
      </c>
      <c r="F893" s="22">
        <f t="shared" si="4"/>
        <v>2</v>
      </c>
      <c r="G893" s="22" t="str">
        <f>"COMPL-" &amp;'GB1'!$G$3</f>
        <v>COMPL-GB </v>
      </c>
      <c r="H893" s="3" t="str">
        <f>'GB1'!$A$3</f>
        <v>GASTRONOMIA EN BRASAS</v>
      </c>
      <c r="I893" s="24">
        <f>'GB1'!B28</f>
        <v>45659</v>
      </c>
      <c r="J893" s="2">
        <f>'GB1'!C28</f>
        <v>41364774</v>
      </c>
      <c r="K893" s="2" t="str">
        <f>'GB1'!D28</f>
        <v>Magda Rosa Aguilar Vigo</v>
      </c>
      <c r="L893" s="27" t="str">
        <f>'GB1'!E28</f>
        <v>Magdaaguilar4@gmail.com</v>
      </c>
      <c r="M893" s="2" t="str">
        <f>'GB1'!F28</f>
        <v>San Isidro</v>
      </c>
      <c r="N893" s="2" t="str">
        <f>'GB1'!G28</f>
        <v/>
      </c>
      <c r="O893" s="5" t="str">
        <f>'GB1'!H28</f>
        <v/>
      </c>
      <c r="P893" s="5" t="str">
        <f>'GB1'!I28</f>
        <v>x</v>
      </c>
      <c r="Q893" s="5">
        <f>'GB1'!J28</f>
        <v>1500</v>
      </c>
      <c r="R893" s="5" t="str">
        <f>'GB1'!K28</f>
        <v/>
      </c>
      <c r="S893" s="2" t="str">
        <f>'GB1'!L28</f>
        <v>PAGO</v>
      </c>
      <c r="T893" s="2" t="str">
        <f>'GB1'!M28</f>
        <v>PLIN JL</v>
      </c>
      <c r="U893" s="34">
        <f>'GB1'!N28</f>
        <v>250</v>
      </c>
      <c r="V893" s="34" t="str">
        <f>'GB1'!P28</f>
        <v/>
      </c>
      <c r="W893" s="2" t="str">
        <f>'GB1'!Q28</f>
        <v>Gabriela</v>
      </c>
      <c r="X893" s="5">
        <f>'GB1'!R28</f>
        <v>1500</v>
      </c>
      <c r="Y893" s="1"/>
      <c r="Z893" s="1"/>
      <c r="AA893" s="1"/>
    </row>
    <row r="894">
      <c r="A894" s="1"/>
      <c r="B894" s="14">
        <f t="shared" si="17"/>
        <v>25</v>
      </c>
      <c r="C894" s="22" t="str">
        <f t="shared" si="1"/>
        <v>enero</v>
      </c>
      <c r="D894" s="22">
        <f t="shared" si="2"/>
        <v>2</v>
      </c>
      <c r="E894" s="23" t="str">
        <f t="shared" si="3"/>
        <v>domingo</v>
      </c>
      <c r="F894" s="22">
        <f t="shared" si="4"/>
        <v>4</v>
      </c>
      <c r="G894" s="22" t="str">
        <f>"COMPL-" &amp;'GB1'!$G$3</f>
        <v>COMPL-GB </v>
      </c>
      <c r="H894" s="3" t="str">
        <f>'GB1'!$A$3</f>
        <v>GASTRONOMIA EN BRASAS</v>
      </c>
      <c r="I894" s="24">
        <f>'GB1'!B29</f>
        <v>46026</v>
      </c>
      <c r="J894" s="2">
        <f>'GB1'!C29</f>
        <v>42048172</v>
      </c>
      <c r="K894" s="2" t="str">
        <f>'GB1'!D29</f>
        <v>Luis Esteban Ramos Nicoll</v>
      </c>
      <c r="L894" s="2" t="str">
        <f>'GB1'!E29</f>
        <v> luisramosnicoll@gmail.com</v>
      </c>
      <c r="M894" s="2" t="str">
        <f>'GB1'!F29</f>
        <v>Jesús María</v>
      </c>
      <c r="N894" s="2" t="str">
        <f>'GB1'!G29</f>
        <v/>
      </c>
      <c r="O894" s="5" t="str">
        <f>'GB1'!H29</f>
        <v/>
      </c>
      <c r="P894" s="5" t="str">
        <f>'GB1'!I29</f>
        <v>x</v>
      </c>
      <c r="Q894" s="5">
        <f>'GB1'!J29</f>
        <v>1400</v>
      </c>
      <c r="R894" s="5" t="str">
        <f>'GB1'!K29</f>
        <v/>
      </c>
      <c r="S894" s="2" t="str">
        <f>'GB1'!L29</f>
        <v>PAGO</v>
      </c>
      <c r="T894" s="2" t="str">
        <f>'GB1'!M29</f>
        <v>YAPE JL</v>
      </c>
      <c r="U894" s="34">
        <f>'GB1'!N29</f>
        <v>200</v>
      </c>
      <c r="V894" s="34" t="str">
        <f>'GB1'!P29</f>
        <v/>
      </c>
      <c r="W894" s="2" t="str">
        <f>'GB1'!Q29</f>
        <v>Gabriela</v>
      </c>
      <c r="X894" s="5">
        <f>'GB1'!R29</f>
        <v>1500</v>
      </c>
      <c r="Y894" s="1"/>
      <c r="Z894" s="1"/>
      <c r="AA894" s="1"/>
    </row>
    <row r="895">
      <c r="A895" s="1"/>
      <c r="B895" s="14">
        <f t="shared" si="17"/>
        <v>26</v>
      </c>
      <c r="C895" s="22" t="str">
        <f t="shared" si="1"/>
        <v>enero</v>
      </c>
      <c r="D895" s="22">
        <f t="shared" si="2"/>
        <v>2</v>
      </c>
      <c r="E895" s="23" t="str">
        <f t="shared" si="3"/>
        <v>lunes</v>
      </c>
      <c r="F895" s="22">
        <f t="shared" si="4"/>
        <v>5</v>
      </c>
      <c r="G895" s="22" t="str">
        <f>"COMPL-" &amp;'GB1'!$G$3</f>
        <v>COMPL-GB </v>
      </c>
      <c r="H895" s="3" t="str">
        <f>'GB1'!$A$3</f>
        <v>GASTRONOMIA EN BRASAS</v>
      </c>
      <c r="I895" s="24">
        <f>'GB1'!B30</f>
        <v>46027</v>
      </c>
      <c r="J895" s="2" t="str">
        <f>'GB1'!C30</f>
        <v>*09902780</v>
      </c>
      <c r="K895" s="2" t="str">
        <f>'GB1'!D30</f>
        <v>Miguel Angel Gutti Huaman</v>
      </c>
      <c r="L895" s="2" t="str">
        <f>'GB1'!E30</f>
        <v>miguelgutti74@gmail.com</v>
      </c>
      <c r="M895" s="2" t="str">
        <f>'GB1'!F30</f>
        <v>SMP</v>
      </c>
      <c r="N895" s="2" t="str">
        <f>'GB1'!G30</f>
        <v/>
      </c>
      <c r="O895" s="5" t="str">
        <f>'GB1'!H30</f>
        <v/>
      </c>
      <c r="P895" s="5" t="str">
        <f>'GB1'!I30</f>
        <v>x</v>
      </c>
      <c r="Q895" s="5">
        <f>'GB1'!J30</f>
        <v>1500</v>
      </c>
      <c r="R895" s="5" t="str">
        <f>'GB1'!K30</f>
        <v/>
      </c>
      <c r="S895" s="2" t="str">
        <f>'GB1'!L30</f>
        <v>PAGO</v>
      </c>
      <c r="T895" s="2" t="str">
        <f>'GB1'!M30</f>
        <v>YAPE JL</v>
      </c>
      <c r="U895" s="34">
        <f>'GB1'!N30</f>
        <v>300</v>
      </c>
      <c r="V895" s="34" t="str">
        <f>'GB1'!P30</f>
        <v/>
      </c>
      <c r="W895" s="2" t="str">
        <f>'GB1'!Q30</f>
        <v>Gabriela</v>
      </c>
      <c r="X895" s="5">
        <f>'GB1'!R30</f>
        <v>1500</v>
      </c>
      <c r="Y895" s="1"/>
      <c r="Z895" s="1"/>
      <c r="AA895" s="1"/>
    </row>
    <row r="896">
      <c r="A896" s="1"/>
      <c r="B896" s="14">
        <f t="shared" si="17"/>
        <v>27</v>
      </c>
      <c r="C896" s="22" t="str">
        <f t="shared" si="1"/>
        <v>enero</v>
      </c>
      <c r="D896" s="22">
        <f t="shared" si="2"/>
        <v>2</v>
      </c>
      <c r="E896" s="23" t="str">
        <f t="shared" si="3"/>
        <v>lunes</v>
      </c>
      <c r="F896" s="22">
        <f t="shared" si="4"/>
        <v>5</v>
      </c>
      <c r="G896" s="22" t="str">
        <f>"COMPL-" &amp;'GB1'!$G$3</f>
        <v>COMPL-GB </v>
      </c>
      <c r="H896" s="3" t="str">
        <f>'GB1'!$A$3</f>
        <v>GASTRONOMIA EN BRASAS</v>
      </c>
      <c r="I896" s="24">
        <f>'GB1'!B31</f>
        <v>46027</v>
      </c>
      <c r="J896" s="2">
        <f>'GB1'!C31</f>
        <v>47415409</v>
      </c>
      <c r="K896" s="2" t="str">
        <f>'GB1'!D31</f>
        <v>Julio cesar Nalbarte villar</v>
      </c>
      <c r="L896" s="2" t="str">
        <f>'GB1'!E31</f>
        <v>Dieguito.2203.jnv@gmail.com</v>
      </c>
      <c r="M896" s="2" t="str">
        <f>'GB1'!F31</f>
        <v/>
      </c>
      <c r="N896" s="2" t="str">
        <f>'GB1'!G31</f>
        <v/>
      </c>
      <c r="O896" s="5" t="str">
        <f>'GB1'!H31</f>
        <v>x</v>
      </c>
      <c r="P896" s="5" t="str">
        <f>'GB1'!I31</f>
        <v/>
      </c>
      <c r="Q896" s="5">
        <f>'GB1'!J31</f>
        <v>250</v>
      </c>
      <c r="R896" s="5">
        <f>'GB1'!K31</f>
        <v>500</v>
      </c>
      <c r="S896" s="2" t="str">
        <f>'GB1'!L31</f>
        <v>COBR</v>
      </c>
      <c r="T896" s="2" t="str">
        <f>'GB1'!M31</f>
        <v>BCP JL</v>
      </c>
      <c r="U896" s="34">
        <f>'GB1'!N31</f>
        <v>250</v>
      </c>
      <c r="V896" s="34" t="str">
        <f>'GB1'!P31</f>
        <v/>
      </c>
      <c r="W896" s="2" t="str">
        <f>'GB1'!Q31</f>
        <v>Katherine</v>
      </c>
      <c r="X896" s="5">
        <f>'GB1'!R31</f>
        <v>250</v>
      </c>
      <c r="Y896" s="1"/>
      <c r="Z896" s="1"/>
      <c r="AA896" s="1"/>
    </row>
    <row r="897">
      <c r="A897" s="1"/>
      <c r="B897" s="14">
        <f t="shared" si="17"/>
        <v>28</v>
      </c>
      <c r="C897" s="22" t="str">
        <f t="shared" si="1"/>
        <v>enero</v>
      </c>
      <c r="D897" s="22">
        <f t="shared" si="2"/>
        <v>2</v>
      </c>
      <c r="E897" s="23" t="str">
        <f t="shared" si="3"/>
        <v>miércoles</v>
      </c>
      <c r="F897" s="22">
        <f t="shared" si="4"/>
        <v>7</v>
      </c>
      <c r="G897" s="22" t="str">
        <f>"COMPL-" &amp;'GB1'!$G$3</f>
        <v>COMPL-GB </v>
      </c>
      <c r="H897" s="3" t="str">
        <f>'GB1'!$A$3</f>
        <v>GASTRONOMIA EN BRASAS</v>
      </c>
      <c r="I897" s="24">
        <f>'GB1'!B32</f>
        <v>46029</v>
      </c>
      <c r="J897" s="2">
        <f>'GB1'!C32</f>
        <v>21000873</v>
      </c>
      <c r="K897" s="2" t="str">
        <f>'GB1'!D32</f>
        <v>Demetrio Ramos Mancilla</v>
      </c>
      <c r="L897" s="27" t="str">
        <f>'GB1'!E32</f>
        <v>joshua_rexar@hotmail.com</v>
      </c>
      <c r="M897" s="2" t="str">
        <f>'GB1'!F32</f>
        <v>Chorrillos</v>
      </c>
      <c r="N897" s="2" t="str">
        <f>'GB1'!G32</f>
        <v>954 270 991</v>
      </c>
      <c r="O897" s="5" t="str">
        <f>'GB1'!H32</f>
        <v/>
      </c>
      <c r="P897" s="5" t="str">
        <f>'GB1'!I32</f>
        <v>x</v>
      </c>
      <c r="Q897" s="5">
        <f>'GB1'!J32</f>
        <v>1300</v>
      </c>
      <c r="R897" s="5" t="str">
        <f>'GB1'!K32</f>
        <v/>
      </c>
      <c r="S897" s="2" t="str">
        <f>'GB1'!L32</f>
        <v>PAGO</v>
      </c>
      <c r="T897" s="2" t="str">
        <f>'GB1'!M32</f>
        <v>BCP JL</v>
      </c>
      <c r="U897" s="34">
        <f>'GB1'!N32</f>
        <v>1300</v>
      </c>
      <c r="V897" s="34" t="str">
        <f>'GB1'!P32</f>
        <v/>
      </c>
      <c r="W897" s="2" t="str">
        <f>'GB1'!Q32</f>
        <v>Gabriela</v>
      </c>
      <c r="X897" s="5">
        <f>'GB1'!R32</f>
        <v>1300</v>
      </c>
      <c r="Y897" s="1"/>
      <c r="Z897" s="1"/>
      <c r="AA897" s="1"/>
    </row>
    <row r="898">
      <c r="A898" s="1"/>
      <c r="B898" s="14">
        <f t="shared" si="17"/>
        <v>29</v>
      </c>
      <c r="C898" s="22" t="str">
        <f t="shared" si="1"/>
        <v>enero</v>
      </c>
      <c r="D898" s="22">
        <f t="shared" si="2"/>
        <v>2</v>
      </c>
      <c r="E898" s="23" t="str">
        <f t="shared" si="3"/>
        <v>viernes</v>
      </c>
      <c r="F898" s="22">
        <f t="shared" si="4"/>
        <v>9</v>
      </c>
      <c r="G898" s="22" t="str">
        <f>"COMPL-" &amp;'GB1'!$G$3</f>
        <v>COMPL-GB </v>
      </c>
      <c r="H898" s="3" t="str">
        <f>'GB1'!$A$3</f>
        <v>GASTRONOMIA EN BRASAS</v>
      </c>
      <c r="I898" s="24">
        <f>'GB1'!B33</f>
        <v>46031</v>
      </c>
      <c r="J898" s="2">
        <f>'GB1'!C33</f>
        <v>44975220</v>
      </c>
      <c r="K898" s="2" t="str">
        <f>'GB1'!D33</f>
        <v>Oscar Vega Orue</v>
      </c>
      <c r="L898" s="2" t="str">
        <f>'GB1'!E33</f>
        <v>oscar85.vo@gmail.com</v>
      </c>
      <c r="M898" s="2" t="str">
        <f>'GB1'!F33</f>
        <v>Rimac </v>
      </c>
      <c r="N898" s="2" t="str">
        <f>'GB1'!G33</f>
        <v>938 515 034</v>
      </c>
      <c r="O898" s="5" t="str">
        <f>'GB1'!H33</f>
        <v/>
      </c>
      <c r="P898" s="5" t="str">
        <f>'GB1'!I33</f>
        <v>x</v>
      </c>
      <c r="Q898" s="5">
        <f>'GB1'!J33</f>
        <v>1300</v>
      </c>
      <c r="R898" s="5" t="str">
        <f>'GB1'!K33</f>
        <v/>
      </c>
      <c r="S898" s="2" t="str">
        <f>'GB1'!L33</f>
        <v>PAGO</v>
      </c>
      <c r="T898" s="2" t="str">
        <f>'GB1'!M33</f>
        <v>YAPE JL</v>
      </c>
      <c r="U898" s="34">
        <f>'GB1'!N33</f>
        <v>300</v>
      </c>
      <c r="V898" s="34" t="str">
        <f>'GB1'!P33</f>
        <v/>
      </c>
      <c r="W898" s="2" t="str">
        <f>'GB1'!Q33</f>
        <v>Gabriela</v>
      </c>
      <c r="X898" s="5">
        <f>'GB1'!R33</f>
        <v>1300</v>
      </c>
      <c r="Y898" s="1"/>
      <c r="Z898" s="1"/>
      <c r="AA898" s="1"/>
    </row>
    <row r="899">
      <c r="A899" s="1"/>
      <c r="B899" s="14">
        <f t="shared" si="17"/>
        <v>30</v>
      </c>
      <c r="C899" s="22" t="str">
        <f t="shared" si="1"/>
        <v>enero</v>
      </c>
      <c r="D899" s="22">
        <f t="shared" si="2"/>
        <v>2</v>
      </c>
      <c r="E899" s="23" t="str">
        <f t="shared" si="3"/>
        <v>sábado</v>
      </c>
      <c r="F899" s="22">
        <f t="shared" si="4"/>
        <v>10</v>
      </c>
      <c r="G899" s="22" t="str">
        <f>"COMPL-" &amp;'GB1'!$G$3</f>
        <v>COMPL-GB </v>
      </c>
      <c r="H899" s="3" t="str">
        <f>'GB1'!$A$3</f>
        <v>GASTRONOMIA EN BRASAS</v>
      </c>
      <c r="I899" s="24">
        <f>'GB1'!B34</f>
        <v>46032</v>
      </c>
      <c r="J899" s="2">
        <f>'GB1'!C34</f>
        <v>61176942</v>
      </c>
      <c r="K899" s="2" t="str">
        <f>'GB1'!D34</f>
        <v>Rodrigo Sebastian Salazar Palacios</v>
      </c>
      <c r="L899" s="2" t="str">
        <f>'GB1'!E34</f>
        <v/>
      </c>
      <c r="M899" s="2" t="str">
        <f>'GB1'!F34</f>
        <v>SJL</v>
      </c>
      <c r="N899" s="2">
        <f>'GB1'!G34</f>
        <v>934205812</v>
      </c>
      <c r="O899" s="2" t="str">
        <f>'GB1'!H34</f>
        <v/>
      </c>
      <c r="P899" s="2" t="str">
        <f>'GB1'!I34</f>
        <v>x</v>
      </c>
      <c r="Q899" s="5">
        <f>'GB1'!J34</f>
        <v>1300</v>
      </c>
      <c r="R899" s="2" t="str">
        <f>'GB1'!K34</f>
        <v/>
      </c>
      <c r="S899" s="2" t="str">
        <f>'GB1'!L34</f>
        <v>PAGO</v>
      </c>
      <c r="T899" s="2" t="str">
        <f>'GB1'!M34</f>
        <v>BCP JL</v>
      </c>
      <c r="U899" s="34">
        <f>'GB1'!N34</f>
        <v>300</v>
      </c>
      <c r="V899" s="2" t="str">
        <f>'GB1'!P34</f>
        <v/>
      </c>
      <c r="W899" s="2" t="str">
        <f>'GB1'!Q34</f>
        <v>Gabriela</v>
      </c>
      <c r="X899" s="5">
        <f>'GB1'!R34</f>
        <v>1300</v>
      </c>
      <c r="Y899" s="1"/>
      <c r="Z899" s="1"/>
      <c r="AA899" s="1"/>
    </row>
    <row r="900">
      <c r="A900" s="1"/>
      <c r="B900" s="14">
        <v>1.0</v>
      </c>
      <c r="C900" s="22" t="str">
        <f t="shared" si="1"/>
        <v>diciembre</v>
      </c>
      <c r="D900" s="22">
        <f t="shared" si="2"/>
        <v>51</v>
      </c>
      <c r="E900" s="23" t="str">
        <f t="shared" si="3"/>
        <v>sábado</v>
      </c>
      <c r="F900" s="22">
        <f t="shared" si="4"/>
        <v>20</v>
      </c>
      <c r="G900" s="22" t="str">
        <f>"COMPL-" &amp;'GB2'!$G$3</f>
        <v>COMPL-GB </v>
      </c>
      <c r="H900" s="3" t="str">
        <f>'GB2'!$A$3</f>
        <v>GASTRONOMIA EN BRASAS</v>
      </c>
      <c r="I900" s="24">
        <f>'GB2'!B5</f>
        <v>46011</v>
      </c>
      <c r="J900" s="2">
        <f>'GB2'!C5</f>
        <v>44579272</v>
      </c>
      <c r="K900" s="2" t="str">
        <f>'GB2'!D5</f>
        <v>Ruedi Mazuelos</v>
      </c>
      <c r="L900" s="2" t="str">
        <f>'GB2'!E5</f>
        <v>bs1@jeanmazuelos.com</v>
      </c>
      <c r="M900" s="2" t="str">
        <f>'GB2'!F5</f>
        <v>San Luis</v>
      </c>
      <c r="N900" s="2">
        <f>'GB2'!G5</f>
        <v>921899103</v>
      </c>
      <c r="O900" s="5" t="str">
        <f>'GB2'!H5</f>
        <v/>
      </c>
      <c r="P900" s="5" t="str">
        <f>'GB2'!I5</f>
        <v>x</v>
      </c>
      <c r="Q900" s="5">
        <f>'GB2'!J5</f>
        <v>1400</v>
      </c>
      <c r="R900" s="5" t="str">
        <f>'GB2'!K5</f>
        <v/>
      </c>
      <c r="S900" s="2" t="str">
        <f>'GB2'!L5</f>
        <v>PAGO</v>
      </c>
      <c r="T900" s="2" t="str">
        <f>'GB2'!M5</f>
        <v>YAPE JL</v>
      </c>
      <c r="U900" s="2">
        <f>'GB2'!N5</f>
        <v>1400</v>
      </c>
      <c r="V900" s="2" t="str">
        <f>'GB2'!O5</f>
        <v/>
      </c>
      <c r="W900" s="2" t="str">
        <f>'GB2'!P5</f>
        <v>Gabriela</v>
      </c>
      <c r="X900" s="5">
        <f>'GB2'!Q5</f>
        <v>1400</v>
      </c>
      <c r="Y900" s="1"/>
      <c r="Z900" s="1"/>
      <c r="AA900" s="1"/>
    </row>
    <row r="901">
      <c r="A901" s="1"/>
      <c r="B901" s="14">
        <f t="shared" ref="B901:B929" si="18">B900+1</f>
        <v>2</v>
      </c>
      <c r="C901" s="22" t="str">
        <f t="shared" si="1"/>
        <v>diciembre</v>
      </c>
      <c r="D901" s="22">
        <f t="shared" si="2"/>
        <v>51</v>
      </c>
      <c r="E901" s="23" t="str">
        <f t="shared" si="3"/>
        <v>sábado</v>
      </c>
      <c r="F901" s="22">
        <f t="shared" si="4"/>
        <v>20</v>
      </c>
      <c r="G901" s="22" t="str">
        <f>"COMPL-" &amp;'GB2'!$G$3</f>
        <v>COMPL-GB </v>
      </c>
      <c r="H901" s="3" t="str">
        <f>'GB2'!$A$3</f>
        <v>GASTRONOMIA EN BRASAS</v>
      </c>
      <c r="I901" s="24">
        <f>'GB2'!B6</f>
        <v>46011</v>
      </c>
      <c r="J901" s="2">
        <f>'GB2'!C6</f>
        <v>18149957</v>
      </c>
      <c r="K901" s="2" t="str">
        <f>'GB2'!D6</f>
        <v>Richard Carlo Rodriguez Balcazar</v>
      </c>
      <c r="L901" s="2" t="str">
        <f>'GB2'!E6</f>
        <v>rcrbalcazar@hotmail.com</v>
      </c>
      <c r="M901" s="2" t="str">
        <f>'GB2'!F6</f>
        <v>Surco</v>
      </c>
      <c r="N901" s="2">
        <f>'GB2'!G6</f>
        <v>997953249</v>
      </c>
      <c r="O901" s="5" t="str">
        <f>'GB2'!H6</f>
        <v/>
      </c>
      <c r="P901" s="5" t="str">
        <f>'GB2'!I6</f>
        <v>x</v>
      </c>
      <c r="Q901" s="5">
        <f>'GB2'!J6</f>
        <v>1400</v>
      </c>
      <c r="R901" s="5" t="str">
        <f>'GB2'!K6</f>
        <v/>
      </c>
      <c r="S901" s="2" t="str">
        <f>'GB2'!L6</f>
        <v>PAGO</v>
      </c>
      <c r="T901" s="2" t="str">
        <f>'GB2'!M6</f>
        <v>YAPE JL</v>
      </c>
      <c r="U901" s="34">
        <f>'GB2'!N6</f>
        <v>1400</v>
      </c>
      <c r="V901" s="34" t="str">
        <f>'GB2'!O6</f>
        <v/>
      </c>
      <c r="W901" s="2" t="str">
        <f>'GB2'!P6</f>
        <v>Gabriela</v>
      </c>
      <c r="X901" s="5">
        <f>'GB2'!Q6</f>
        <v>1400</v>
      </c>
      <c r="Y901" s="1"/>
      <c r="Z901" s="1"/>
      <c r="AA901" s="1"/>
    </row>
    <row r="902">
      <c r="A902" s="1"/>
      <c r="B902" s="14">
        <f t="shared" si="18"/>
        <v>3</v>
      </c>
      <c r="C902" s="22" t="str">
        <f t="shared" si="1"/>
        <v>diciembre</v>
      </c>
      <c r="D902" s="22">
        <f t="shared" si="2"/>
        <v>52</v>
      </c>
      <c r="E902" s="23" t="str">
        <f t="shared" si="3"/>
        <v>lunes</v>
      </c>
      <c r="F902" s="22">
        <f t="shared" si="4"/>
        <v>22</v>
      </c>
      <c r="G902" s="22" t="str">
        <f>"COMPL-" &amp;'GB2'!$G$3</f>
        <v>COMPL-GB </v>
      </c>
      <c r="H902" s="3" t="str">
        <f>'GB2'!$A$3</f>
        <v>GASTRONOMIA EN BRASAS</v>
      </c>
      <c r="I902" s="24">
        <f>'GB2'!B7</f>
        <v>46013</v>
      </c>
      <c r="J902" s="2">
        <f>'GB2'!C7</f>
        <v>47162261</v>
      </c>
      <c r="K902" s="2" t="str">
        <f>'GB2'!D7</f>
        <v>Abraham Basilio Rojas</v>
      </c>
      <c r="L902" s="2" t="str">
        <f>'GB2'!E7</f>
        <v>Abr.2012@gmail.com</v>
      </c>
      <c r="M902" s="2" t="str">
        <f>'GB2'!F7</f>
        <v>San miguel</v>
      </c>
      <c r="N902" s="2" t="str">
        <f>'GB2'!G7</f>
        <v>997 630 428</v>
      </c>
      <c r="O902" s="5" t="str">
        <f>'GB2'!H7</f>
        <v/>
      </c>
      <c r="P902" s="5" t="str">
        <f>'GB2'!I7</f>
        <v>x</v>
      </c>
      <c r="Q902" s="5">
        <f>'GB2'!J7</f>
        <v>1500</v>
      </c>
      <c r="R902" s="5" t="str">
        <f>'GB2'!K7</f>
        <v/>
      </c>
      <c r="S902" s="2" t="str">
        <f>'GB2'!L7</f>
        <v>PAGO</v>
      </c>
      <c r="T902" s="2" t="str">
        <f>'GB2'!M7</f>
        <v>PLIN JL</v>
      </c>
      <c r="U902" s="34">
        <f>'GB2'!N7</f>
        <v>1500</v>
      </c>
      <c r="V902" s="34" t="str">
        <f>'GB2'!O7</f>
        <v/>
      </c>
      <c r="W902" s="2" t="str">
        <f>'GB2'!P7</f>
        <v>Gabriela</v>
      </c>
      <c r="X902" s="5">
        <f>'GB2'!Q7</f>
        <v>1500</v>
      </c>
      <c r="Y902" s="1"/>
      <c r="Z902" s="1"/>
      <c r="AA902" s="1"/>
    </row>
    <row r="903">
      <c r="A903" s="1"/>
      <c r="B903" s="14">
        <f t="shared" si="18"/>
        <v>4</v>
      </c>
      <c r="C903" s="22" t="str">
        <f t="shared" si="1"/>
        <v>diciembre</v>
      </c>
      <c r="D903" s="22">
        <f t="shared" si="2"/>
        <v>52</v>
      </c>
      <c r="E903" s="23" t="str">
        <f t="shared" si="3"/>
        <v>sábado</v>
      </c>
      <c r="F903" s="22">
        <f t="shared" si="4"/>
        <v>30</v>
      </c>
      <c r="G903" s="22" t="str">
        <f>"COMPL-" &amp;'GB2'!$G$3</f>
        <v>COMPL-GB </v>
      </c>
      <c r="H903" s="3" t="str">
        <f>'GB2'!$A$3</f>
        <v>GASTRONOMIA EN BRASAS</v>
      </c>
      <c r="I903" s="24" t="str">
        <f>'GB2'!B8</f>
        <v/>
      </c>
      <c r="J903" s="2" t="str">
        <f>'GB2'!C8</f>
        <v/>
      </c>
      <c r="K903" s="2" t="str">
        <f>'GB2'!D8</f>
        <v/>
      </c>
      <c r="L903" s="2" t="str">
        <f>'GB2'!E8</f>
        <v/>
      </c>
      <c r="M903" s="2" t="str">
        <f>'GB2'!F8</f>
        <v/>
      </c>
      <c r="N903" s="2" t="str">
        <f>'GB2'!G8</f>
        <v/>
      </c>
      <c r="O903" s="5" t="str">
        <f>'GB2'!H8</f>
        <v/>
      </c>
      <c r="P903" s="5" t="str">
        <f>'GB2'!I8</f>
        <v/>
      </c>
      <c r="Q903" s="5" t="str">
        <f>'GB2'!J8</f>
        <v/>
      </c>
      <c r="R903" s="5" t="str">
        <f>'GB2'!K8</f>
        <v/>
      </c>
      <c r="S903" s="2" t="str">
        <f>'GB2'!L8</f>
        <v>COBR</v>
      </c>
      <c r="T903" s="2" t="str">
        <f>'GB2'!M8</f>
        <v/>
      </c>
      <c r="U903" s="34" t="str">
        <f>'GB2'!N8</f>
        <v/>
      </c>
      <c r="V903" s="34" t="str">
        <f>'GB2'!O8</f>
        <v/>
      </c>
      <c r="W903" s="2" t="str">
        <f>'GB2'!P8</f>
        <v/>
      </c>
      <c r="X903" s="5">
        <f>'GB2'!Q8</f>
        <v>0</v>
      </c>
      <c r="Y903" s="1"/>
      <c r="Z903" s="1"/>
      <c r="AA903" s="1"/>
    </row>
    <row r="904">
      <c r="A904" s="1"/>
      <c r="B904" s="14">
        <f t="shared" si="18"/>
        <v>5</v>
      </c>
      <c r="C904" s="22" t="str">
        <f t="shared" si="1"/>
        <v>diciembre</v>
      </c>
      <c r="D904" s="22" t="str">
        <f t="shared" si="2"/>
        <v>#NUM!</v>
      </c>
      <c r="E904" s="23" t="str">
        <f t="shared" si="3"/>
        <v>miércoles</v>
      </c>
      <c r="F904" s="22">
        <f t="shared" si="4"/>
        <v>28</v>
      </c>
      <c r="G904" s="22" t="str">
        <f>"COMPL-" &amp;'GB2'!$G$3</f>
        <v>COMPL-GB </v>
      </c>
      <c r="H904" s="3" t="str">
        <f>'GB2'!$A$3</f>
        <v>GASTRONOMIA EN BRASAS</v>
      </c>
      <c r="I904" s="24">
        <f>'GB2'!B9</f>
        <v>7716111</v>
      </c>
      <c r="J904" s="2">
        <f>'GB2'!C9</f>
        <v>42588957</v>
      </c>
      <c r="K904" s="2" t="str">
        <f>'GB2'!D9</f>
        <v>Ricardo Junior Boza Valdiviezo</v>
      </c>
      <c r="L904" s="2" t="str">
        <f>'GB2'!E9</f>
        <v> richievzb@gmail.com</v>
      </c>
      <c r="M904" s="2" t="str">
        <f>'GB2'!F9</f>
        <v>Comas </v>
      </c>
      <c r="N904" s="2" t="str">
        <f>'GB2'!G9</f>
        <v>963 037 833</v>
      </c>
      <c r="O904" s="5" t="str">
        <f>'GB2'!H9</f>
        <v>x</v>
      </c>
      <c r="P904" s="5" t="str">
        <f>'GB2'!I9</f>
        <v/>
      </c>
      <c r="Q904" s="5">
        <f>'GB2'!J9</f>
        <v>1500</v>
      </c>
      <c r="R904" s="5" t="str">
        <f>'GB2'!K9</f>
        <v/>
      </c>
      <c r="S904" s="2" t="str">
        <f>'GB2'!L9</f>
        <v>PAGO</v>
      </c>
      <c r="T904" s="2" t="str">
        <f>'GB2'!M9</f>
        <v>PLIN JL</v>
      </c>
      <c r="U904" s="34">
        <f>'GB2'!N9</f>
        <v>1500</v>
      </c>
      <c r="V904" s="34" t="str">
        <f>'GB2'!O9</f>
        <v/>
      </c>
      <c r="W904" s="2" t="str">
        <f>'GB2'!P9</f>
        <v>Gabriela</v>
      </c>
      <c r="X904" s="5">
        <f>'GB2'!Q9</f>
        <v>1500</v>
      </c>
      <c r="Y904" s="1"/>
      <c r="Z904" s="1"/>
      <c r="AA904" s="1"/>
    </row>
    <row r="905">
      <c r="A905" s="1"/>
      <c r="B905" s="14">
        <f t="shared" si="18"/>
        <v>6</v>
      </c>
      <c r="C905" s="22" t="str">
        <f t="shared" si="1"/>
        <v>enero</v>
      </c>
      <c r="D905" s="22">
        <f t="shared" si="2"/>
        <v>2</v>
      </c>
      <c r="E905" s="23" t="str">
        <f t="shared" si="3"/>
        <v>jueves</v>
      </c>
      <c r="F905" s="22">
        <f t="shared" si="4"/>
        <v>8</v>
      </c>
      <c r="G905" s="22" t="str">
        <f>"COMPL-" &amp;'GB2'!$G$3</f>
        <v>COMPL-GB </v>
      </c>
      <c r="H905" s="3" t="str">
        <f>'GB2'!$A$3</f>
        <v>GASTRONOMIA EN BRASAS</v>
      </c>
      <c r="I905" s="24">
        <f>'GB2'!B10</f>
        <v>46030</v>
      </c>
      <c r="J905" s="2">
        <f>'GB2'!C10</f>
        <v>76785683</v>
      </c>
      <c r="K905" s="2" t="str">
        <f>'GB2'!D10</f>
        <v>Anderson Denis López López </v>
      </c>
      <c r="L905" s="2" t="str">
        <f>'GB2'!E10</f>
        <v>fcanlelnubf@gmail.com</v>
      </c>
      <c r="M905" s="2" t="str">
        <f>'GB2'!F10</f>
        <v>Callao </v>
      </c>
      <c r="N905" s="2" t="str">
        <f>'GB2'!G10</f>
        <v>942 580 187</v>
      </c>
      <c r="O905" s="5" t="str">
        <f>'GB2'!H10</f>
        <v/>
      </c>
      <c r="P905" s="5" t="str">
        <f>'GB2'!I10</f>
        <v>x</v>
      </c>
      <c r="Q905" s="5">
        <f>'GB2'!J10</f>
        <v>1500</v>
      </c>
      <c r="R905" s="5" t="str">
        <f>'GB2'!K10</f>
        <v/>
      </c>
      <c r="S905" s="2" t="str">
        <f>'GB2'!L10</f>
        <v>PAGO</v>
      </c>
      <c r="T905" s="2" t="str">
        <f>'GB2'!M10</f>
        <v>YAPE JL</v>
      </c>
      <c r="U905" s="34">
        <f>'GB2'!N10</f>
        <v>1500</v>
      </c>
      <c r="V905" s="34" t="str">
        <f>'GB2'!O10</f>
        <v/>
      </c>
      <c r="W905" s="2" t="str">
        <f>'GB2'!P10</f>
        <v>Gabriela</v>
      </c>
      <c r="X905" s="5">
        <f>'GB2'!Q10</f>
        <v>1500</v>
      </c>
      <c r="Y905" s="1"/>
      <c r="Z905" s="1"/>
      <c r="AA905" s="1"/>
    </row>
    <row r="906">
      <c r="A906" s="1"/>
      <c r="B906" s="14">
        <f t="shared" si="18"/>
        <v>7</v>
      </c>
      <c r="C906" s="22" t="str">
        <f t="shared" si="1"/>
        <v>enero</v>
      </c>
      <c r="D906" s="22">
        <f t="shared" si="2"/>
        <v>2</v>
      </c>
      <c r="E906" s="23" t="str">
        <f t="shared" si="3"/>
        <v>jueves</v>
      </c>
      <c r="F906" s="22">
        <f t="shared" si="4"/>
        <v>8</v>
      </c>
      <c r="G906" s="22" t="str">
        <f>"COMPL-" &amp;'GB2'!$G$3</f>
        <v>COMPL-GB </v>
      </c>
      <c r="H906" s="3" t="str">
        <f>'GB2'!$A$3</f>
        <v>GASTRONOMIA EN BRASAS</v>
      </c>
      <c r="I906" s="24">
        <f>'GB2'!B11</f>
        <v>46030</v>
      </c>
      <c r="J906" s="2">
        <f>'GB2'!C11</f>
        <v>61790541</v>
      </c>
      <c r="K906" s="2" t="str">
        <f>'GB2'!D11</f>
        <v>Gabriel Maximiliano Sánchez Castro</v>
      </c>
      <c r="L906" s="2" t="str">
        <f>'GB2'!E11</f>
        <v>gabrielsanchezcastro67@gmail.com</v>
      </c>
      <c r="M906" s="2" t="str">
        <f>'GB2'!F11</f>
        <v>San Miguel </v>
      </c>
      <c r="N906" s="2">
        <f>'GB2'!G11</f>
        <v>926827849</v>
      </c>
      <c r="O906" s="2" t="str">
        <f>#REF!</f>
        <v>#REF!</v>
      </c>
      <c r="P906" s="5" t="str">
        <f>'GB2'!I11</f>
        <v/>
      </c>
      <c r="Q906" s="5">
        <f>'GB2'!J11</f>
        <v>1500</v>
      </c>
      <c r="R906" s="5" t="str">
        <f>'GB2'!K11</f>
        <v/>
      </c>
      <c r="S906" s="2" t="str">
        <f>'GB2'!L11</f>
        <v>PAGO</v>
      </c>
      <c r="T906" s="2" t="str">
        <f>'GB2'!M11</f>
        <v>YAPE JL</v>
      </c>
      <c r="U906" s="34">
        <f>'GB2'!N11</f>
        <v>1500</v>
      </c>
      <c r="V906" s="34" t="str">
        <f>'GB2'!O11</f>
        <v/>
      </c>
      <c r="W906" s="2" t="str">
        <f>'GB2'!P11</f>
        <v>Gabriela</v>
      </c>
      <c r="X906" s="5">
        <f>'GB2'!Q11</f>
        <v>1500</v>
      </c>
      <c r="Y906" s="1"/>
      <c r="Z906" s="1"/>
      <c r="AA906" s="1"/>
    </row>
    <row r="907">
      <c r="A907" s="1"/>
      <c r="B907" s="14">
        <f t="shared" si="18"/>
        <v>8</v>
      </c>
      <c r="C907" s="22" t="str">
        <f t="shared" si="1"/>
        <v>enero</v>
      </c>
      <c r="D907" s="22">
        <f t="shared" si="2"/>
        <v>2</v>
      </c>
      <c r="E907" s="23" t="str">
        <f t="shared" si="3"/>
        <v>jueves</v>
      </c>
      <c r="F907" s="22">
        <f t="shared" si="4"/>
        <v>8</v>
      </c>
      <c r="G907" s="22" t="str">
        <f>"COMPL-" &amp;'GB2'!$G$3</f>
        <v>COMPL-GB </v>
      </c>
      <c r="H907" s="3" t="str">
        <f>'GB2'!$A$3</f>
        <v>GASTRONOMIA EN BRASAS</v>
      </c>
      <c r="I907" s="24">
        <f>'GB2'!B12</f>
        <v>46030</v>
      </c>
      <c r="J907" s="2">
        <f>'GB2'!C12</f>
        <v>48020635</v>
      </c>
      <c r="K907" s="2" t="str">
        <f>'GB2'!D12</f>
        <v>Jhon Eduardo Ruiz Sachun</v>
      </c>
      <c r="L907" s="2" t="str">
        <f>'GB2'!E12</f>
        <v/>
      </c>
      <c r="M907" s="2" t="str">
        <f>'GB2'!F12</f>
        <v>Independencia</v>
      </c>
      <c r="N907" s="2">
        <f>'GB2'!G12</f>
        <v>931198369</v>
      </c>
      <c r="O907" s="5" t="str">
        <f>'GB2'!H11</f>
        <v>x</v>
      </c>
      <c r="P907" s="5" t="str">
        <f>'GB2'!I12</f>
        <v>x</v>
      </c>
      <c r="Q907" s="5">
        <f>'GB2'!J12</f>
        <v>800</v>
      </c>
      <c r="R907" s="5">
        <f>'GB2'!K12</f>
        <v>1000</v>
      </c>
      <c r="S907" s="2" t="str">
        <f>'GB2'!L12</f>
        <v>COBR</v>
      </c>
      <c r="T907" s="2" t="str">
        <f>'GB2'!M12</f>
        <v>YAPE JL</v>
      </c>
      <c r="U907" s="34">
        <f>'GB2'!N12</f>
        <v>800</v>
      </c>
      <c r="V907" s="34" t="str">
        <f>'GB2'!O12</f>
        <v/>
      </c>
      <c r="W907" s="2" t="str">
        <f>'GB2'!P12</f>
        <v>Gabriela</v>
      </c>
      <c r="X907" s="5">
        <f>'GB2'!Q12</f>
        <v>800</v>
      </c>
      <c r="Y907" s="1"/>
      <c r="Z907" s="1"/>
      <c r="AA907" s="1"/>
    </row>
    <row r="908">
      <c r="A908" s="1"/>
      <c r="B908" s="14">
        <f t="shared" si="18"/>
        <v>9</v>
      </c>
      <c r="C908" s="22" t="str">
        <f t="shared" si="1"/>
        <v>enero</v>
      </c>
      <c r="D908" s="22">
        <f t="shared" si="2"/>
        <v>2</v>
      </c>
      <c r="E908" s="23" t="str">
        <f t="shared" si="3"/>
        <v>viernes</v>
      </c>
      <c r="F908" s="22">
        <f t="shared" si="4"/>
        <v>9</v>
      </c>
      <c r="G908" s="22" t="str">
        <f>"COMPL-" &amp;'GB2'!$G$3</f>
        <v>COMPL-GB </v>
      </c>
      <c r="H908" s="3" t="str">
        <f>'GB2'!$A$3</f>
        <v>GASTRONOMIA EN BRASAS</v>
      </c>
      <c r="I908" s="24">
        <f>'GB2'!B13</f>
        <v>46031</v>
      </c>
      <c r="J908" s="2">
        <f>'GB2'!C13</f>
        <v>46636853</v>
      </c>
      <c r="K908" s="2" t="str">
        <f>'GB2'!D13</f>
        <v>Luis Alberto Pérez zevallos</v>
      </c>
      <c r="L908" s="27" t="str">
        <f>'GB2'!E13</f>
        <v>Perezze@hotmail.com</v>
      </c>
      <c r="M908" s="2" t="str">
        <f>'GB2'!F13</f>
        <v>Ate</v>
      </c>
      <c r="N908" s="2" t="str">
        <f>'GB2'!G13</f>
        <v>965 480 780</v>
      </c>
      <c r="O908" s="5" t="str">
        <f>'GB2'!H13</f>
        <v>x</v>
      </c>
      <c r="P908" s="5" t="str">
        <f>'GB2'!I13</f>
        <v/>
      </c>
      <c r="Q908" s="5">
        <f>'GB2'!J13</f>
        <v>1400</v>
      </c>
      <c r="R908" s="5" t="str">
        <f>'GB2'!K13</f>
        <v/>
      </c>
      <c r="S908" s="2" t="str">
        <f>'GB2'!L13</f>
        <v>PAGO</v>
      </c>
      <c r="T908" s="2" t="str">
        <f>'GB2'!M13</f>
        <v>BCP JL</v>
      </c>
      <c r="U908" s="34">
        <f>'GB2'!N13</f>
        <v>1400</v>
      </c>
      <c r="V908" s="34" t="str">
        <f>'GB2'!O13</f>
        <v/>
      </c>
      <c r="W908" s="2" t="str">
        <f>'GB2'!P13</f>
        <v>Gabriela</v>
      </c>
      <c r="X908" s="5">
        <f>'GB2'!Q13</f>
        <v>1400</v>
      </c>
      <c r="Y908" s="1"/>
      <c r="Z908" s="1"/>
      <c r="AA908" s="1"/>
    </row>
    <row r="909">
      <c r="A909" s="1"/>
      <c r="B909" s="14">
        <f t="shared" si="18"/>
        <v>10</v>
      </c>
      <c r="C909" s="22" t="str">
        <f t="shared" si="1"/>
        <v>enero</v>
      </c>
      <c r="D909" s="22">
        <f t="shared" si="2"/>
        <v>2</v>
      </c>
      <c r="E909" s="23" t="str">
        <f t="shared" si="3"/>
        <v>sábado</v>
      </c>
      <c r="F909" s="22">
        <f t="shared" si="4"/>
        <v>10</v>
      </c>
      <c r="G909" s="22" t="str">
        <f>"COMPL-" &amp;'GB2'!$G$3</f>
        <v>COMPL-GB </v>
      </c>
      <c r="H909" s="3" t="str">
        <f>'GB2'!$A$3</f>
        <v>GASTRONOMIA EN BRASAS</v>
      </c>
      <c r="I909" s="24">
        <f>'GB2'!B14</f>
        <v>46032</v>
      </c>
      <c r="J909" s="2">
        <f>'GB2'!C14</f>
        <v>43382092</v>
      </c>
      <c r="K909" s="2" t="str">
        <f>'GB2'!D14</f>
        <v>Pedro Chavez</v>
      </c>
      <c r="L909" s="2" t="str">
        <f>'GB2'!E14</f>
        <v>pedro.chavz@gmail.com</v>
      </c>
      <c r="M909" s="2" t="str">
        <f>'GB2'!F14</f>
        <v/>
      </c>
      <c r="N909" s="2" t="str">
        <f>'GB2'!G14</f>
        <v>989 884 998</v>
      </c>
      <c r="O909" s="5" t="str">
        <f>'GB2'!H14</f>
        <v>x</v>
      </c>
      <c r="P909" s="5" t="str">
        <f>'GB2'!I14</f>
        <v/>
      </c>
      <c r="Q909" s="5">
        <f>'GB2'!J14</f>
        <v>1500</v>
      </c>
      <c r="R909" s="5" t="str">
        <f>'GB2'!K14</f>
        <v/>
      </c>
      <c r="S909" s="2" t="str">
        <f>'GB2'!L14</f>
        <v>PAGO</v>
      </c>
      <c r="T909" s="2" t="str">
        <f>'GB2'!M14</f>
        <v>BBVA JL</v>
      </c>
      <c r="U909" s="34">
        <f>'GB2'!N14</f>
        <v>1500</v>
      </c>
      <c r="V909" s="34" t="str">
        <f>'GB2'!O14</f>
        <v/>
      </c>
      <c r="W909" s="2" t="str">
        <f>'GB2'!P14</f>
        <v>Gabriela</v>
      </c>
      <c r="X909" s="5">
        <f>'GB2'!Q14</f>
        <v>1500</v>
      </c>
      <c r="Y909" s="1"/>
      <c r="Z909" s="1"/>
      <c r="AA909" s="1"/>
    </row>
    <row r="910">
      <c r="A910" s="1"/>
      <c r="B910" s="14">
        <f t="shared" si="18"/>
        <v>11</v>
      </c>
      <c r="C910" s="22" t="str">
        <f t="shared" si="1"/>
        <v>enero</v>
      </c>
      <c r="D910" s="22">
        <f t="shared" si="2"/>
        <v>3</v>
      </c>
      <c r="E910" s="23" t="str">
        <f t="shared" si="3"/>
        <v>lunes</v>
      </c>
      <c r="F910" s="22">
        <f t="shared" si="4"/>
        <v>12</v>
      </c>
      <c r="G910" s="22" t="str">
        <f>"COMPL-" &amp;'GB2'!$G$3</f>
        <v>COMPL-GB </v>
      </c>
      <c r="H910" s="3" t="str">
        <f>'GB2'!$A$3</f>
        <v>GASTRONOMIA EN BRASAS</v>
      </c>
      <c r="I910" s="24">
        <f>'GB2'!B15</f>
        <v>46034</v>
      </c>
      <c r="J910" s="2">
        <f>'GB2'!C15</f>
        <v>73158664</v>
      </c>
      <c r="K910" s="2" t="str">
        <f>'GB2'!D15</f>
        <v>Fabrizzio Mijael Lima Obregón</v>
      </c>
      <c r="L910" s="27" t="str">
        <f>'GB2'!E15</f>
        <v>mijaellima140@gmail.com</v>
      </c>
      <c r="M910" s="2" t="str">
        <f>'GB2'!F15</f>
        <v>San Luis</v>
      </c>
      <c r="N910" s="2">
        <f>'GB2'!G15</f>
        <v>915352766</v>
      </c>
      <c r="O910" s="2" t="str">
        <f>#REF!</f>
        <v>#REF!</v>
      </c>
      <c r="P910" s="5" t="str">
        <f>'GB2'!I15</f>
        <v/>
      </c>
      <c r="Q910" s="5">
        <f>'GB2'!J15</f>
        <v>1500</v>
      </c>
      <c r="R910" s="5" t="str">
        <f>'GB2'!K15</f>
        <v/>
      </c>
      <c r="S910" s="2" t="str">
        <f>'GB2'!L15</f>
        <v>PAGO</v>
      </c>
      <c r="T910" s="2" t="str">
        <f>'GB2'!M15</f>
        <v>BCP JL</v>
      </c>
      <c r="U910" s="34">
        <f>'GB2'!N15</f>
        <v>1500</v>
      </c>
      <c r="V910" s="34" t="str">
        <f>'GB2'!O15</f>
        <v/>
      </c>
      <c r="W910" s="2" t="str">
        <f>'GB2'!P15</f>
        <v>Gabriela</v>
      </c>
      <c r="X910" s="5">
        <f>'GB2'!Q15</f>
        <v>1500</v>
      </c>
      <c r="Y910" s="1"/>
      <c r="Z910" s="1"/>
      <c r="AA910" s="1"/>
    </row>
    <row r="911">
      <c r="A911" s="1"/>
      <c r="B911" s="14">
        <f t="shared" si="18"/>
        <v>12</v>
      </c>
      <c r="C911" s="22" t="str">
        <f t="shared" si="1"/>
        <v>enero</v>
      </c>
      <c r="D911" s="22">
        <f t="shared" si="2"/>
        <v>3</v>
      </c>
      <c r="E911" s="23" t="str">
        <f t="shared" si="3"/>
        <v>martes</v>
      </c>
      <c r="F911" s="22">
        <f t="shared" si="4"/>
        <v>13</v>
      </c>
      <c r="G911" s="22" t="str">
        <f>"COMPL-" &amp;'GB2'!$G$3</f>
        <v>COMPL-GB </v>
      </c>
      <c r="H911" s="3" t="str">
        <f>'GB2'!$A$3</f>
        <v>GASTRONOMIA EN BRASAS</v>
      </c>
      <c r="I911" s="24">
        <f>'GB2'!B16</f>
        <v>46035</v>
      </c>
      <c r="J911" s="2">
        <f>'GB2'!C16</f>
        <v>47843276</v>
      </c>
      <c r="K911" s="2" t="str">
        <f>'GB2'!D16</f>
        <v>Elvis Gustavo lluen Torres </v>
      </c>
      <c r="L911" s="2" t="str">
        <f>'GB2'!E16</f>
        <v>elvislluentorres@gmail.com </v>
      </c>
      <c r="M911" s="2" t="str">
        <f>'GB2'!F16</f>
        <v>SJL</v>
      </c>
      <c r="N911" s="2" t="str">
        <f>'GB2'!G16</f>
        <v> 988 407 264</v>
      </c>
      <c r="O911" s="5" t="str">
        <f>'GB2'!H15</f>
        <v>x</v>
      </c>
      <c r="P911" s="5" t="str">
        <f>'GB2'!I16</f>
        <v>x</v>
      </c>
      <c r="Q911" s="5">
        <f>'GB2'!J16</f>
        <v>1300</v>
      </c>
      <c r="R911" s="5" t="str">
        <f>'GB2'!K16</f>
        <v/>
      </c>
      <c r="S911" s="2" t="str">
        <f>'GB2'!L16</f>
        <v>PAGO</v>
      </c>
      <c r="T911" s="2" t="str">
        <f>'GB2'!M16</f>
        <v>BCP JL</v>
      </c>
      <c r="U911" s="34">
        <f>'GB2'!N16</f>
        <v>300</v>
      </c>
      <c r="V911" s="34">
        <f>'GB2'!O16</f>
        <v>1000</v>
      </c>
      <c r="W911" s="2" t="str">
        <f>'GB2'!P16</f>
        <v>Gabriela</v>
      </c>
      <c r="X911" s="5">
        <f>'GB2'!Q16</f>
        <v>1300</v>
      </c>
      <c r="Y911" s="1"/>
      <c r="Z911" s="1"/>
      <c r="AA911" s="1"/>
    </row>
    <row r="912">
      <c r="A912" s="1"/>
      <c r="B912" s="14">
        <f t="shared" si="18"/>
        <v>13</v>
      </c>
      <c r="C912" s="22" t="str">
        <f t="shared" si="1"/>
        <v>enero</v>
      </c>
      <c r="D912" s="22">
        <f t="shared" si="2"/>
        <v>3</v>
      </c>
      <c r="E912" s="23" t="str">
        <f t="shared" si="3"/>
        <v>martes</v>
      </c>
      <c r="F912" s="22">
        <f t="shared" si="4"/>
        <v>13</v>
      </c>
      <c r="G912" s="22" t="str">
        <f>"COMPL-" &amp;'GB2'!$G$3</f>
        <v>COMPL-GB </v>
      </c>
      <c r="H912" s="3" t="str">
        <f>'GB2'!$A$3</f>
        <v>GASTRONOMIA EN BRASAS</v>
      </c>
      <c r="I912" s="24">
        <f>'GB2'!B17</f>
        <v>46035</v>
      </c>
      <c r="J912" s="2">
        <f>'GB2'!C17</f>
        <v>10719169</v>
      </c>
      <c r="K912" s="2" t="str">
        <f>'GB2'!D17</f>
        <v>Jorge Luis cabrera Montenegro</v>
      </c>
      <c r="L912" s="27" t="str">
        <f>'GB2'!E17</f>
        <v>ventas@espacioalexandra.com</v>
      </c>
      <c r="M912" s="2" t="str">
        <f>'GB2'!F17</f>
        <v>San miguel</v>
      </c>
      <c r="N912" s="2">
        <f>'GB2'!G17</f>
        <v>990494288</v>
      </c>
      <c r="O912" s="5" t="str">
        <f>'GB2'!H17</f>
        <v/>
      </c>
      <c r="P912" s="5" t="str">
        <f>'GB2'!I17</f>
        <v>x</v>
      </c>
      <c r="Q912" s="5">
        <f>'GB2'!J17</f>
        <v>1500</v>
      </c>
      <c r="R912" s="5" t="str">
        <f>'GB2'!K17</f>
        <v/>
      </c>
      <c r="S912" s="2" t="str">
        <f>'GB2'!L17</f>
        <v>PAGO</v>
      </c>
      <c r="T912" s="2" t="str">
        <f>'GB2'!M17</f>
        <v>BCP JL</v>
      </c>
      <c r="U912" s="34">
        <f>'GB2'!N17</f>
        <v>1500</v>
      </c>
      <c r="V912" s="34" t="str">
        <f>'GB2'!O17</f>
        <v/>
      </c>
      <c r="W912" s="2" t="str">
        <f>'GB2'!P17</f>
        <v>Gabriela</v>
      </c>
      <c r="X912" s="5">
        <f>'GB2'!Q17</f>
        <v>1500</v>
      </c>
      <c r="Y912" s="1"/>
      <c r="Z912" s="1"/>
      <c r="AA912" s="1"/>
    </row>
    <row r="913">
      <c r="A913" s="1"/>
      <c r="B913" s="14">
        <f t="shared" si="18"/>
        <v>14</v>
      </c>
      <c r="C913" s="22" t="str">
        <f t="shared" si="1"/>
        <v>diciembre</v>
      </c>
      <c r="D913" s="22">
        <f t="shared" si="2"/>
        <v>52</v>
      </c>
      <c r="E913" s="23" t="str">
        <f t="shared" si="3"/>
        <v>sábado</v>
      </c>
      <c r="F913" s="22">
        <f t="shared" si="4"/>
        <v>30</v>
      </c>
      <c r="G913" s="22" t="str">
        <f>"COMPL-" &amp;'GB2'!$G$3</f>
        <v>COMPL-GB </v>
      </c>
      <c r="H913" s="3" t="str">
        <f>'GB2'!$A$3</f>
        <v>GASTRONOMIA EN BRASAS</v>
      </c>
      <c r="I913" s="24" t="str">
        <f>'GB2'!B18</f>
        <v/>
      </c>
      <c r="J913" s="2" t="str">
        <f>'GB2'!C18</f>
        <v/>
      </c>
      <c r="K913" s="2" t="str">
        <f>'GB2'!D18</f>
        <v/>
      </c>
      <c r="L913" s="2" t="str">
        <f>'GB2'!E18</f>
        <v/>
      </c>
      <c r="M913" s="2" t="str">
        <f>'GB2'!F18</f>
        <v/>
      </c>
      <c r="N913" s="2" t="str">
        <f>'GB2'!G18</f>
        <v/>
      </c>
      <c r="O913" s="5" t="str">
        <f>'GB2'!H18</f>
        <v/>
      </c>
      <c r="P913" s="5" t="str">
        <f>'GB2'!I18</f>
        <v> </v>
      </c>
      <c r="Q913" s="5" t="str">
        <f>'GB2'!J18</f>
        <v/>
      </c>
      <c r="R913" s="5" t="str">
        <f>'GB2'!K18</f>
        <v/>
      </c>
      <c r="S913" s="2" t="str">
        <f>'GB2'!L18</f>
        <v/>
      </c>
      <c r="T913" s="2" t="str">
        <f>'GB2'!M18</f>
        <v/>
      </c>
      <c r="U913" s="34" t="str">
        <f>'GB2'!N18</f>
        <v/>
      </c>
      <c r="V913" s="34" t="str">
        <f>'GB2'!O18</f>
        <v/>
      </c>
      <c r="W913" s="2" t="str">
        <f>'GB2'!P18</f>
        <v>Katherine</v>
      </c>
      <c r="X913" s="5">
        <f>'GB2'!Q18</f>
        <v>0</v>
      </c>
      <c r="Y913" s="1"/>
      <c r="Z913" s="1"/>
      <c r="AA913" s="1"/>
    </row>
    <row r="914">
      <c r="A914" s="1"/>
      <c r="B914" s="14">
        <f t="shared" si="18"/>
        <v>15</v>
      </c>
      <c r="C914" s="22" t="str">
        <f t="shared" si="1"/>
        <v>enero</v>
      </c>
      <c r="D914" s="22">
        <f t="shared" si="2"/>
        <v>3</v>
      </c>
      <c r="E914" s="23" t="str">
        <f t="shared" si="3"/>
        <v>jueves</v>
      </c>
      <c r="F914" s="22">
        <f t="shared" si="4"/>
        <v>15</v>
      </c>
      <c r="G914" s="22" t="str">
        <f>"COMPL-" &amp;'GB2'!$G$3</f>
        <v>COMPL-GB </v>
      </c>
      <c r="H914" s="3" t="str">
        <f>'GB2'!$A$3</f>
        <v>GASTRONOMIA EN BRASAS</v>
      </c>
      <c r="I914" s="24">
        <f>'GB2'!B19</f>
        <v>46037</v>
      </c>
      <c r="J914" s="2">
        <f>'GB2'!C19</f>
        <v>10107901791</v>
      </c>
      <c r="K914" s="2" t="str">
        <f>'GB2'!D19</f>
        <v>Peter Günther Kost Soto </v>
      </c>
      <c r="L914" s="2" t="str">
        <f>'GB2'!E19</f>
        <v>peterpgks80@gmail.com</v>
      </c>
      <c r="M914" s="2" t="str">
        <f>'GB2'!F19</f>
        <v>San borja</v>
      </c>
      <c r="N914" s="2" t="str">
        <f>'GB2'!G19</f>
        <v>979 389 674</v>
      </c>
      <c r="O914" s="5" t="str">
        <f>'GB2'!H19</f>
        <v>x</v>
      </c>
      <c r="P914" s="5" t="str">
        <f>'GB2'!I19</f>
        <v/>
      </c>
      <c r="Q914" s="5">
        <f>'GB2'!J19</f>
        <v>1500</v>
      </c>
      <c r="R914" s="5" t="str">
        <f>'GB2'!K19</f>
        <v/>
      </c>
      <c r="S914" s="2" t="str">
        <f>'GB2'!L19</f>
        <v>PAGO</v>
      </c>
      <c r="T914" s="2" t="str">
        <f>'GB2'!M19</f>
        <v>BCP JL</v>
      </c>
      <c r="U914" s="34">
        <f>'GB2'!N19</f>
        <v>300</v>
      </c>
      <c r="V914" s="34">
        <f>'GB2'!O19</f>
        <v>1200</v>
      </c>
      <c r="W914" s="2" t="str">
        <f>'GB2'!P19</f>
        <v>Gabriela</v>
      </c>
      <c r="X914" s="5">
        <f>'GB2'!Q19</f>
        <v>1500</v>
      </c>
      <c r="Y914" s="1"/>
      <c r="Z914" s="1"/>
      <c r="AA914" s="1"/>
    </row>
    <row r="915">
      <c r="A915" s="1"/>
      <c r="B915" s="14">
        <f t="shared" si="18"/>
        <v>16</v>
      </c>
      <c r="C915" s="22" t="str">
        <f t="shared" si="1"/>
        <v>enero</v>
      </c>
      <c r="D915" s="22">
        <f t="shared" si="2"/>
        <v>3</v>
      </c>
      <c r="E915" s="23" t="str">
        <f t="shared" si="3"/>
        <v>viernes</v>
      </c>
      <c r="F915" s="22">
        <f t="shared" si="4"/>
        <v>16</v>
      </c>
      <c r="G915" s="22" t="str">
        <f>"COMPL-" &amp;'GB2'!$G$3</f>
        <v>COMPL-GB </v>
      </c>
      <c r="H915" s="3" t="str">
        <f>'GB2'!$A$3</f>
        <v>GASTRONOMIA EN BRASAS</v>
      </c>
      <c r="I915" s="24">
        <f>'GB2'!B20</f>
        <v>46038</v>
      </c>
      <c r="J915" s="2">
        <f>'GB2'!C20</f>
        <v>77087419</v>
      </c>
      <c r="K915" s="2" t="str">
        <f>'GB2'!D20</f>
        <v>Jessica Escarlen</v>
      </c>
      <c r="L915" s="27" t="str">
        <f>'GB2'!E20</f>
        <v>Escarlen.mrkdigital@gmail.com</v>
      </c>
      <c r="M915" s="2" t="str">
        <f>'GB2'!F20</f>
        <v/>
      </c>
      <c r="N915" s="2" t="str">
        <f>'GB2'!G20</f>
        <v>955 805 382</v>
      </c>
      <c r="O915" s="5" t="str">
        <f>'GB2'!H20</f>
        <v/>
      </c>
      <c r="P915" s="5" t="str">
        <f>'GB2'!I20</f>
        <v>x</v>
      </c>
      <c r="Q915" s="5">
        <f>'GB2'!J20</f>
        <v>300</v>
      </c>
      <c r="R915" s="5">
        <f>'GB2'!K20</f>
        <v>1000</v>
      </c>
      <c r="S915" s="2" t="str">
        <f>'GB2'!L20</f>
        <v>COBR</v>
      </c>
      <c r="T915" s="2" t="str">
        <f>'GB2'!M20</f>
        <v>YAPE JL</v>
      </c>
      <c r="U915" s="34">
        <f>'GB2'!N20</f>
        <v>300</v>
      </c>
      <c r="V915" s="34" t="str">
        <f>'GB2'!O20</f>
        <v/>
      </c>
      <c r="W915" s="2" t="str">
        <f>'GB2'!P20</f>
        <v>Tania</v>
      </c>
      <c r="X915" s="5">
        <f>'GB2'!Q20</f>
        <v>300</v>
      </c>
      <c r="Y915" s="1"/>
      <c r="Z915" s="1"/>
      <c r="AA915" s="1"/>
    </row>
    <row r="916">
      <c r="A916" s="1"/>
      <c r="B916" s="14">
        <f t="shared" si="18"/>
        <v>17</v>
      </c>
      <c r="C916" s="22" t="str">
        <f t="shared" si="1"/>
        <v>enero</v>
      </c>
      <c r="D916" s="22">
        <f t="shared" si="2"/>
        <v>4</v>
      </c>
      <c r="E916" s="23" t="str">
        <f t="shared" si="3"/>
        <v>lunes</v>
      </c>
      <c r="F916" s="22">
        <f t="shared" si="4"/>
        <v>19</v>
      </c>
      <c r="G916" s="22" t="str">
        <f>"COMPL-" &amp;'GB2'!$G$3</f>
        <v>COMPL-GB </v>
      </c>
      <c r="H916" s="3" t="str">
        <f>'GB2'!$A$3</f>
        <v>GASTRONOMIA EN BRASAS</v>
      </c>
      <c r="I916" s="24">
        <f>'GB2'!B21</f>
        <v>46041</v>
      </c>
      <c r="J916" s="2">
        <f>'GB2'!C21</f>
        <v>77438358</v>
      </c>
      <c r="K916" s="2" t="str">
        <f>'GB2'!D21</f>
        <v>Mirko jesus neyra solis</v>
      </c>
      <c r="L916" s="2" t="str">
        <f>'GB2'!E21</f>
        <v>Mirkoneyrasolis@gmail.com</v>
      </c>
      <c r="M916" s="2" t="str">
        <f>'GB2'!F21</f>
        <v>La victoria </v>
      </c>
      <c r="N916" s="2" t="str">
        <f>'GB2'!G21</f>
        <v>927 163 904</v>
      </c>
      <c r="O916" s="5" t="str">
        <f>'GB2'!H21</f>
        <v/>
      </c>
      <c r="P916" s="5" t="str">
        <f>'GB2'!I21</f>
        <v>x</v>
      </c>
      <c r="Q916" s="5">
        <f>'GB2'!J21</f>
        <v>1500</v>
      </c>
      <c r="R916" s="5" t="str">
        <f>'GB2'!K21</f>
        <v/>
      </c>
      <c r="S916" s="2" t="str">
        <f>'GB2'!L21</f>
        <v>PAGO</v>
      </c>
      <c r="T916" s="2" t="str">
        <f>'GB2'!M21</f>
        <v>BCP EPP</v>
      </c>
      <c r="U916" s="34">
        <f>'GB2'!N21</f>
        <v>1500</v>
      </c>
      <c r="V916" s="34" t="str">
        <f>'GB2'!O21</f>
        <v/>
      </c>
      <c r="W916" s="2" t="str">
        <f>'GB2'!P21</f>
        <v>Sofia</v>
      </c>
      <c r="X916" s="5">
        <f>'GB2'!Q21</f>
        <v>1500</v>
      </c>
      <c r="Y916" s="1"/>
      <c r="Z916" s="1"/>
      <c r="AA916" s="1"/>
    </row>
    <row r="917">
      <c r="A917" s="1"/>
      <c r="B917" s="14">
        <f t="shared" si="18"/>
        <v>18</v>
      </c>
      <c r="C917" s="22" t="str">
        <f t="shared" si="1"/>
        <v>enero</v>
      </c>
      <c r="D917" s="22">
        <f t="shared" si="2"/>
        <v>4</v>
      </c>
      <c r="E917" s="23" t="str">
        <f t="shared" si="3"/>
        <v>martes</v>
      </c>
      <c r="F917" s="22">
        <f t="shared" si="4"/>
        <v>20</v>
      </c>
      <c r="G917" s="22" t="str">
        <f>"COMPL-" &amp;'GB2'!$G$3</f>
        <v>COMPL-GB </v>
      </c>
      <c r="H917" s="3" t="str">
        <f>'GB2'!$A$3</f>
        <v>GASTRONOMIA EN BRASAS</v>
      </c>
      <c r="I917" s="24">
        <f>'GB2'!B22</f>
        <v>46042</v>
      </c>
      <c r="J917" s="2" t="str">
        <f>'GB2'!C22</f>
        <v>40641102,</v>
      </c>
      <c r="K917" s="2" t="str">
        <f>'GB2'!D22</f>
        <v>Edward Crispín paredes</v>
      </c>
      <c r="L917" s="2" t="str">
        <f>'GB2'!E22</f>
        <v>ecocrispinparedes@gmail.com</v>
      </c>
      <c r="M917" s="2" t="str">
        <f>'GB2'!F22</f>
        <v/>
      </c>
      <c r="N917" s="2" t="str">
        <f>'GB2'!G22</f>
        <v>958 989 904</v>
      </c>
      <c r="O917" s="5" t="str">
        <f>'GB2'!H22</f>
        <v/>
      </c>
      <c r="P917" s="5" t="str">
        <f>'GB2'!I22</f>
        <v>x</v>
      </c>
      <c r="Q917" s="5">
        <f>'GB2'!J22</f>
        <v>300</v>
      </c>
      <c r="R917" s="5">
        <f>'GB2'!K22</f>
        <v>1000</v>
      </c>
      <c r="S917" s="2" t="str">
        <f>'GB2'!L22</f>
        <v>COBR</v>
      </c>
      <c r="T917" s="2" t="str">
        <f>'GB2'!M22</f>
        <v>YAPE JL</v>
      </c>
      <c r="U917" s="34">
        <f>'GB2'!N22</f>
        <v>300</v>
      </c>
      <c r="V917" s="34" t="str">
        <f>'GB2'!O22</f>
        <v/>
      </c>
      <c r="W917" s="2" t="str">
        <f>'GB2'!P22</f>
        <v>Katherine</v>
      </c>
      <c r="X917" s="5">
        <f>'GB2'!Q22</f>
        <v>300</v>
      </c>
      <c r="Y917" s="1"/>
      <c r="Z917" s="1"/>
      <c r="AA917" s="1"/>
    </row>
    <row r="918">
      <c r="A918" s="1"/>
      <c r="B918" s="14">
        <f t="shared" si="18"/>
        <v>19</v>
      </c>
      <c r="C918" s="22" t="str">
        <f t="shared" si="1"/>
        <v>enero</v>
      </c>
      <c r="D918" s="22">
        <f t="shared" si="2"/>
        <v>4</v>
      </c>
      <c r="E918" s="23" t="str">
        <f t="shared" si="3"/>
        <v>miércoles</v>
      </c>
      <c r="F918" s="22">
        <f t="shared" si="4"/>
        <v>21</v>
      </c>
      <c r="G918" s="22" t="str">
        <f>"COMPL-" &amp;'GB2'!$G$3</f>
        <v>COMPL-GB </v>
      </c>
      <c r="H918" s="3" t="str">
        <f>'GB2'!$A$3</f>
        <v>GASTRONOMIA EN BRASAS</v>
      </c>
      <c r="I918" s="24">
        <f>'GB2'!B23</f>
        <v>46043</v>
      </c>
      <c r="J918" s="2">
        <f>'GB2'!C23</f>
        <v>40988719</v>
      </c>
      <c r="K918" s="2" t="str">
        <f>'GB2'!D23</f>
        <v>Milton Fuentes Guerrero </v>
      </c>
      <c r="L918" s="2" t="str">
        <f>'GB2'!E23</f>
        <v>sican.eirl.2025@gmail.com</v>
      </c>
      <c r="M918" s="2" t="str">
        <f>'GB2'!F23</f>
        <v>Callao</v>
      </c>
      <c r="N918" s="2" t="str">
        <f>'GB2'!G23</f>
        <v>999 507 967</v>
      </c>
      <c r="O918" s="5" t="str">
        <f>'GB2'!H23</f>
        <v/>
      </c>
      <c r="P918" s="5" t="str">
        <f>'GB2'!I23</f>
        <v>x</v>
      </c>
      <c r="Q918" s="5">
        <f>'GB2'!J23</f>
        <v>1300</v>
      </c>
      <c r="R918" s="5" t="str">
        <f>'GB2'!K23</f>
        <v/>
      </c>
      <c r="S918" s="2" t="str">
        <f>'GB2'!L23</f>
        <v>PAGO</v>
      </c>
      <c r="T918" s="2" t="str">
        <f>'GB2'!M23</f>
        <v>YAPE JL</v>
      </c>
      <c r="U918" s="34">
        <f>'GB2'!N23</f>
        <v>200</v>
      </c>
      <c r="V918" s="34">
        <f>'GB2'!O23</f>
        <v>1100</v>
      </c>
      <c r="W918" s="2" t="str">
        <f>'GB2'!P23</f>
        <v>Gabriela</v>
      </c>
      <c r="X918" s="5">
        <f>'GB2'!Q23</f>
        <v>1300</v>
      </c>
      <c r="Y918" s="1"/>
      <c r="Z918" s="1"/>
      <c r="AA918" s="1"/>
    </row>
    <row r="919">
      <c r="A919" s="1"/>
      <c r="B919" s="14">
        <f t="shared" si="18"/>
        <v>20</v>
      </c>
      <c r="C919" s="22" t="str">
        <f t="shared" si="1"/>
        <v>enero</v>
      </c>
      <c r="D919" s="22">
        <f t="shared" si="2"/>
        <v>4</v>
      </c>
      <c r="E919" s="23" t="str">
        <f t="shared" si="3"/>
        <v>viernes</v>
      </c>
      <c r="F919" s="22">
        <f t="shared" si="4"/>
        <v>23</v>
      </c>
      <c r="G919" s="22" t="str">
        <f>"COMPL-" &amp;'GB2'!$G$3</f>
        <v>COMPL-GB </v>
      </c>
      <c r="H919" s="3" t="str">
        <f>'GB2'!$A$3</f>
        <v>GASTRONOMIA EN BRASAS</v>
      </c>
      <c r="I919" s="24">
        <f>'GB2'!B24</f>
        <v>46045</v>
      </c>
      <c r="J919" s="2">
        <f>'GB2'!C24</f>
        <v>40780085</v>
      </c>
      <c r="K919" s="2" t="str">
        <f>'GB2'!D24</f>
        <v>eva bendezú gallegos </v>
      </c>
      <c r="L919" s="2" t="str">
        <f>'GB2'!E24</f>
        <v>jesusabendezu18@gmail.com</v>
      </c>
      <c r="M919" s="2" t="str">
        <f>'GB2'!F24</f>
        <v/>
      </c>
      <c r="N919" s="2" t="str">
        <f>'GB2'!G24</f>
        <v> 951 952 324</v>
      </c>
      <c r="O919" s="5" t="str">
        <f>'GB2'!H24</f>
        <v>x</v>
      </c>
      <c r="P919" s="5" t="str">
        <f>'GB2'!I24</f>
        <v/>
      </c>
      <c r="Q919" s="5">
        <f>'GB2'!J24</f>
        <v>1300</v>
      </c>
      <c r="R919" s="5" t="str">
        <f>'GB2'!K24</f>
        <v/>
      </c>
      <c r="S919" s="2" t="str">
        <f>'GB2'!L24</f>
        <v>PAGO</v>
      </c>
      <c r="T919" s="2" t="str">
        <f>'GB2'!M24</f>
        <v>BBVA JL</v>
      </c>
      <c r="U919" s="34">
        <f>'GB2'!N24</f>
        <v>200</v>
      </c>
      <c r="V919" s="34">
        <f>'GB2'!O24</f>
        <v>1100</v>
      </c>
      <c r="W919" s="2" t="str">
        <f>'GB2'!P24</f>
        <v>Gabriela</v>
      </c>
      <c r="X919" s="5">
        <f>'GB2'!Q24</f>
        <v>1300</v>
      </c>
      <c r="Y919" s="1"/>
      <c r="Z919" s="1"/>
      <c r="AA919" s="1"/>
    </row>
    <row r="920">
      <c r="A920" s="1"/>
      <c r="B920" s="14">
        <f t="shared" si="18"/>
        <v>21</v>
      </c>
      <c r="C920" s="22" t="str">
        <f t="shared" si="1"/>
        <v>enero</v>
      </c>
      <c r="D920" s="22">
        <f t="shared" si="2"/>
        <v>4</v>
      </c>
      <c r="E920" s="23" t="str">
        <f t="shared" si="3"/>
        <v>viernes</v>
      </c>
      <c r="F920" s="22">
        <f t="shared" si="4"/>
        <v>23</v>
      </c>
      <c r="G920" s="22" t="str">
        <f>"COMPL-" &amp;'GB2'!$G$3</f>
        <v>COMPL-GB </v>
      </c>
      <c r="H920" s="3" t="str">
        <f>'GB2'!$A$3</f>
        <v>GASTRONOMIA EN BRASAS</v>
      </c>
      <c r="I920" s="24">
        <f>'GB2'!B25</f>
        <v>46045</v>
      </c>
      <c r="J920" s="2">
        <f>'GB2'!C25</f>
        <v>25789881</v>
      </c>
      <c r="K920" s="2" t="str">
        <f>'GB2'!D25</f>
        <v>Alberto Gallegos Arias</v>
      </c>
      <c r="L920" s="2" t="str">
        <f>'GB2'!E25</f>
        <v>agallegos197681@gmail.com</v>
      </c>
      <c r="M920" s="2" t="str">
        <f>'GB2'!F25</f>
        <v/>
      </c>
      <c r="N920" s="2" t="str">
        <f>'GB2'!G25</f>
        <v>981 020 021</v>
      </c>
      <c r="O920" s="5" t="str">
        <f>'GB2'!H25</f>
        <v>X</v>
      </c>
      <c r="P920" s="5" t="str">
        <f>'GB2'!I25</f>
        <v/>
      </c>
      <c r="Q920" s="5">
        <f>'GB2'!J25</f>
        <v>800</v>
      </c>
      <c r="R920" s="5">
        <f>'GB2'!K25</f>
        <v>500</v>
      </c>
      <c r="S920" s="2" t="str">
        <f>'GB2'!L25</f>
        <v>COBR</v>
      </c>
      <c r="T920" s="2" t="str">
        <f>'GB2'!M25</f>
        <v>BCP EPP</v>
      </c>
      <c r="U920" s="34">
        <f>'GB2'!N25</f>
        <v>300</v>
      </c>
      <c r="V920" s="34">
        <f>'GB2'!O25</f>
        <v>500</v>
      </c>
      <c r="W920" s="2" t="str">
        <f>'GB2'!P25</f>
        <v>Yadhira</v>
      </c>
      <c r="X920" s="5">
        <f>'GB2'!Q25</f>
        <v>800</v>
      </c>
      <c r="Y920" s="1"/>
      <c r="Z920" s="1"/>
      <c r="AA920" s="1"/>
    </row>
    <row r="921">
      <c r="A921" s="1"/>
      <c r="B921" s="14">
        <f t="shared" si="18"/>
        <v>22</v>
      </c>
      <c r="C921" s="22" t="str">
        <f t="shared" si="1"/>
        <v>enero</v>
      </c>
      <c r="D921" s="22">
        <f t="shared" si="2"/>
        <v>4</v>
      </c>
      <c r="E921" s="23" t="str">
        <f t="shared" si="3"/>
        <v>sábado</v>
      </c>
      <c r="F921" s="22">
        <f t="shared" si="4"/>
        <v>24</v>
      </c>
      <c r="G921" s="22" t="str">
        <f>"COMPL-" &amp;'GB2'!$G$3</f>
        <v>COMPL-GB </v>
      </c>
      <c r="H921" s="3" t="str">
        <f>'GB2'!$A$3</f>
        <v>GASTRONOMIA EN BRASAS</v>
      </c>
      <c r="I921" s="31">
        <f>'GB2'!B26</f>
        <v>46046</v>
      </c>
      <c r="J921" s="2">
        <f>'GB2'!C26</f>
        <v>74730077</v>
      </c>
      <c r="K921" s="2" t="str">
        <f>'GB2'!D26</f>
        <v>mateo quispe solis</v>
      </c>
      <c r="L921" s="2" t="str">
        <f>'GB2'!E26</f>
        <v> math_leo.u@hotmail.com</v>
      </c>
      <c r="M921" s="2" t="str">
        <f>'GB2'!F26</f>
        <v>El agustino </v>
      </c>
      <c r="N921" s="2" t="str">
        <f>'GB2'!G26</f>
        <v/>
      </c>
      <c r="O921" s="5" t="str">
        <f>'GB2'!H26</f>
        <v/>
      </c>
      <c r="P921" s="5" t="str">
        <f>'GB2'!I26</f>
        <v/>
      </c>
      <c r="Q921" s="5" t="str">
        <f>'GB2'!J26</f>
        <v/>
      </c>
      <c r="R921" s="5" t="str">
        <f>'GB2'!K26</f>
        <v/>
      </c>
      <c r="S921" s="2" t="str">
        <f>'GB2'!L26</f>
        <v>COBR</v>
      </c>
      <c r="T921" s="2" t="str">
        <f>'GB2'!M26</f>
        <v/>
      </c>
      <c r="U921" s="34" t="str">
        <f>'GB2'!N26</f>
        <v/>
      </c>
      <c r="V921" s="34" t="str">
        <f>'GB2'!O26</f>
        <v/>
      </c>
      <c r="W921" s="2" t="str">
        <f>'GB2'!P26</f>
        <v>Gabriela</v>
      </c>
      <c r="X921" s="5">
        <f>'GB2'!Q26</f>
        <v>0</v>
      </c>
      <c r="Y921" s="1"/>
      <c r="Z921" s="1"/>
      <c r="AA921" s="1"/>
    </row>
    <row r="922">
      <c r="A922" s="1"/>
      <c r="B922" s="14">
        <f t="shared" si="18"/>
        <v>23</v>
      </c>
      <c r="C922" s="22" t="str">
        <f t="shared" si="1"/>
        <v>enero</v>
      </c>
      <c r="D922" s="22">
        <f t="shared" si="2"/>
        <v>4</v>
      </c>
      <c r="E922" s="23" t="str">
        <f t="shared" si="3"/>
        <v>sábado</v>
      </c>
      <c r="F922" s="22">
        <f t="shared" si="4"/>
        <v>24</v>
      </c>
      <c r="G922" s="22" t="str">
        <f>"COMPL-" &amp;'GB2'!$G$3</f>
        <v>COMPL-GB </v>
      </c>
      <c r="H922" s="3" t="str">
        <f>'GB2'!$A$3</f>
        <v>GASTRONOMIA EN BRASAS</v>
      </c>
      <c r="I922" s="24">
        <f>'GB2'!B27</f>
        <v>46046</v>
      </c>
      <c r="J922" s="2">
        <f>'GB2'!C27</f>
        <v>42161125</v>
      </c>
      <c r="K922" s="2" t="str">
        <f>'GB2'!D27</f>
        <v>Luis Alberto cavero alvites </v>
      </c>
      <c r="L922" s="2" t="str">
        <f>'GB2'!E27</f>
        <v>luisalbertocaveroalvites@gmail.com</v>
      </c>
      <c r="M922" s="2" t="str">
        <f>'GB2'!F27</f>
        <v>Villa El Salvador </v>
      </c>
      <c r="N922" s="2" t="str">
        <f>'GB2'!G27</f>
        <v>989 665 617</v>
      </c>
      <c r="O922" s="5" t="str">
        <f>'GB2'!H27</f>
        <v>x</v>
      </c>
      <c r="P922" s="5" t="str">
        <f>'GB2'!I27</f>
        <v/>
      </c>
      <c r="Q922" s="5">
        <f>'GB2'!J27</f>
        <v>1300</v>
      </c>
      <c r="R922" s="5" t="str">
        <f>'GB2'!K27</f>
        <v/>
      </c>
      <c r="S922" s="2" t="str">
        <f>'GB2'!L27</f>
        <v>PAGO</v>
      </c>
      <c r="T922" s="2" t="str">
        <f>'GB2'!M27</f>
        <v>PLIN JL</v>
      </c>
      <c r="U922" s="34">
        <f>'GB2'!N27</f>
        <v>1100</v>
      </c>
      <c r="V922" s="34">
        <f>'GB2'!O27</f>
        <v>200</v>
      </c>
      <c r="W922" s="2" t="str">
        <f>'GB2'!P27</f>
        <v>Gabriela</v>
      </c>
      <c r="X922" s="5">
        <f>'GB2'!Q27</f>
        <v>1300</v>
      </c>
      <c r="Y922" s="1"/>
      <c r="Z922" s="1"/>
      <c r="AA922" s="1"/>
    </row>
    <row r="923">
      <c r="A923" s="1"/>
      <c r="B923" s="14">
        <f t="shared" si="18"/>
        <v>24</v>
      </c>
      <c r="C923" s="22" t="str">
        <f t="shared" si="1"/>
        <v>diciembre</v>
      </c>
      <c r="D923" s="22">
        <f t="shared" si="2"/>
        <v>52</v>
      </c>
      <c r="E923" s="23" t="str">
        <f t="shared" si="3"/>
        <v>sábado</v>
      </c>
      <c r="F923" s="22">
        <f t="shared" si="4"/>
        <v>30</v>
      </c>
      <c r="G923" s="22" t="str">
        <f>"COMPL-" &amp;'GB2'!$G$3</f>
        <v>COMPL-GB </v>
      </c>
      <c r="H923" s="3" t="str">
        <f>'GB2'!$A$3</f>
        <v>GASTRONOMIA EN BRASAS</v>
      </c>
      <c r="I923" s="24" t="str">
        <f>'GB2'!B28</f>
        <v/>
      </c>
      <c r="J923" s="2" t="str">
        <f>'GB2'!C28</f>
        <v/>
      </c>
      <c r="K923" s="2" t="str">
        <f>'GB2'!D28</f>
        <v/>
      </c>
      <c r="L923" s="2" t="str">
        <f>'GB2'!E28</f>
        <v/>
      </c>
      <c r="M923" s="2" t="str">
        <f>'GB2'!F28</f>
        <v/>
      </c>
      <c r="N923" s="2" t="str">
        <f>'GB2'!G28</f>
        <v/>
      </c>
      <c r="O923" s="5" t="str">
        <f>'GB2'!H28</f>
        <v/>
      </c>
      <c r="P923" s="5" t="str">
        <f>'GB2'!I28</f>
        <v/>
      </c>
      <c r="Q923" s="5" t="str">
        <f>'GB2'!J28</f>
        <v/>
      </c>
      <c r="R923" s="5" t="str">
        <f>'GB2'!K28</f>
        <v/>
      </c>
      <c r="S923" s="2" t="str">
        <f>'GB2'!L28</f>
        <v/>
      </c>
      <c r="T923" s="2" t="str">
        <f>'GB2'!M28</f>
        <v/>
      </c>
      <c r="U923" s="34" t="str">
        <f>'GB2'!N28</f>
        <v/>
      </c>
      <c r="V923" s="34" t="str">
        <f>'GB2'!O28</f>
        <v/>
      </c>
      <c r="W923" s="2" t="str">
        <f>'GB2'!P28</f>
        <v/>
      </c>
      <c r="X923" s="5">
        <f>'GB2'!Q28</f>
        <v>0</v>
      </c>
      <c r="Y923" s="1"/>
      <c r="Z923" s="1"/>
      <c r="AA923" s="1"/>
    </row>
    <row r="924">
      <c r="A924" s="1"/>
      <c r="B924" s="14">
        <f t="shared" si="18"/>
        <v>25</v>
      </c>
      <c r="C924" s="22" t="str">
        <f t="shared" si="1"/>
        <v>diciembre</v>
      </c>
      <c r="D924" s="22">
        <f t="shared" si="2"/>
        <v>52</v>
      </c>
      <c r="E924" s="23" t="str">
        <f t="shared" si="3"/>
        <v>sábado</v>
      </c>
      <c r="F924" s="22">
        <f t="shared" si="4"/>
        <v>30</v>
      </c>
      <c r="G924" s="22" t="str">
        <f>"COMPL-" &amp;'GB2'!$G$3</f>
        <v>COMPL-GB </v>
      </c>
      <c r="H924" s="3" t="str">
        <f>'GB2'!$A$3</f>
        <v>GASTRONOMIA EN BRASAS</v>
      </c>
      <c r="I924" s="24" t="str">
        <f>'GB2'!B29</f>
        <v/>
      </c>
      <c r="J924" s="2" t="str">
        <f>'GB2'!C29</f>
        <v/>
      </c>
      <c r="K924" s="2" t="str">
        <f>'GB2'!D29</f>
        <v/>
      </c>
      <c r="L924" s="2" t="str">
        <f>'GB2'!E29</f>
        <v/>
      </c>
      <c r="M924" s="2" t="str">
        <f>'GB2'!F29</f>
        <v/>
      </c>
      <c r="N924" s="2" t="str">
        <f>'GB2'!G29</f>
        <v/>
      </c>
      <c r="O924" s="5" t="str">
        <f>'GB2'!H29</f>
        <v/>
      </c>
      <c r="P924" s="5" t="str">
        <f>'GB2'!I29</f>
        <v/>
      </c>
      <c r="Q924" s="5" t="str">
        <f>'GB2'!J29</f>
        <v/>
      </c>
      <c r="R924" s="5" t="str">
        <f>'GB2'!K29</f>
        <v/>
      </c>
      <c r="S924" s="2" t="str">
        <f>'GB2'!L29</f>
        <v/>
      </c>
      <c r="T924" s="2" t="str">
        <f>'GB2'!M29</f>
        <v/>
      </c>
      <c r="U924" s="34" t="str">
        <f>'GB2'!N29</f>
        <v/>
      </c>
      <c r="V924" s="34" t="str">
        <f>'GB2'!O29</f>
        <v/>
      </c>
      <c r="W924" s="2" t="str">
        <f>'GB2'!P29</f>
        <v/>
      </c>
      <c r="X924" s="5">
        <f>'GB2'!Q29</f>
        <v>0</v>
      </c>
      <c r="Y924" s="1"/>
      <c r="Z924" s="1"/>
      <c r="AA924" s="1"/>
    </row>
    <row r="925">
      <c r="A925" s="1"/>
      <c r="B925" s="14">
        <f t="shared" si="18"/>
        <v>26</v>
      </c>
      <c r="C925" s="22" t="str">
        <f t="shared" si="1"/>
        <v>diciembre</v>
      </c>
      <c r="D925" s="22">
        <f t="shared" si="2"/>
        <v>52</v>
      </c>
      <c r="E925" s="23" t="str">
        <f t="shared" si="3"/>
        <v>sábado</v>
      </c>
      <c r="F925" s="22">
        <f t="shared" si="4"/>
        <v>30</v>
      </c>
      <c r="G925" s="22" t="str">
        <f>"COMPL-" &amp;'GB2'!$G$3</f>
        <v>COMPL-GB </v>
      </c>
      <c r="H925" s="3" t="str">
        <f>'GB2'!$A$3</f>
        <v>GASTRONOMIA EN BRASAS</v>
      </c>
      <c r="I925" s="24" t="str">
        <f>'GB2'!B30</f>
        <v/>
      </c>
      <c r="J925" s="2" t="str">
        <f>'GB2'!C30</f>
        <v/>
      </c>
      <c r="K925" s="2" t="str">
        <f>'GB2'!D30</f>
        <v/>
      </c>
      <c r="L925" s="2" t="str">
        <f>'GB2'!E30</f>
        <v/>
      </c>
      <c r="M925" s="2" t="str">
        <f>'GB2'!F30</f>
        <v/>
      </c>
      <c r="N925" s="2" t="str">
        <f>'GB2'!G30</f>
        <v/>
      </c>
      <c r="O925" s="5" t="str">
        <f>'GB2'!H30</f>
        <v/>
      </c>
      <c r="P925" s="5" t="str">
        <f>'GB2'!I30</f>
        <v/>
      </c>
      <c r="Q925" s="5" t="str">
        <f>'GB2'!J30</f>
        <v/>
      </c>
      <c r="R925" s="5" t="str">
        <f>'GB2'!K30</f>
        <v/>
      </c>
      <c r="S925" s="2" t="str">
        <f>'GB2'!L30</f>
        <v/>
      </c>
      <c r="T925" s="2" t="str">
        <f>'GB2'!M30</f>
        <v/>
      </c>
      <c r="U925" s="34" t="str">
        <f>'GB2'!N30</f>
        <v/>
      </c>
      <c r="V925" s="34" t="str">
        <f>'GB2'!O30</f>
        <v/>
      </c>
      <c r="W925" s="2" t="str">
        <f>'GB2'!P30</f>
        <v/>
      </c>
      <c r="X925" s="5">
        <f>'GB2'!Q30</f>
        <v>0</v>
      </c>
      <c r="Y925" s="1"/>
      <c r="Z925" s="1"/>
      <c r="AA925" s="1"/>
    </row>
    <row r="926">
      <c r="A926" s="1"/>
      <c r="B926" s="14">
        <f t="shared" si="18"/>
        <v>27</v>
      </c>
      <c r="C926" s="22" t="str">
        <f t="shared" si="1"/>
        <v>diciembre</v>
      </c>
      <c r="D926" s="22">
        <f t="shared" si="2"/>
        <v>52</v>
      </c>
      <c r="E926" s="23" t="str">
        <f t="shared" si="3"/>
        <v>sábado</v>
      </c>
      <c r="F926" s="22">
        <f t="shared" si="4"/>
        <v>30</v>
      </c>
      <c r="G926" s="22" t="str">
        <f>"COMPL-" &amp;'GB2'!$G$3</f>
        <v>COMPL-GB </v>
      </c>
      <c r="H926" s="3" t="str">
        <f>'GB2'!$A$3</f>
        <v>GASTRONOMIA EN BRASAS</v>
      </c>
      <c r="I926" s="24" t="str">
        <f>'GB2'!B31</f>
        <v/>
      </c>
      <c r="J926" s="2" t="str">
        <f>'GB2'!C31</f>
        <v/>
      </c>
      <c r="K926" s="2" t="str">
        <f>'GB2'!D31</f>
        <v/>
      </c>
      <c r="L926" s="2" t="str">
        <f>'GB2'!E31</f>
        <v/>
      </c>
      <c r="M926" s="2" t="str">
        <f>'GB2'!F31</f>
        <v/>
      </c>
      <c r="N926" s="2" t="str">
        <f>'GB2'!G31</f>
        <v/>
      </c>
      <c r="O926" s="5" t="str">
        <f>'GB2'!H31</f>
        <v/>
      </c>
      <c r="P926" s="5" t="str">
        <f>'GB2'!I31</f>
        <v/>
      </c>
      <c r="Q926" s="5" t="str">
        <f>'GB2'!J31</f>
        <v/>
      </c>
      <c r="R926" s="5" t="str">
        <f>'GB2'!K31</f>
        <v/>
      </c>
      <c r="S926" s="2" t="str">
        <f>'GB2'!L31</f>
        <v/>
      </c>
      <c r="T926" s="2" t="str">
        <f>'GB2'!M31</f>
        <v/>
      </c>
      <c r="U926" s="34" t="str">
        <f>'GB2'!N31</f>
        <v/>
      </c>
      <c r="V926" s="34" t="str">
        <f>'GB2'!O31</f>
        <v/>
      </c>
      <c r="W926" s="2" t="str">
        <f>'GB2'!P31</f>
        <v/>
      </c>
      <c r="X926" s="5">
        <f>'GB2'!Q31</f>
        <v>0</v>
      </c>
      <c r="Y926" s="1"/>
      <c r="Z926" s="1"/>
      <c r="AA926" s="1"/>
    </row>
    <row r="927">
      <c r="A927" s="1"/>
      <c r="B927" s="14">
        <f t="shared" si="18"/>
        <v>28</v>
      </c>
      <c r="C927" s="22" t="str">
        <f t="shared" si="1"/>
        <v>diciembre</v>
      </c>
      <c r="D927" s="22">
        <f t="shared" si="2"/>
        <v>52</v>
      </c>
      <c r="E927" s="23" t="str">
        <f t="shared" si="3"/>
        <v>sábado</v>
      </c>
      <c r="F927" s="22">
        <f t="shared" si="4"/>
        <v>30</v>
      </c>
      <c r="G927" s="22" t="str">
        <f>"COMPL-" &amp;'GB2'!$G$3</f>
        <v>COMPL-GB </v>
      </c>
      <c r="H927" s="3" t="str">
        <f>'GB2'!$A$3</f>
        <v>GASTRONOMIA EN BRASAS</v>
      </c>
      <c r="I927" s="24" t="str">
        <f>'GB2'!B32</f>
        <v/>
      </c>
      <c r="J927" s="2" t="str">
        <f>'GB2'!C32</f>
        <v/>
      </c>
      <c r="K927" s="2" t="str">
        <f>'GB2'!D32</f>
        <v/>
      </c>
      <c r="L927" s="2" t="str">
        <f>'GB2'!E32</f>
        <v/>
      </c>
      <c r="M927" s="2" t="str">
        <f>'GB2'!F32</f>
        <v/>
      </c>
      <c r="N927" s="2" t="str">
        <f>'GB2'!G32</f>
        <v/>
      </c>
      <c r="O927" s="5" t="str">
        <f>'GB2'!H32</f>
        <v/>
      </c>
      <c r="P927" s="5" t="str">
        <f>'GB2'!I32</f>
        <v/>
      </c>
      <c r="Q927" s="5" t="str">
        <f>'GB2'!J32</f>
        <v/>
      </c>
      <c r="R927" s="5" t="str">
        <f>'GB2'!K32</f>
        <v/>
      </c>
      <c r="S927" s="2" t="str">
        <f>'GB2'!L32</f>
        <v/>
      </c>
      <c r="T927" s="2" t="str">
        <f>'GB2'!M32</f>
        <v/>
      </c>
      <c r="U927" s="34" t="str">
        <f>'GB2'!N32</f>
        <v/>
      </c>
      <c r="V927" s="34" t="str">
        <f>'GB2'!O32</f>
        <v/>
      </c>
      <c r="W927" s="2" t="str">
        <f>'GB2'!P32</f>
        <v/>
      </c>
      <c r="X927" s="5">
        <f>'GB2'!Q32</f>
        <v>0</v>
      </c>
      <c r="Y927" s="1"/>
      <c r="Z927" s="1"/>
      <c r="AA927" s="1"/>
    </row>
    <row r="928">
      <c r="A928" s="1"/>
      <c r="B928" s="14">
        <f t="shared" si="18"/>
        <v>29</v>
      </c>
      <c r="C928" s="22" t="str">
        <f t="shared" si="1"/>
        <v>diciembre</v>
      </c>
      <c r="D928" s="22">
        <f t="shared" si="2"/>
        <v>52</v>
      </c>
      <c r="E928" s="23" t="str">
        <f t="shared" si="3"/>
        <v>sábado</v>
      </c>
      <c r="F928" s="22">
        <f t="shared" si="4"/>
        <v>30</v>
      </c>
      <c r="G928" s="22" t="str">
        <f>"COMPL-" &amp;'GB2'!$G$3</f>
        <v>COMPL-GB </v>
      </c>
      <c r="H928" s="3" t="str">
        <f>'GB2'!$A$3</f>
        <v>GASTRONOMIA EN BRASAS</v>
      </c>
      <c r="I928" s="24" t="str">
        <f>'GB2'!B33</f>
        <v/>
      </c>
      <c r="J928" s="2" t="str">
        <f>'GB2'!C33</f>
        <v/>
      </c>
      <c r="K928" s="2" t="str">
        <f>'GB2'!D33</f>
        <v/>
      </c>
      <c r="L928" s="2" t="str">
        <f>'GB2'!E33</f>
        <v/>
      </c>
      <c r="M928" s="2" t="str">
        <f>'GB2'!F33</f>
        <v/>
      </c>
      <c r="N928" s="2" t="str">
        <f>'GB2'!G33</f>
        <v/>
      </c>
      <c r="O928" s="5" t="str">
        <f>'GB2'!H33</f>
        <v/>
      </c>
      <c r="P928" s="5" t="str">
        <f>'GB2'!I33</f>
        <v/>
      </c>
      <c r="Q928" s="5" t="str">
        <f>'GB2'!J33</f>
        <v/>
      </c>
      <c r="R928" s="5" t="str">
        <f>'GB2'!K33</f>
        <v/>
      </c>
      <c r="S928" s="2" t="str">
        <f>'GB2'!L33</f>
        <v/>
      </c>
      <c r="T928" s="2" t="str">
        <f>'GB2'!M33</f>
        <v/>
      </c>
      <c r="U928" s="34" t="str">
        <f>'GB2'!N33</f>
        <v/>
      </c>
      <c r="V928" s="34" t="str">
        <f>'GB2'!O33</f>
        <v/>
      </c>
      <c r="W928" s="2" t="str">
        <f>'GB2'!P33</f>
        <v/>
      </c>
      <c r="X928" s="5">
        <f>'GB2'!Q33</f>
        <v>0</v>
      </c>
      <c r="Y928" s="1"/>
      <c r="Z928" s="1"/>
      <c r="AA928" s="1"/>
    </row>
    <row r="929">
      <c r="A929" s="1"/>
      <c r="B929" s="14">
        <f t="shared" si="18"/>
        <v>30</v>
      </c>
      <c r="C929" s="22" t="str">
        <f t="shared" si="1"/>
        <v>diciembre</v>
      </c>
      <c r="D929" s="22">
        <f t="shared" si="2"/>
        <v>52</v>
      </c>
      <c r="E929" s="23" t="str">
        <f t="shared" si="3"/>
        <v>sábado</v>
      </c>
      <c r="F929" s="22">
        <f t="shared" si="4"/>
        <v>30</v>
      </c>
      <c r="G929" s="22" t="str">
        <f>"COMPL-" &amp;'GB2'!$G$3</f>
        <v>COMPL-GB </v>
      </c>
      <c r="H929" s="3" t="str">
        <f>'GB2'!$A$3</f>
        <v>GASTRONOMIA EN BRASAS</v>
      </c>
      <c r="I929" s="24" t="str">
        <f>'GB2'!B34</f>
        <v/>
      </c>
      <c r="J929" s="2" t="str">
        <f>'GB2'!C34</f>
        <v/>
      </c>
      <c r="K929" s="2" t="str">
        <f>'GB2'!D34</f>
        <v/>
      </c>
      <c r="L929" s="2" t="str">
        <f>'GB2'!E34</f>
        <v/>
      </c>
      <c r="M929" s="2" t="str">
        <f>'GB2'!F34</f>
        <v/>
      </c>
      <c r="N929" s="2" t="str">
        <f>'GB2'!G34</f>
        <v/>
      </c>
      <c r="O929" s="2" t="str">
        <f>'GB2'!H34</f>
        <v/>
      </c>
      <c r="P929" s="2" t="str">
        <f>'GB2'!I34</f>
        <v/>
      </c>
      <c r="Q929" s="2" t="str">
        <f>'GB2'!J34</f>
        <v/>
      </c>
      <c r="R929" s="2" t="str">
        <f>'GB2'!K34</f>
        <v/>
      </c>
      <c r="S929" s="2" t="str">
        <f>'GB2'!L34</f>
        <v/>
      </c>
      <c r="T929" s="2" t="str">
        <f>'GB2'!M34</f>
        <v/>
      </c>
      <c r="U929" s="2" t="str">
        <f>'GB2'!N34</f>
        <v/>
      </c>
      <c r="V929" s="2" t="str">
        <f>'GB2'!O34</f>
        <v/>
      </c>
      <c r="W929" s="2" t="str">
        <f>'GB2'!P34</f>
        <v/>
      </c>
      <c r="X929" s="5">
        <f>'GB2'!Q34</f>
        <v>0</v>
      </c>
      <c r="Y929" s="1"/>
      <c r="Z929" s="1"/>
      <c r="AA929" s="1"/>
    </row>
    <row r="930">
      <c r="A930" s="1"/>
      <c r="B930" s="14">
        <v>1.0</v>
      </c>
      <c r="C930" s="22" t="str">
        <f t="shared" si="1"/>
        <v>enero</v>
      </c>
      <c r="D930" s="22">
        <f t="shared" si="2"/>
        <v>2</v>
      </c>
      <c r="E930" s="23" t="str">
        <f t="shared" si="3"/>
        <v>domingo</v>
      </c>
      <c r="F930" s="22">
        <f t="shared" si="4"/>
        <v>4</v>
      </c>
      <c r="G930" s="22" t="str">
        <f>"COMPL-" &amp;'GB3'!$G$3</f>
        <v>COMPL-GB </v>
      </c>
      <c r="H930" s="3" t="str">
        <f>'GB3'!$A$3</f>
        <v>GASTRONOMIA EN BRASAS</v>
      </c>
      <c r="I930" s="24">
        <f>'GB3'!B5</f>
        <v>46026</v>
      </c>
      <c r="J930" s="2" t="str">
        <f>'GB3'!C5</f>
        <v/>
      </c>
      <c r="K930" s="2" t="str">
        <f>'GB3'!D5</f>
        <v>Rafael Torres - GB15</v>
      </c>
      <c r="L930" s="2" t="str">
        <f>'GB3'!E5</f>
        <v/>
      </c>
      <c r="M930" s="2" t="str">
        <f>'GB3'!F5</f>
        <v/>
      </c>
      <c r="N930" s="2" t="str">
        <f>'GB3'!G5</f>
        <v/>
      </c>
      <c r="O930" s="2" t="str">
        <f>'GB3'!H5</f>
        <v/>
      </c>
      <c r="P930" s="2" t="str">
        <f>'GB3'!I5</f>
        <v/>
      </c>
      <c r="Q930" s="2">
        <f>'GB3'!J5</f>
        <v>200</v>
      </c>
      <c r="R930" s="2" t="str">
        <f>'GB3'!K5</f>
        <v/>
      </c>
      <c r="S930" s="2" t="str">
        <f>'GB3'!L5</f>
        <v>PAGO</v>
      </c>
      <c r="T930" s="2" t="str">
        <f>'GB3'!M5</f>
        <v/>
      </c>
      <c r="U930" s="2">
        <f>'GB3'!N5</f>
        <v>200</v>
      </c>
      <c r="V930" s="2" t="str">
        <f>'GB3'!O5</f>
        <v/>
      </c>
      <c r="W930" s="2" t="str">
        <f>'GB3'!P5</f>
        <v>Gabriela</v>
      </c>
      <c r="X930" s="5">
        <f>'GB3'!Q5</f>
        <v>200</v>
      </c>
      <c r="Y930" s="1"/>
      <c r="Z930" s="1"/>
      <c r="AA930" s="1"/>
    </row>
    <row r="931">
      <c r="A931" s="1"/>
      <c r="B931" s="14">
        <f t="shared" ref="B931:B959" si="19">B930+1</f>
        <v>2</v>
      </c>
      <c r="C931" s="22" t="str">
        <f t="shared" si="1"/>
        <v>enero</v>
      </c>
      <c r="D931" s="22">
        <f t="shared" si="2"/>
        <v>2</v>
      </c>
      <c r="E931" s="23" t="str">
        <f t="shared" si="3"/>
        <v>viernes</v>
      </c>
      <c r="F931" s="22">
        <f t="shared" si="4"/>
        <v>9</v>
      </c>
      <c r="G931" s="22" t="str">
        <f>"COMPL-" &amp;'GB3'!$G$3</f>
        <v>COMPL-GB </v>
      </c>
      <c r="H931" s="3" t="str">
        <f>'GB3'!$A$3</f>
        <v>GASTRONOMIA EN BRASAS</v>
      </c>
      <c r="I931" s="24">
        <f>'GB3'!B6</f>
        <v>46031</v>
      </c>
      <c r="J931" s="2" t="str">
        <f>'GB3'!C6</f>
        <v/>
      </c>
      <c r="K931" s="2" t="str">
        <f>'GB3'!D6</f>
        <v>Renato Jurado Vilchez- GB16</v>
      </c>
      <c r="L931" s="2" t="str">
        <f>'GB3'!E6</f>
        <v/>
      </c>
      <c r="M931" s="2" t="str">
        <f>'GB3'!F6</f>
        <v/>
      </c>
      <c r="N931" s="2" t="str">
        <f>'GB3'!G6</f>
        <v/>
      </c>
      <c r="O931" s="5" t="str">
        <f>'GB3'!H6</f>
        <v/>
      </c>
      <c r="P931" s="5" t="str">
        <f>'GB3'!I6</f>
        <v/>
      </c>
      <c r="Q931" s="5">
        <f>'GB3'!J6</f>
        <v>400</v>
      </c>
      <c r="R931" s="5" t="str">
        <f>'GB3'!K6</f>
        <v/>
      </c>
      <c r="S931" s="2" t="str">
        <f>'GB3'!L6</f>
        <v>PAGO</v>
      </c>
      <c r="T931" s="2" t="str">
        <f>'GB3'!M6</f>
        <v>EFECTIVO</v>
      </c>
      <c r="U931" s="34">
        <f>'GB3'!N6</f>
        <v>400</v>
      </c>
      <c r="V931" s="34" t="str">
        <f>'GB3'!O6</f>
        <v/>
      </c>
      <c r="W931" s="2" t="str">
        <f>'GB3'!P6</f>
        <v>Gabriela</v>
      </c>
      <c r="X931" s="5">
        <f>'GB3'!Q6</f>
        <v>400</v>
      </c>
      <c r="Y931" s="1"/>
      <c r="Z931" s="1"/>
      <c r="AA931" s="1"/>
    </row>
    <row r="932">
      <c r="A932" s="1"/>
      <c r="B932" s="14">
        <f t="shared" si="19"/>
        <v>3</v>
      </c>
      <c r="C932" s="22" t="str">
        <f t="shared" si="1"/>
        <v>enero</v>
      </c>
      <c r="D932" s="22">
        <f t="shared" si="2"/>
        <v>2</v>
      </c>
      <c r="E932" s="23" t="str">
        <f t="shared" si="3"/>
        <v>martes</v>
      </c>
      <c r="F932" s="22">
        <f t="shared" si="4"/>
        <v>6</v>
      </c>
      <c r="G932" s="22" t="str">
        <f>"COMPL-" &amp;'GB3'!$G$3</f>
        <v>COMPL-GB </v>
      </c>
      <c r="H932" s="3" t="str">
        <f>'GB3'!$A$3</f>
        <v>GASTRONOMIA EN BRASAS</v>
      </c>
      <c r="I932" s="24">
        <f>'GB3'!B7</f>
        <v>46028</v>
      </c>
      <c r="J932" s="2" t="str">
        <f>'GB3'!C7</f>
        <v/>
      </c>
      <c r="K932" s="2" t="str">
        <f>'GB3'!D7</f>
        <v>Antonio martin hidalgo alencar GB-20</v>
      </c>
      <c r="L932" s="2" t="str">
        <f>'GB3'!E7</f>
        <v/>
      </c>
      <c r="M932" s="2" t="str">
        <f>'GB3'!F7</f>
        <v/>
      </c>
      <c r="N932" s="2" t="str">
        <f>'GB3'!G7</f>
        <v/>
      </c>
      <c r="O932" s="5" t="str">
        <f>'GB3'!H7</f>
        <v/>
      </c>
      <c r="P932" s="5" t="str">
        <f>'GB3'!I7</f>
        <v/>
      </c>
      <c r="Q932" s="5">
        <f>'GB3'!J7</f>
        <v>500</v>
      </c>
      <c r="R932" s="5" t="str">
        <f>'GB3'!K7</f>
        <v/>
      </c>
      <c r="S932" s="2" t="str">
        <f>'GB3'!L7</f>
        <v>PAGO</v>
      </c>
      <c r="T932" s="2" t="str">
        <f>'GB3'!M7</f>
        <v>EFECTIVO</v>
      </c>
      <c r="U932" s="34">
        <f>'GB3'!N7</f>
        <v>500</v>
      </c>
      <c r="V932" s="34" t="str">
        <f>'GB3'!O7</f>
        <v/>
      </c>
      <c r="W932" s="2" t="str">
        <f>'GB3'!P7</f>
        <v>Gabriela</v>
      </c>
      <c r="X932" s="5">
        <f>'GB3'!Q7</f>
        <v>500</v>
      </c>
      <c r="Y932" s="1"/>
      <c r="Z932" s="1"/>
      <c r="AA932" s="1"/>
    </row>
    <row r="933">
      <c r="A933" s="1"/>
      <c r="B933" s="14">
        <f t="shared" si="19"/>
        <v>4</v>
      </c>
      <c r="C933" s="22" t="str">
        <f t="shared" si="1"/>
        <v>enero</v>
      </c>
      <c r="D933" s="22">
        <f t="shared" si="2"/>
        <v>2</v>
      </c>
      <c r="E933" s="23" t="str">
        <f t="shared" si="3"/>
        <v>jueves</v>
      </c>
      <c r="F933" s="22">
        <f t="shared" si="4"/>
        <v>8</v>
      </c>
      <c r="G933" s="22" t="str">
        <f>"COMPL-" &amp;'GB3'!$G$3</f>
        <v>COMPL-GB </v>
      </c>
      <c r="H933" s="3" t="str">
        <f>'GB3'!$A$3</f>
        <v>GASTRONOMIA EN BRASAS</v>
      </c>
      <c r="I933" s="24">
        <f>'GB3'!B8</f>
        <v>46030</v>
      </c>
      <c r="J933" s="2" t="str">
        <f>'GB3'!C8</f>
        <v/>
      </c>
      <c r="K933" s="2" t="str">
        <f>'GB3'!D8</f>
        <v>Rolando, Cristobal Alarcon GB-20</v>
      </c>
      <c r="L933" s="2" t="str">
        <f>'GB3'!E8</f>
        <v/>
      </c>
      <c r="M933" s="2" t="str">
        <f>'GB3'!F8</f>
        <v/>
      </c>
      <c r="N933" s="2" t="str">
        <f>'GB3'!G8</f>
        <v/>
      </c>
      <c r="O933" s="5" t="str">
        <f>'GB3'!H8</f>
        <v/>
      </c>
      <c r="P933" s="5" t="str">
        <f>'GB3'!I8</f>
        <v/>
      </c>
      <c r="Q933" s="5">
        <f>'GB3'!J8</f>
        <v>500</v>
      </c>
      <c r="R933" s="5" t="str">
        <f>'GB3'!K8</f>
        <v/>
      </c>
      <c r="S933" s="2" t="str">
        <f>'GB3'!L8</f>
        <v>PAGO</v>
      </c>
      <c r="T933" s="2" t="str">
        <f>'GB3'!M8</f>
        <v/>
      </c>
      <c r="U933" s="34">
        <f>'GB3'!N8</f>
        <v>500</v>
      </c>
      <c r="V933" s="34" t="str">
        <f>'GB3'!O8</f>
        <v/>
      </c>
      <c r="W933" s="2" t="str">
        <f>'GB3'!P8</f>
        <v>Gabriela</v>
      </c>
      <c r="X933" s="5">
        <f>'GB3'!Q8</f>
        <v>500</v>
      </c>
      <c r="Y933" s="1"/>
      <c r="Z933" s="1"/>
      <c r="AA933" s="1"/>
    </row>
    <row r="934">
      <c r="A934" s="1"/>
      <c r="B934" s="14">
        <f t="shared" si="19"/>
        <v>5</v>
      </c>
      <c r="C934" s="22" t="str">
        <f t="shared" si="1"/>
        <v>diciembre</v>
      </c>
      <c r="D934" s="22">
        <f t="shared" si="2"/>
        <v>52</v>
      </c>
      <c r="E934" s="23" t="str">
        <f t="shared" si="3"/>
        <v>sábado</v>
      </c>
      <c r="F934" s="22">
        <f t="shared" si="4"/>
        <v>30</v>
      </c>
      <c r="G934" s="22" t="str">
        <f>"COMPL-" &amp;'GB3'!$G$3</f>
        <v>COMPL-GB </v>
      </c>
      <c r="H934" s="3" t="str">
        <f>'GB3'!$A$3</f>
        <v>GASTRONOMIA EN BRASAS</v>
      </c>
      <c r="I934" s="24" t="str">
        <f>'GB3'!B9</f>
        <v/>
      </c>
      <c r="J934" s="2" t="str">
        <f>'GB3'!C9</f>
        <v/>
      </c>
      <c r="K934" s="2" t="str">
        <f>'GB3'!D9</f>
        <v>Denis Walter roman cataño GB-19</v>
      </c>
      <c r="L934" s="2" t="str">
        <f>'GB3'!E9</f>
        <v>Dejo el curso</v>
      </c>
      <c r="M934" s="2" t="str">
        <f>'GB3'!F9</f>
        <v/>
      </c>
      <c r="N934" s="2" t="str">
        <f>'GB3'!G9</f>
        <v/>
      </c>
      <c r="O934" s="5" t="str">
        <f>'GB3'!H9</f>
        <v/>
      </c>
      <c r="P934" s="5" t="str">
        <f>'GB3'!I9</f>
        <v/>
      </c>
      <c r="Q934" s="5" t="str">
        <f>'GB3'!J9</f>
        <v/>
      </c>
      <c r="R934" s="5">
        <f>'GB3'!K9</f>
        <v>500</v>
      </c>
      <c r="S934" s="2" t="str">
        <f>'GB3'!L9</f>
        <v>COBR</v>
      </c>
      <c r="T934" s="2" t="str">
        <f>'GB3'!M9</f>
        <v/>
      </c>
      <c r="U934" s="34">
        <f>'GB3'!N9</f>
        <v>0</v>
      </c>
      <c r="V934" s="34" t="str">
        <f>'GB3'!O9</f>
        <v/>
      </c>
      <c r="W934" s="2" t="str">
        <f>'GB3'!P9</f>
        <v>Gabriela</v>
      </c>
      <c r="X934" s="5">
        <f>'GB3'!Q9</f>
        <v>0</v>
      </c>
      <c r="Y934" s="1"/>
      <c r="Z934" s="1"/>
      <c r="AA934" s="1"/>
    </row>
    <row r="935">
      <c r="A935" s="1"/>
      <c r="B935" s="14">
        <f t="shared" si="19"/>
        <v>6</v>
      </c>
      <c r="C935" s="22" t="str">
        <f t="shared" si="1"/>
        <v>enero</v>
      </c>
      <c r="D935" s="22">
        <f t="shared" si="2"/>
        <v>3</v>
      </c>
      <c r="E935" s="23" t="str">
        <f t="shared" si="3"/>
        <v>martes</v>
      </c>
      <c r="F935" s="22">
        <f t="shared" si="4"/>
        <v>13</v>
      </c>
      <c r="G935" s="22" t="str">
        <f>"COMPL-" &amp;'GB3'!$G$3</f>
        <v>COMPL-GB </v>
      </c>
      <c r="H935" s="3" t="str">
        <f>'GB3'!$A$3</f>
        <v>GASTRONOMIA EN BRASAS</v>
      </c>
      <c r="I935" s="24">
        <f>'GB3'!B10</f>
        <v>46035</v>
      </c>
      <c r="J935" s="2" t="str">
        <f>'GB3'!C10</f>
        <v/>
      </c>
      <c r="K935" s="2" t="str">
        <f>'GB3'!D10</f>
        <v>Juan manuel gallardo Escalante GB-20</v>
      </c>
      <c r="L935" s="2" t="str">
        <f>'GB3'!E10</f>
        <v/>
      </c>
      <c r="M935" s="2" t="str">
        <f>'GB3'!F10</f>
        <v/>
      </c>
      <c r="N935" s="2" t="str">
        <f>'GB3'!G10</f>
        <v/>
      </c>
      <c r="O935" s="5" t="str">
        <f>'GB3'!H10</f>
        <v/>
      </c>
      <c r="P935" s="5" t="str">
        <f>'GB3'!I10</f>
        <v/>
      </c>
      <c r="Q935" s="5">
        <f>'GB3'!J10</f>
        <v>600</v>
      </c>
      <c r="R935" s="5" t="str">
        <f>'GB3'!K10</f>
        <v/>
      </c>
      <c r="S935" s="2" t="str">
        <f>'GB3'!L10</f>
        <v>PAGO</v>
      </c>
      <c r="T935" s="2" t="str">
        <f>'GB3'!M10</f>
        <v/>
      </c>
      <c r="U935" s="34">
        <f>'GB3'!N10</f>
        <v>600</v>
      </c>
      <c r="V935" s="34" t="str">
        <f>'GB3'!O10</f>
        <v/>
      </c>
      <c r="W935" s="2" t="str">
        <f>'GB3'!P10</f>
        <v>Gabriela</v>
      </c>
      <c r="X935" s="5">
        <f>'GB3'!Q10</f>
        <v>600</v>
      </c>
      <c r="Y935" s="1"/>
      <c r="Z935" s="1"/>
      <c r="AA935" s="1"/>
    </row>
    <row r="936">
      <c r="A936" s="1"/>
      <c r="B936" s="14">
        <f t="shared" si="19"/>
        <v>7</v>
      </c>
      <c r="C936" s="22" t="str">
        <f t="shared" si="1"/>
        <v>diciembre</v>
      </c>
      <c r="D936" s="22">
        <f t="shared" si="2"/>
        <v>52</v>
      </c>
      <c r="E936" s="23" t="str">
        <f t="shared" si="3"/>
        <v>sábado</v>
      </c>
      <c r="F936" s="22">
        <f t="shared" si="4"/>
        <v>30</v>
      </c>
      <c r="G936" s="22" t="str">
        <f>"COMPL-" &amp;'GB3'!$G$3</f>
        <v>COMPL-GB </v>
      </c>
      <c r="H936" s="3" t="str">
        <f>'GB3'!$A$3</f>
        <v>GASTRONOMIA EN BRASAS</v>
      </c>
      <c r="I936" s="24" t="str">
        <f>'GB3'!B11</f>
        <v/>
      </c>
      <c r="J936" s="2" t="str">
        <f>'GB3'!C11</f>
        <v/>
      </c>
      <c r="K936" s="2" t="str">
        <f>'GB3'!D11</f>
        <v/>
      </c>
      <c r="L936" s="2" t="str">
        <f>'GB3'!E11</f>
        <v/>
      </c>
      <c r="M936" s="2" t="str">
        <f>'GB3'!F11</f>
        <v/>
      </c>
      <c r="N936" s="2" t="str">
        <f>'GB3'!G11</f>
        <v/>
      </c>
      <c r="O936" s="5" t="str">
        <f>'GB3'!H11</f>
        <v/>
      </c>
      <c r="P936" s="5" t="str">
        <f>'GB3'!I11</f>
        <v/>
      </c>
      <c r="Q936" s="5" t="str">
        <f>'GB3'!J11</f>
        <v/>
      </c>
      <c r="R936" s="5" t="str">
        <f>'GB3'!K11</f>
        <v/>
      </c>
      <c r="S936" s="2" t="str">
        <f>'GB3'!L11</f>
        <v/>
      </c>
      <c r="T936" s="2" t="str">
        <f>'GB3'!M11</f>
        <v/>
      </c>
      <c r="U936" s="34" t="str">
        <f>'GB3'!N11</f>
        <v/>
      </c>
      <c r="V936" s="34" t="str">
        <f>'GB3'!O11</f>
        <v/>
      </c>
      <c r="W936" s="2" t="str">
        <f>'GB3'!P11</f>
        <v/>
      </c>
      <c r="X936" s="5">
        <f>'GB3'!Q11</f>
        <v>0</v>
      </c>
      <c r="Y936" s="1"/>
      <c r="Z936" s="1"/>
      <c r="AA936" s="1"/>
    </row>
    <row r="937">
      <c r="A937" s="1"/>
      <c r="B937" s="14">
        <f t="shared" si="19"/>
        <v>8</v>
      </c>
      <c r="C937" s="22" t="str">
        <f t="shared" si="1"/>
        <v>diciembre</v>
      </c>
      <c r="D937" s="22">
        <f t="shared" si="2"/>
        <v>52</v>
      </c>
      <c r="E937" s="23" t="str">
        <f t="shared" si="3"/>
        <v>sábado</v>
      </c>
      <c r="F937" s="22">
        <f t="shared" si="4"/>
        <v>30</v>
      </c>
      <c r="G937" s="22" t="str">
        <f>"COMPL-" &amp;'GB3'!$G$3</f>
        <v>COMPL-GB </v>
      </c>
      <c r="H937" s="3" t="str">
        <f>'GB3'!$A$3</f>
        <v>GASTRONOMIA EN BRASAS</v>
      </c>
      <c r="I937" s="24" t="str">
        <f>'GB3'!B12</f>
        <v/>
      </c>
      <c r="J937" s="2" t="str">
        <f>'GB3'!C12</f>
        <v/>
      </c>
      <c r="K937" s="2" t="str">
        <f>'GB3'!D12</f>
        <v/>
      </c>
      <c r="L937" s="2" t="str">
        <f>'GB3'!E12</f>
        <v/>
      </c>
      <c r="M937" s="2" t="str">
        <f>'GB3'!F12</f>
        <v/>
      </c>
      <c r="N937" s="2" t="str">
        <f>'GB3'!G12</f>
        <v/>
      </c>
      <c r="O937" s="5" t="str">
        <f>'GB3'!H12</f>
        <v/>
      </c>
      <c r="P937" s="5" t="str">
        <f>'GB3'!I12</f>
        <v/>
      </c>
      <c r="Q937" s="5" t="str">
        <f>'GB3'!J12</f>
        <v/>
      </c>
      <c r="R937" s="5" t="str">
        <f>'GB3'!K12</f>
        <v/>
      </c>
      <c r="S937" s="2" t="str">
        <f>'GB3'!L12</f>
        <v/>
      </c>
      <c r="T937" s="2" t="str">
        <f>'GB3'!M12</f>
        <v/>
      </c>
      <c r="U937" s="34" t="str">
        <f>'GB3'!N12</f>
        <v/>
      </c>
      <c r="V937" s="34" t="str">
        <f>'GB3'!O12</f>
        <v/>
      </c>
      <c r="W937" s="2" t="str">
        <f>'GB3'!P12</f>
        <v/>
      </c>
      <c r="X937" s="5">
        <f>'GB3'!Q12</f>
        <v>0</v>
      </c>
      <c r="Y937" s="1"/>
      <c r="Z937" s="1"/>
      <c r="AA937" s="1"/>
    </row>
    <row r="938">
      <c r="A938" s="1"/>
      <c r="B938" s="14">
        <f t="shared" si="19"/>
        <v>9</v>
      </c>
      <c r="C938" s="22" t="str">
        <f t="shared" si="1"/>
        <v>diciembre</v>
      </c>
      <c r="D938" s="22">
        <f t="shared" si="2"/>
        <v>52</v>
      </c>
      <c r="E938" s="23" t="str">
        <f t="shared" si="3"/>
        <v>sábado</v>
      </c>
      <c r="F938" s="22">
        <f t="shared" si="4"/>
        <v>30</v>
      </c>
      <c r="G938" s="22" t="str">
        <f>"COMPL-" &amp;'GB3'!$G$3</f>
        <v>COMPL-GB </v>
      </c>
      <c r="H938" s="3" t="str">
        <f>'GB3'!$A$3</f>
        <v>GASTRONOMIA EN BRASAS</v>
      </c>
      <c r="I938" s="24" t="str">
        <f>'GB3'!B13</f>
        <v/>
      </c>
      <c r="J938" s="2" t="str">
        <f>'GB3'!C13</f>
        <v/>
      </c>
      <c r="K938" s="2" t="str">
        <f>'GB3'!D13</f>
        <v/>
      </c>
      <c r="L938" s="2" t="str">
        <f>'GB3'!E13</f>
        <v/>
      </c>
      <c r="M938" s="2" t="str">
        <f>'GB3'!F13</f>
        <v/>
      </c>
      <c r="N938" s="2" t="str">
        <f>'GB3'!G13</f>
        <v/>
      </c>
      <c r="O938" s="5" t="str">
        <f>'GB3'!H13</f>
        <v/>
      </c>
      <c r="P938" s="5" t="str">
        <f>'GB3'!I13</f>
        <v/>
      </c>
      <c r="Q938" s="5" t="str">
        <f>'GB3'!J13</f>
        <v/>
      </c>
      <c r="R938" s="5" t="str">
        <f>'GB3'!K13</f>
        <v/>
      </c>
      <c r="S938" s="2" t="str">
        <f>'GB3'!L13</f>
        <v/>
      </c>
      <c r="T938" s="2" t="str">
        <f>'GB3'!M13</f>
        <v/>
      </c>
      <c r="U938" s="34" t="str">
        <f>'GB3'!N13</f>
        <v/>
      </c>
      <c r="V938" s="34" t="str">
        <f>'GB3'!O13</f>
        <v/>
      </c>
      <c r="W938" s="2" t="str">
        <f>'GB3'!P13</f>
        <v/>
      </c>
      <c r="X938" s="5">
        <f>'GB3'!Q13</f>
        <v>0</v>
      </c>
      <c r="Y938" s="1"/>
      <c r="Z938" s="1"/>
      <c r="AA938" s="1"/>
    </row>
    <row r="939">
      <c r="A939" s="1"/>
      <c r="B939" s="14">
        <f t="shared" si="19"/>
        <v>10</v>
      </c>
      <c r="C939" s="22" t="str">
        <f t="shared" si="1"/>
        <v>diciembre</v>
      </c>
      <c r="D939" s="22">
        <f t="shared" si="2"/>
        <v>52</v>
      </c>
      <c r="E939" s="23" t="str">
        <f t="shared" si="3"/>
        <v>sábado</v>
      </c>
      <c r="F939" s="22">
        <f t="shared" si="4"/>
        <v>30</v>
      </c>
      <c r="G939" s="22" t="str">
        <f>"COMPL-" &amp;'GB3'!$G$3</f>
        <v>COMPL-GB </v>
      </c>
      <c r="H939" s="3" t="str">
        <f>'GB3'!$A$3</f>
        <v>GASTRONOMIA EN BRASAS</v>
      </c>
      <c r="I939" s="24" t="str">
        <f>'GB3'!B14</f>
        <v/>
      </c>
      <c r="J939" s="2" t="str">
        <f>'GB3'!C14</f>
        <v/>
      </c>
      <c r="K939" s="2" t="str">
        <f>'GB3'!D14</f>
        <v/>
      </c>
      <c r="L939" s="2" t="str">
        <f>'GB3'!E14</f>
        <v/>
      </c>
      <c r="M939" s="2" t="str">
        <f>'GB3'!F14</f>
        <v/>
      </c>
      <c r="N939" s="2" t="str">
        <f>'GB3'!G14</f>
        <v/>
      </c>
      <c r="O939" s="5" t="str">
        <f>'GB3'!H14</f>
        <v/>
      </c>
      <c r="P939" s="5" t="str">
        <f>'GB3'!I14</f>
        <v/>
      </c>
      <c r="Q939" s="5" t="str">
        <f>'GB3'!J14</f>
        <v/>
      </c>
      <c r="R939" s="5" t="str">
        <f>'GB3'!K14</f>
        <v/>
      </c>
      <c r="S939" s="2" t="str">
        <f>'GB3'!L14</f>
        <v/>
      </c>
      <c r="T939" s="2" t="str">
        <f>'GB3'!M14</f>
        <v/>
      </c>
      <c r="U939" s="34" t="str">
        <f>'GB3'!N14</f>
        <v/>
      </c>
      <c r="V939" s="34" t="str">
        <f>'GB3'!O14</f>
        <v/>
      </c>
      <c r="W939" s="2" t="str">
        <f>'GB3'!P14</f>
        <v/>
      </c>
      <c r="X939" s="5">
        <f>'GB3'!Q14</f>
        <v>0</v>
      </c>
      <c r="Y939" s="1"/>
      <c r="Z939" s="1"/>
      <c r="AA939" s="1"/>
    </row>
    <row r="940">
      <c r="A940" s="1"/>
      <c r="B940" s="14">
        <f t="shared" si="19"/>
        <v>11</v>
      </c>
      <c r="C940" s="22" t="str">
        <f t="shared" si="1"/>
        <v>diciembre</v>
      </c>
      <c r="D940" s="22">
        <f t="shared" si="2"/>
        <v>52</v>
      </c>
      <c r="E940" s="23" t="str">
        <f t="shared" si="3"/>
        <v>sábado</v>
      </c>
      <c r="F940" s="22">
        <f t="shared" si="4"/>
        <v>30</v>
      </c>
      <c r="G940" s="22" t="str">
        <f>"COMPL-" &amp;'GB3'!$G$3</f>
        <v>COMPL-GB </v>
      </c>
      <c r="H940" s="3" t="str">
        <f>'GB3'!$A$3</f>
        <v>GASTRONOMIA EN BRASAS</v>
      </c>
      <c r="I940" s="24" t="str">
        <f>'GB3'!B15</f>
        <v/>
      </c>
      <c r="J940" s="2" t="str">
        <f>'GB3'!C15</f>
        <v/>
      </c>
      <c r="K940" s="2" t="str">
        <f>'GB3'!D15</f>
        <v/>
      </c>
      <c r="L940" s="2" t="str">
        <f>'GB3'!E15</f>
        <v/>
      </c>
      <c r="M940" s="2" t="str">
        <f>'GB3'!F15</f>
        <v/>
      </c>
      <c r="N940" s="2" t="str">
        <f>'GB3'!G15</f>
        <v/>
      </c>
      <c r="O940" s="5" t="str">
        <f>'GB3'!H15</f>
        <v/>
      </c>
      <c r="P940" s="5" t="str">
        <f>'GB3'!I15</f>
        <v/>
      </c>
      <c r="Q940" s="5" t="str">
        <f>'GB3'!J15</f>
        <v/>
      </c>
      <c r="R940" s="5" t="str">
        <f>'GB3'!K15</f>
        <v/>
      </c>
      <c r="S940" s="2" t="str">
        <f>'GB3'!L15</f>
        <v/>
      </c>
      <c r="T940" s="2" t="str">
        <f>'GB3'!M15</f>
        <v/>
      </c>
      <c r="U940" s="34" t="str">
        <f>'GB3'!N15</f>
        <v/>
      </c>
      <c r="V940" s="34" t="str">
        <f>'GB3'!O15</f>
        <v/>
      </c>
      <c r="W940" s="2" t="str">
        <f>'GB3'!P15</f>
        <v/>
      </c>
      <c r="X940" s="5">
        <f>'GB3'!Q15</f>
        <v>0</v>
      </c>
      <c r="Y940" s="1"/>
      <c r="Z940" s="1"/>
      <c r="AA940" s="1"/>
    </row>
    <row r="941">
      <c r="A941" s="1"/>
      <c r="B941" s="14">
        <f t="shared" si="19"/>
        <v>12</v>
      </c>
      <c r="C941" s="22" t="str">
        <f t="shared" si="1"/>
        <v>diciembre</v>
      </c>
      <c r="D941" s="22">
        <f t="shared" si="2"/>
        <v>52</v>
      </c>
      <c r="E941" s="23" t="str">
        <f t="shared" si="3"/>
        <v>sábado</v>
      </c>
      <c r="F941" s="22">
        <f t="shared" si="4"/>
        <v>30</v>
      </c>
      <c r="G941" s="22" t="str">
        <f>"COMPL-" &amp;'GB3'!$G$3</f>
        <v>COMPL-GB </v>
      </c>
      <c r="H941" s="3" t="str">
        <f>'GB3'!$A$3</f>
        <v>GASTRONOMIA EN BRASAS</v>
      </c>
      <c r="I941" s="24" t="str">
        <f>'GB3'!B16</f>
        <v/>
      </c>
      <c r="J941" s="2" t="str">
        <f>'GB3'!C16</f>
        <v/>
      </c>
      <c r="K941" s="2" t="str">
        <f>'GB3'!D16</f>
        <v/>
      </c>
      <c r="L941" s="2" t="str">
        <f>'GB3'!E16</f>
        <v/>
      </c>
      <c r="M941" s="2" t="str">
        <f>'GB3'!F16</f>
        <v/>
      </c>
      <c r="N941" s="2" t="str">
        <f>'GB3'!G16</f>
        <v/>
      </c>
      <c r="O941" s="5" t="str">
        <f>'GB3'!H16</f>
        <v/>
      </c>
      <c r="P941" s="5" t="str">
        <f>'GB3'!I16</f>
        <v/>
      </c>
      <c r="Q941" s="5" t="str">
        <f>'GB3'!J16</f>
        <v/>
      </c>
      <c r="R941" s="5" t="str">
        <f>'GB3'!K16</f>
        <v/>
      </c>
      <c r="S941" s="2" t="str">
        <f>'GB3'!L16</f>
        <v/>
      </c>
      <c r="T941" s="2" t="str">
        <f>'GB3'!M16</f>
        <v/>
      </c>
      <c r="U941" s="34" t="str">
        <f>'GB3'!N16</f>
        <v/>
      </c>
      <c r="V941" s="34" t="str">
        <f>'GB3'!O16</f>
        <v/>
      </c>
      <c r="W941" s="2" t="str">
        <f>'GB3'!P16</f>
        <v/>
      </c>
      <c r="X941" s="5">
        <f>'GB3'!Q16</f>
        <v>0</v>
      </c>
      <c r="Y941" s="1"/>
      <c r="Z941" s="1"/>
      <c r="AA941" s="1"/>
    </row>
    <row r="942">
      <c r="A942" s="1"/>
      <c r="B942" s="14">
        <f t="shared" si="19"/>
        <v>13</v>
      </c>
      <c r="C942" s="22" t="str">
        <f t="shared" si="1"/>
        <v>diciembre</v>
      </c>
      <c r="D942" s="22">
        <f t="shared" si="2"/>
        <v>52</v>
      </c>
      <c r="E942" s="23" t="str">
        <f t="shared" si="3"/>
        <v>sábado</v>
      </c>
      <c r="F942" s="22">
        <f t="shared" si="4"/>
        <v>30</v>
      </c>
      <c r="G942" s="22" t="str">
        <f>"COMPL-" &amp;'GB3'!$G$3</f>
        <v>COMPL-GB </v>
      </c>
      <c r="H942" s="3" t="str">
        <f>'GB3'!$A$3</f>
        <v>GASTRONOMIA EN BRASAS</v>
      </c>
      <c r="I942" s="24" t="str">
        <f>'GB3'!B17</f>
        <v/>
      </c>
      <c r="J942" s="2" t="str">
        <f>'GB3'!C17</f>
        <v/>
      </c>
      <c r="K942" s="2" t="str">
        <f>'GB3'!D17</f>
        <v/>
      </c>
      <c r="L942" s="2" t="str">
        <f>'GB3'!E17</f>
        <v/>
      </c>
      <c r="M942" s="2" t="str">
        <f>'GB3'!F17</f>
        <v/>
      </c>
      <c r="N942" s="2" t="str">
        <f>'GB3'!G17</f>
        <v/>
      </c>
      <c r="O942" s="5" t="str">
        <f>'GB3'!H17</f>
        <v/>
      </c>
      <c r="P942" s="5" t="str">
        <f>'GB3'!I17</f>
        <v/>
      </c>
      <c r="Q942" s="5" t="str">
        <f>'GB3'!J17</f>
        <v/>
      </c>
      <c r="R942" s="5" t="str">
        <f>'GB3'!K17</f>
        <v/>
      </c>
      <c r="S942" s="2" t="str">
        <f>'GB3'!L17</f>
        <v/>
      </c>
      <c r="T942" s="2" t="str">
        <f>'GB3'!M17</f>
        <v/>
      </c>
      <c r="U942" s="34" t="str">
        <f>'GB3'!N17</f>
        <v/>
      </c>
      <c r="V942" s="34" t="str">
        <f>'GB3'!O17</f>
        <v/>
      </c>
      <c r="W942" s="2" t="str">
        <f>'GB3'!P17</f>
        <v/>
      </c>
      <c r="X942" s="5">
        <f>'GB3'!Q17</f>
        <v>0</v>
      </c>
      <c r="Y942" s="1"/>
      <c r="Z942" s="1"/>
      <c r="AA942" s="1"/>
    </row>
    <row r="943">
      <c r="A943" s="1"/>
      <c r="B943" s="14">
        <f t="shared" si="19"/>
        <v>14</v>
      </c>
      <c r="C943" s="22" t="str">
        <f t="shared" si="1"/>
        <v>diciembre</v>
      </c>
      <c r="D943" s="22">
        <f t="shared" si="2"/>
        <v>52</v>
      </c>
      <c r="E943" s="23" t="str">
        <f t="shared" si="3"/>
        <v>sábado</v>
      </c>
      <c r="F943" s="22">
        <f t="shared" si="4"/>
        <v>30</v>
      </c>
      <c r="G943" s="22" t="str">
        <f>"COMPL-" &amp;'GB3'!$G$3</f>
        <v>COMPL-GB </v>
      </c>
      <c r="H943" s="3" t="str">
        <f>'GB3'!$A$3</f>
        <v>GASTRONOMIA EN BRASAS</v>
      </c>
      <c r="I943" s="24" t="str">
        <f>'GB3'!B18</f>
        <v/>
      </c>
      <c r="J943" s="2" t="str">
        <f>'GB3'!C18</f>
        <v/>
      </c>
      <c r="K943" s="2" t="str">
        <f>'GB3'!D18</f>
        <v/>
      </c>
      <c r="L943" s="2" t="str">
        <f>'GB3'!E18</f>
        <v/>
      </c>
      <c r="M943" s="2" t="str">
        <f>'GB3'!F18</f>
        <v/>
      </c>
      <c r="N943" s="2" t="str">
        <f>'GB3'!G18</f>
        <v/>
      </c>
      <c r="O943" s="5" t="str">
        <f>'GB3'!H18</f>
        <v/>
      </c>
      <c r="P943" s="5" t="str">
        <f>'GB3'!I18</f>
        <v/>
      </c>
      <c r="Q943" s="5" t="str">
        <f>'GB3'!J18</f>
        <v/>
      </c>
      <c r="R943" s="5" t="str">
        <f>'GB3'!K18</f>
        <v/>
      </c>
      <c r="S943" s="2" t="str">
        <f>'GB3'!L18</f>
        <v/>
      </c>
      <c r="T943" s="2" t="str">
        <f>'GB3'!M18</f>
        <v/>
      </c>
      <c r="U943" s="34" t="str">
        <f>'GB3'!N18</f>
        <v/>
      </c>
      <c r="V943" s="34" t="str">
        <f>'GB3'!O18</f>
        <v/>
      </c>
      <c r="W943" s="2" t="str">
        <f>'GB3'!P18</f>
        <v/>
      </c>
      <c r="X943" s="5">
        <f>'GB3'!Q18</f>
        <v>0</v>
      </c>
      <c r="Y943" s="1"/>
      <c r="Z943" s="1"/>
      <c r="AA943" s="1"/>
    </row>
    <row r="944">
      <c r="A944" s="1"/>
      <c r="B944" s="14">
        <f t="shared" si="19"/>
        <v>15</v>
      </c>
      <c r="C944" s="22" t="str">
        <f t="shared" si="1"/>
        <v>diciembre</v>
      </c>
      <c r="D944" s="22">
        <f t="shared" si="2"/>
        <v>52</v>
      </c>
      <c r="E944" s="23" t="str">
        <f t="shared" si="3"/>
        <v>sábado</v>
      </c>
      <c r="F944" s="22">
        <f t="shared" si="4"/>
        <v>30</v>
      </c>
      <c r="G944" s="22" t="str">
        <f>"COMPL-" &amp;'GB3'!$G$3</f>
        <v>COMPL-GB </v>
      </c>
      <c r="H944" s="3" t="str">
        <f>'GB3'!$A$3</f>
        <v>GASTRONOMIA EN BRASAS</v>
      </c>
      <c r="I944" s="24" t="str">
        <f>'GB3'!B19</f>
        <v/>
      </c>
      <c r="J944" s="2" t="str">
        <f>'GB3'!C19</f>
        <v/>
      </c>
      <c r="K944" s="2" t="str">
        <f>'GB3'!D19</f>
        <v/>
      </c>
      <c r="L944" s="2" t="str">
        <f>'GB3'!E19</f>
        <v/>
      </c>
      <c r="M944" s="2" t="str">
        <f>'GB3'!F19</f>
        <v/>
      </c>
      <c r="N944" s="2" t="str">
        <f>'GB3'!G19</f>
        <v/>
      </c>
      <c r="O944" s="5" t="str">
        <f>'GB3'!H19</f>
        <v/>
      </c>
      <c r="P944" s="5" t="str">
        <f>'GB3'!I19</f>
        <v/>
      </c>
      <c r="Q944" s="5" t="str">
        <f>'GB3'!J19</f>
        <v/>
      </c>
      <c r="R944" s="5" t="str">
        <f>'GB3'!K19</f>
        <v/>
      </c>
      <c r="S944" s="2" t="str">
        <f>'GB3'!L19</f>
        <v/>
      </c>
      <c r="T944" s="2" t="str">
        <f>'GB3'!M19</f>
        <v/>
      </c>
      <c r="U944" s="34" t="str">
        <f>'GB3'!N19</f>
        <v/>
      </c>
      <c r="V944" s="34" t="str">
        <f>'GB3'!O19</f>
        <v/>
      </c>
      <c r="W944" s="2" t="str">
        <f>'GB3'!P19</f>
        <v/>
      </c>
      <c r="X944" s="5">
        <f>'GB3'!Q19</f>
        <v>0</v>
      </c>
      <c r="Y944" s="1"/>
      <c r="Z944" s="1"/>
      <c r="AA944" s="1"/>
    </row>
    <row r="945">
      <c r="A945" s="1"/>
      <c r="B945" s="14">
        <f t="shared" si="19"/>
        <v>16</v>
      </c>
      <c r="C945" s="22" t="str">
        <f t="shared" si="1"/>
        <v>diciembre</v>
      </c>
      <c r="D945" s="22">
        <f t="shared" si="2"/>
        <v>52</v>
      </c>
      <c r="E945" s="23" t="str">
        <f t="shared" si="3"/>
        <v>sábado</v>
      </c>
      <c r="F945" s="22">
        <f t="shared" si="4"/>
        <v>30</v>
      </c>
      <c r="G945" s="22" t="str">
        <f>"COMPL-" &amp;'GB3'!$G$3</f>
        <v>COMPL-GB </v>
      </c>
      <c r="H945" s="3" t="str">
        <f>'GB3'!$A$3</f>
        <v>GASTRONOMIA EN BRASAS</v>
      </c>
      <c r="I945" s="24" t="str">
        <f>'GB3'!B20</f>
        <v/>
      </c>
      <c r="J945" s="2" t="str">
        <f>'GB3'!C20</f>
        <v/>
      </c>
      <c r="K945" s="2" t="str">
        <f>'GB3'!D20</f>
        <v/>
      </c>
      <c r="L945" s="2" t="str">
        <f>'GB3'!E20</f>
        <v/>
      </c>
      <c r="M945" s="2" t="str">
        <f>'GB3'!F20</f>
        <v/>
      </c>
      <c r="N945" s="2" t="str">
        <f>'GB3'!G20</f>
        <v/>
      </c>
      <c r="O945" s="5" t="str">
        <f>'GB3'!H20</f>
        <v/>
      </c>
      <c r="P945" s="5" t="str">
        <f>'GB3'!I20</f>
        <v/>
      </c>
      <c r="Q945" s="5" t="str">
        <f>'GB3'!J20</f>
        <v/>
      </c>
      <c r="R945" s="5" t="str">
        <f>'GB3'!K20</f>
        <v/>
      </c>
      <c r="S945" s="2" t="str">
        <f>'GB3'!L20</f>
        <v/>
      </c>
      <c r="T945" s="2" t="str">
        <f>'GB3'!M20</f>
        <v/>
      </c>
      <c r="U945" s="34" t="str">
        <f>'GB3'!N20</f>
        <v/>
      </c>
      <c r="V945" s="34" t="str">
        <f>'GB3'!O20</f>
        <v/>
      </c>
      <c r="W945" s="2" t="str">
        <f>'GB3'!P20</f>
        <v/>
      </c>
      <c r="X945" s="5">
        <f>'GB3'!Q20</f>
        <v>0</v>
      </c>
      <c r="Y945" s="1"/>
      <c r="Z945" s="1"/>
      <c r="AA945" s="1"/>
    </row>
    <row r="946">
      <c r="A946" s="1"/>
      <c r="B946" s="14">
        <f t="shared" si="19"/>
        <v>17</v>
      </c>
      <c r="C946" s="22" t="str">
        <f t="shared" si="1"/>
        <v>diciembre</v>
      </c>
      <c r="D946" s="22">
        <f t="shared" si="2"/>
        <v>52</v>
      </c>
      <c r="E946" s="23" t="str">
        <f t="shared" si="3"/>
        <v>sábado</v>
      </c>
      <c r="F946" s="22">
        <f t="shared" si="4"/>
        <v>30</v>
      </c>
      <c r="G946" s="22" t="str">
        <f>"COMPL-" &amp;'GB3'!$G$3</f>
        <v>COMPL-GB </v>
      </c>
      <c r="H946" s="3" t="str">
        <f>'GB3'!$A$3</f>
        <v>GASTRONOMIA EN BRASAS</v>
      </c>
      <c r="I946" s="24" t="str">
        <f>'GB3'!B21</f>
        <v/>
      </c>
      <c r="J946" s="2" t="str">
        <f>'GB3'!C21</f>
        <v/>
      </c>
      <c r="K946" s="2" t="str">
        <f>'GB3'!D21</f>
        <v/>
      </c>
      <c r="L946" s="2" t="str">
        <f>'GB3'!E21</f>
        <v/>
      </c>
      <c r="M946" s="2" t="str">
        <f>'GB3'!F21</f>
        <v/>
      </c>
      <c r="N946" s="2" t="str">
        <f>'GB3'!G21</f>
        <v/>
      </c>
      <c r="O946" s="5" t="str">
        <f>'GB3'!H21</f>
        <v/>
      </c>
      <c r="P946" s="5" t="str">
        <f>'GB3'!I21</f>
        <v/>
      </c>
      <c r="Q946" s="5" t="str">
        <f>'GB3'!J21</f>
        <v/>
      </c>
      <c r="R946" s="5" t="str">
        <f>'GB3'!K21</f>
        <v/>
      </c>
      <c r="S946" s="2" t="str">
        <f>'GB3'!L21</f>
        <v/>
      </c>
      <c r="T946" s="2" t="str">
        <f>'GB3'!M21</f>
        <v/>
      </c>
      <c r="U946" s="34" t="str">
        <f>'GB3'!N21</f>
        <v/>
      </c>
      <c r="V946" s="34" t="str">
        <f>'GB3'!O21</f>
        <v/>
      </c>
      <c r="W946" s="2" t="str">
        <f>'GB3'!P21</f>
        <v/>
      </c>
      <c r="X946" s="5">
        <f>'GB3'!Q21</f>
        <v>0</v>
      </c>
      <c r="Y946" s="1"/>
      <c r="Z946" s="1"/>
      <c r="AA946" s="1"/>
    </row>
    <row r="947">
      <c r="A947" s="1"/>
      <c r="B947" s="14">
        <f t="shared" si="19"/>
        <v>18</v>
      </c>
      <c r="C947" s="22" t="str">
        <f t="shared" si="1"/>
        <v>diciembre</v>
      </c>
      <c r="D947" s="22">
        <f t="shared" si="2"/>
        <v>52</v>
      </c>
      <c r="E947" s="23" t="str">
        <f t="shared" si="3"/>
        <v>sábado</v>
      </c>
      <c r="F947" s="22">
        <f t="shared" si="4"/>
        <v>30</v>
      </c>
      <c r="G947" s="22" t="str">
        <f>"COMPL-" &amp;'GB3'!$G$3</f>
        <v>COMPL-GB </v>
      </c>
      <c r="H947" s="3" t="str">
        <f>'GB3'!$A$3</f>
        <v>GASTRONOMIA EN BRASAS</v>
      </c>
      <c r="I947" s="24" t="str">
        <f>'GB3'!B22</f>
        <v/>
      </c>
      <c r="J947" s="2" t="str">
        <f>'GB3'!C22</f>
        <v/>
      </c>
      <c r="K947" s="2" t="str">
        <f>'GB3'!D22</f>
        <v/>
      </c>
      <c r="L947" s="2" t="str">
        <f>'GB3'!E22</f>
        <v/>
      </c>
      <c r="M947" s="2" t="str">
        <f>'GB3'!F22</f>
        <v/>
      </c>
      <c r="N947" s="2" t="str">
        <f>'GB3'!G22</f>
        <v/>
      </c>
      <c r="O947" s="5" t="str">
        <f>'GB3'!H22</f>
        <v/>
      </c>
      <c r="P947" s="5" t="str">
        <f>'GB3'!I22</f>
        <v/>
      </c>
      <c r="Q947" s="5" t="str">
        <f>'GB3'!J22</f>
        <v/>
      </c>
      <c r="R947" s="5" t="str">
        <f>'GB3'!K22</f>
        <v/>
      </c>
      <c r="S947" s="2" t="str">
        <f>'GB3'!L22</f>
        <v/>
      </c>
      <c r="T947" s="2" t="str">
        <f>'GB3'!M22</f>
        <v/>
      </c>
      <c r="U947" s="34" t="str">
        <f>'GB3'!N22</f>
        <v/>
      </c>
      <c r="V947" s="34" t="str">
        <f>'GB3'!O22</f>
        <v/>
      </c>
      <c r="W947" s="2" t="str">
        <f>'GB3'!P22</f>
        <v/>
      </c>
      <c r="X947" s="5">
        <f>'GB3'!Q22</f>
        <v>0</v>
      </c>
      <c r="Y947" s="1"/>
      <c r="Z947" s="1"/>
      <c r="AA947" s="1"/>
    </row>
    <row r="948">
      <c r="A948" s="1"/>
      <c r="B948" s="14">
        <f t="shared" si="19"/>
        <v>19</v>
      </c>
      <c r="C948" s="22" t="str">
        <f t="shared" si="1"/>
        <v>diciembre</v>
      </c>
      <c r="D948" s="22">
        <f t="shared" si="2"/>
        <v>52</v>
      </c>
      <c r="E948" s="23" t="str">
        <f t="shared" si="3"/>
        <v>sábado</v>
      </c>
      <c r="F948" s="22">
        <f t="shared" si="4"/>
        <v>30</v>
      </c>
      <c r="G948" s="22" t="str">
        <f>"COMPL-" &amp;'GB3'!$G$3</f>
        <v>COMPL-GB </v>
      </c>
      <c r="H948" s="3" t="str">
        <f>'GB3'!$A$3</f>
        <v>GASTRONOMIA EN BRASAS</v>
      </c>
      <c r="I948" s="24" t="str">
        <f>'GB3'!B23</f>
        <v/>
      </c>
      <c r="J948" s="2" t="str">
        <f>'GB3'!C23</f>
        <v/>
      </c>
      <c r="K948" s="2" t="str">
        <f>'GB3'!D23</f>
        <v/>
      </c>
      <c r="L948" s="2" t="str">
        <f>'GB3'!E23</f>
        <v/>
      </c>
      <c r="M948" s="2" t="str">
        <f>'GB3'!F23</f>
        <v/>
      </c>
      <c r="N948" s="2" t="str">
        <f>'GB3'!G23</f>
        <v/>
      </c>
      <c r="O948" s="5" t="str">
        <f>'GB3'!H23</f>
        <v/>
      </c>
      <c r="P948" s="5" t="str">
        <f>'GB3'!I23</f>
        <v/>
      </c>
      <c r="Q948" s="5" t="str">
        <f>'GB3'!J23</f>
        <v/>
      </c>
      <c r="R948" s="5" t="str">
        <f>'GB3'!K23</f>
        <v/>
      </c>
      <c r="S948" s="2" t="str">
        <f>'GB3'!L23</f>
        <v/>
      </c>
      <c r="T948" s="2" t="str">
        <f>'GB3'!M23</f>
        <v/>
      </c>
      <c r="U948" s="34" t="str">
        <f>'GB3'!N23</f>
        <v/>
      </c>
      <c r="V948" s="34" t="str">
        <f>'GB3'!O23</f>
        <v/>
      </c>
      <c r="W948" s="2" t="str">
        <f>'GB3'!P23</f>
        <v/>
      </c>
      <c r="X948" s="5">
        <f>'GB3'!Q23</f>
        <v>0</v>
      </c>
      <c r="Y948" s="1"/>
      <c r="Z948" s="1"/>
      <c r="AA948" s="1"/>
    </row>
    <row r="949">
      <c r="A949" s="1"/>
      <c r="B949" s="14">
        <f t="shared" si="19"/>
        <v>20</v>
      </c>
      <c r="C949" s="22" t="str">
        <f t="shared" si="1"/>
        <v>diciembre</v>
      </c>
      <c r="D949" s="22">
        <f t="shared" si="2"/>
        <v>52</v>
      </c>
      <c r="E949" s="23" t="str">
        <f t="shared" si="3"/>
        <v>sábado</v>
      </c>
      <c r="F949" s="22">
        <f t="shared" si="4"/>
        <v>30</v>
      </c>
      <c r="G949" s="22" t="str">
        <f>"COMPL-" &amp;'GB3'!$G$3</f>
        <v>COMPL-GB </v>
      </c>
      <c r="H949" s="3" t="str">
        <f>'GB3'!$A$3</f>
        <v>GASTRONOMIA EN BRASAS</v>
      </c>
      <c r="I949" s="24" t="str">
        <f>'GB3'!B24</f>
        <v/>
      </c>
      <c r="J949" s="2" t="str">
        <f>'GB3'!C24</f>
        <v/>
      </c>
      <c r="K949" s="2" t="str">
        <f>'GB3'!D24</f>
        <v/>
      </c>
      <c r="L949" s="2" t="str">
        <f>'GB3'!E24</f>
        <v/>
      </c>
      <c r="M949" s="2" t="str">
        <f>'GB3'!F24</f>
        <v/>
      </c>
      <c r="N949" s="2" t="str">
        <f>'GB3'!G24</f>
        <v/>
      </c>
      <c r="O949" s="5" t="str">
        <f>'GB3'!H24</f>
        <v/>
      </c>
      <c r="P949" s="5" t="str">
        <f>'GB3'!I24</f>
        <v/>
      </c>
      <c r="Q949" s="5" t="str">
        <f>'GB3'!J24</f>
        <v/>
      </c>
      <c r="R949" s="5" t="str">
        <f>'GB3'!K24</f>
        <v/>
      </c>
      <c r="S949" s="2" t="str">
        <f>'GB3'!L24</f>
        <v/>
      </c>
      <c r="T949" s="2" t="str">
        <f>'GB3'!M24</f>
        <v/>
      </c>
      <c r="U949" s="34" t="str">
        <f>'GB3'!N24</f>
        <v/>
      </c>
      <c r="V949" s="34" t="str">
        <f>'GB3'!O24</f>
        <v/>
      </c>
      <c r="W949" s="2" t="str">
        <f>'GB3'!P24</f>
        <v/>
      </c>
      <c r="X949" s="5">
        <f>'GB3'!Q24</f>
        <v>0</v>
      </c>
      <c r="Y949" s="1"/>
      <c r="Z949" s="1"/>
      <c r="AA949" s="1"/>
    </row>
    <row r="950">
      <c r="A950" s="1"/>
      <c r="B950" s="14">
        <f t="shared" si="19"/>
        <v>21</v>
      </c>
      <c r="C950" s="22" t="str">
        <f t="shared" si="1"/>
        <v>diciembre</v>
      </c>
      <c r="D950" s="22">
        <f t="shared" si="2"/>
        <v>52</v>
      </c>
      <c r="E950" s="23" t="str">
        <f t="shared" si="3"/>
        <v>sábado</v>
      </c>
      <c r="F950" s="22">
        <f t="shared" si="4"/>
        <v>30</v>
      </c>
      <c r="G950" s="22" t="str">
        <f>"COMPL-" &amp;'GB3'!$G$3</f>
        <v>COMPL-GB </v>
      </c>
      <c r="H950" s="3" t="str">
        <f>'GB3'!$A$3</f>
        <v>GASTRONOMIA EN BRASAS</v>
      </c>
      <c r="I950" s="24" t="str">
        <f>'GB3'!B25</f>
        <v/>
      </c>
      <c r="J950" s="2" t="str">
        <f>'GB3'!C25</f>
        <v/>
      </c>
      <c r="K950" s="2" t="str">
        <f>'GB3'!D25</f>
        <v/>
      </c>
      <c r="L950" s="2" t="str">
        <f>'GB3'!E25</f>
        <v/>
      </c>
      <c r="M950" s="2" t="str">
        <f>'GB3'!F25</f>
        <v/>
      </c>
      <c r="N950" s="2" t="str">
        <f>'GB3'!G25</f>
        <v/>
      </c>
      <c r="O950" s="5" t="str">
        <f>'GB3'!H25</f>
        <v/>
      </c>
      <c r="P950" s="5" t="str">
        <f>'GB3'!I25</f>
        <v/>
      </c>
      <c r="Q950" s="5" t="str">
        <f>'GB3'!J25</f>
        <v/>
      </c>
      <c r="R950" s="5" t="str">
        <f>'GB3'!K25</f>
        <v/>
      </c>
      <c r="S950" s="2" t="str">
        <f>'GB3'!L25</f>
        <v/>
      </c>
      <c r="T950" s="2" t="str">
        <f>'GB3'!M25</f>
        <v/>
      </c>
      <c r="U950" s="34" t="str">
        <f>'GB3'!N25</f>
        <v/>
      </c>
      <c r="V950" s="34" t="str">
        <f>'GB3'!O25</f>
        <v/>
      </c>
      <c r="W950" s="2" t="str">
        <f>'GB3'!P25</f>
        <v/>
      </c>
      <c r="X950" s="5">
        <f>'GB3'!Q25</f>
        <v>0</v>
      </c>
      <c r="Y950" s="1"/>
      <c r="Z950" s="1"/>
      <c r="AA950" s="1"/>
    </row>
    <row r="951">
      <c r="A951" s="1"/>
      <c r="B951" s="14">
        <f t="shared" si="19"/>
        <v>22</v>
      </c>
      <c r="C951" s="22" t="str">
        <f t="shared" si="1"/>
        <v>diciembre</v>
      </c>
      <c r="D951" s="22">
        <f t="shared" si="2"/>
        <v>52</v>
      </c>
      <c r="E951" s="23" t="str">
        <f t="shared" si="3"/>
        <v>sábado</v>
      </c>
      <c r="F951" s="22">
        <f t="shared" si="4"/>
        <v>30</v>
      </c>
      <c r="G951" s="22" t="str">
        <f>"COMPL-" &amp;'GB3'!$G$3</f>
        <v>COMPL-GB </v>
      </c>
      <c r="H951" s="3" t="str">
        <f>'GB3'!$A$3</f>
        <v>GASTRONOMIA EN BRASAS</v>
      </c>
      <c r="I951" s="24" t="str">
        <f>'GB3'!B26</f>
        <v/>
      </c>
      <c r="J951" s="2" t="str">
        <f>'GB3'!C26</f>
        <v/>
      </c>
      <c r="K951" s="2" t="str">
        <f>'GB3'!D26</f>
        <v/>
      </c>
      <c r="L951" s="2" t="str">
        <f>'GB3'!E26</f>
        <v/>
      </c>
      <c r="M951" s="2" t="str">
        <f>'GB3'!F26</f>
        <v/>
      </c>
      <c r="N951" s="2" t="str">
        <f>'GB3'!G26</f>
        <v/>
      </c>
      <c r="O951" s="5" t="str">
        <f>'GB3'!H26</f>
        <v/>
      </c>
      <c r="P951" s="5" t="str">
        <f>'GB3'!I26</f>
        <v/>
      </c>
      <c r="Q951" s="5" t="str">
        <f>'GB3'!J26</f>
        <v/>
      </c>
      <c r="R951" s="5" t="str">
        <f>'GB3'!K26</f>
        <v/>
      </c>
      <c r="S951" s="2" t="str">
        <f>'GB3'!L26</f>
        <v/>
      </c>
      <c r="T951" s="2" t="str">
        <f>'GB3'!M26</f>
        <v/>
      </c>
      <c r="U951" s="34" t="str">
        <f>'GB3'!N26</f>
        <v/>
      </c>
      <c r="V951" s="34" t="str">
        <f>'GB3'!O26</f>
        <v/>
      </c>
      <c r="W951" s="2" t="str">
        <f>'GB3'!P26</f>
        <v/>
      </c>
      <c r="X951" s="5">
        <f>'GB3'!Q26</f>
        <v>0</v>
      </c>
      <c r="Y951" s="1"/>
      <c r="Z951" s="1"/>
      <c r="AA951" s="1"/>
    </row>
    <row r="952">
      <c r="A952" s="1"/>
      <c r="B952" s="14">
        <f t="shared" si="19"/>
        <v>23</v>
      </c>
      <c r="C952" s="22" t="str">
        <f t="shared" si="1"/>
        <v>diciembre</v>
      </c>
      <c r="D952" s="22">
        <f t="shared" si="2"/>
        <v>52</v>
      </c>
      <c r="E952" s="23" t="str">
        <f t="shared" si="3"/>
        <v>sábado</v>
      </c>
      <c r="F952" s="22">
        <f t="shared" si="4"/>
        <v>30</v>
      </c>
      <c r="G952" s="22" t="str">
        <f>"COMPL-" &amp;'GB3'!$G$3</f>
        <v>COMPL-GB </v>
      </c>
      <c r="H952" s="3" t="str">
        <f>'GB3'!$A$3</f>
        <v>GASTRONOMIA EN BRASAS</v>
      </c>
      <c r="I952" s="24" t="str">
        <f>'GB3'!B27</f>
        <v/>
      </c>
      <c r="J952" s="2" t="str">
        <f>'GB3'!C27</f>
        <v/>
      </c>
      <c r="K952" s="2" t="str">
        <f>'GB3'!D27</f>
        <v/>
      </c>
      <c r="L952" s="2" t="str">
        <f>'GB3'!E27</f>
        <v/>
      </c>
      <c r="M952" s="2" t="str">
        <f>'GB3'!F27</f>
        <v/>
      </c>
      <c r="N952" s="2" t="str">
        <f>'GB3'!G27</f>
        <v/>
      </c>
      <c r="O952" s="5" t="str">
        <f>'GB3'!H27</f>
        <v/>
      </c>
      <c r="P952" s="5" t="str">
        <f>'GB3'!I27</f>
        <v/>
      </c>
      <c r="Q952" s="5" t="str">
        <f>'GB3'!J27</f>
        <v/>
      </c>
      <c r="R952" s="5" t="str">
        <f>'GB3'!K27</f>
        <v/>
      </c>
      <c r="S952" s="2" t="str">
        <f>'GB3'!L27</f>
        <v/>
      </c>
      <c r="T952" s="2" t="str">
        <f>'GB3'!M27</f>
        <v/>
      </c>
      <c r="U952" s="34" t="str">
        <f>'GB3'!N27</f>
        <v/>
      </c>
      <c r="V952" s="34" t="str">
        <f>'GB3'!O27</f>
        <v/>
      </c>
      <c r="W952" s="2" t="str">
        <f>'GB3'!P27</f>
        <v/>
      </c>
      <c r="X952" s="5">
        <f>'GB3'!Q27</f>
        <v>0</v>
      </c>
      <c r="Y952" s="1"/>
      <c r="Z952" s="1"/>
      <c r="AA952" s="1"/>
    </row>
    <row r="953">
      <c r="A953" s="1"/>
      <c r="B953" s="14">
        <f t="shared" si="19"/>
        <v>24</v>
      </c>
      <c r="C953" s="22" t="str">
        <f t="shared" si="1"/>
        <v>diciembre</v>
      </c>
      <c r="D953" s="22">
        <f t="shared" si="2"/>
        <v>52</v>
      </c>
      <c r="E953" s="23" t="str">
        <f t="shared" si="3"/>
        <v>sábado</v>
      </c>
      <c r="F953" s="22">
        <f t="shared" si="4"/>
        <v>30</v>
      </c>
      <c r="G953" s="22" t="str">
        <f>"COMPL-" &amp;'GB3'!$G$3</f>
        <v>COMPL-GB </v>
      </c>
      <c r="H953" s="3" t="str">
        <f>'GB3'!$A$3</f>
        <v>GASTRONOMIA EN BRASAS</v>
      </c>
      <c r="I953" s="24" t="str">
        <f>'GB3'!B28</f>
        <v/>
      </c>
      <c r="J953" s="2" t="str">
        <f>'GB3'!C28</f>
        <v/>
      </c>
      <c r="K953" s="2" t="str">
        <f>'GB3'!D28</f>
        <v/>
      </c>
      <c r="L953" s="2" t="str">
        <f>'GB3'!E28</f>
        <v/>
      </c>
      <c r="M953" s="2" t="str">
        <f>'GB3'!F28</f>
        <v/>
      </c>
      <c r="N953" s="2" t="str">
        <f>'GB3'!G28</f>
        <v/>
      </c>
      <c r="O953" s="5" t="str">
        <f>'GB3'!H28</f>
        <v/>
      </c>
      <c r="P953" s="5" t="str">
        <f>'GB3'!I28</f>
        <v/>
      </c>
      <c r="Q953" s="5" t="str">
        <f>'GB3'!J28</f>
        <v/>
      </c>
      <c r="R953" s="5" t="str">
        <f>'GB3'!K28</f>
        <v/>
      </c>
      <c r="S953" s="2" t="str">
        <f>'GB3'!L28</f>
        <v/>
      </c>
      <c r="T953" s="2" t="str">
        <f>'GB3'!M28</f>
        <v/>
      </c>
      <c r="U953" s="34" t="str">
        <f>'GB3'!N28</f>
        <v/>
      </c>
      <c r="V953" s="34" t="str">
        <f>'GB3'!O28</f>
        <v/>
      </c>
      <c r="W953" s="2" t="str">
        <f>'GB3'!P28</f>
        <v/>
      </c>
      <c r="X953" s="5">
        <f>'GB3'!Q28</f>
        <v>0</v>
      </c>
      <c r="Y953" s="1"/>
      <c r="Z953" s="1"/>
      <c r="AA953" s="1"/>
    </row>
    <row r="954">
      <c r="A954" s="1"/>
      <c r="B954" s="14">
        <f t="shared" si="19"/>
        <v>25</v>
      </c>
      <c r="C954" s="22" t="str">
        <f t="shared" si="1"/>
        <v>diciembre</v>
      </c>
      <c r="D954" s="22">
        <f t="shared" si="2"/>
        <v>52</v>
      </c>
      <c r="E954" s="23" t="str">
        <f t="shared" si="3"/>
        <v>sábado</v>
      </c>
      <c r="F954" s="22">
        <f t="shared" si="4"/>
        <v>30</v>
      </c>
      <c r="G954" s="22" t="str">
        <f>"COMPL-" &amp;'GB3'!$G$3</f>
        <v>COMPL-GB </v>
      </c>
      <c r="H954" s="3" t="str">
        <f>'GB3'!$A$3</f>
        <v>GASTRONOMIA EN BRASAS</v>
      </c>
      <c r="I954" s="24" t="str">
        <f>'GB3'!B29</f>
        <v/>
      </c>
      <c r="J954" s="2" t="str">
        <f>'GB3'!C29</f>
        <v/>
      </c>
      <c r="K954" s="2" t="str">
        <f>'GB3'!D29</f>
        <v/>
      </c>
      <c r="L954" s="2" t="str">
        <f>'GB3'!E29</f>
        <v/>
      </c>
      <c r="M954" s="2" t="str">
        <f>'GB3'!F29</f>
        <v/>
      </c>
      <c r="N954" s="2" t="str">
        <f>'GB3'!G29</f>
        <v/>
      </c>
      <c r="O954" s="5" t="str">
        <f>'GB3'!H29</f>
        <v/>
      </c>
      <c r="P954" s="5" t="str">
        <f>'GB3'!I29</f>
        <v/>
      </c>
      <c r="Q954" s="5" t="str">
        <f>'GB3'!J29</f>
        <v/>
      </c>
      <c r="R954" s="5" t="str">
        <f>'GB3'!K29</f>
        <v/>
      </c>
      <c r="S954" s="2" t="str">
        <f>'GB3'!L29</f>
        <v/>
      </c>
      <c r="T954" s="2" t="str">
        <f>'GB3'!M29</f>
        <v/>
      </c>
      <c r="U954" s="34" t="str">
        <f>'GB3'!N29</f>
        <v/>
      </c>
      <c r="V954" s="34" t="str">
        <f>'GB3'!O29</f>
        <v/>
      </c>
      <c r="W954" s="2" t="str">
        <f>'GB3'!P29</f>
        <v/>
      </c>
      <c r="X954" s="5">
        <f>'GB3'!Q29</f>
        <v>0</v>
      </c>
      <c r="Y954" s="1"/>
      <c r="Z954" s="1"/>
      <c r="AA954" s="1"/>
    </row>
    <row r="955">
      <c r="A955" s="1"/>
      <c r="B955" s="14">
        <f t="shared" si="19"/>
        <v>26</v>
      </c>
      <c r="C955" s="22" t="str">
        <f t="shared" si="1"/>
        <v>diciembre</v>
      </c>
      <c r="D955" s="22">
        <f t="shared" si="2"/>
        <v>52</v>
      </c>
      <c r="E955" s="23" t="str">
        <f t="shared" si="3"/>
        <v>sábado</v>
      </c>
      <c r="F955" s="22">
        <f t="shared" si="4"/>
        <v>30</v>
      </c>
      <c r="G955" s="22" t="str">
        <f>"COMPL-" &amp;'GB3'!$G$3</f>
        <v>COMPL-GB </v>
      </c>
      <c r="H955" s="3" t="str">
        <f>'GB3'!$A$3</f>
        <v>GASTRONOMIA EN BRASAS</v>
      </c>
      <c r="I955" s="24" t="str">
        <f>'GB3'!B30</f>
        <v/>
      </c>
      <c r="J955" s="2" t="str">
        <f>'GB3'!C30</f>
        <v/>
      </c>
      <c r="K955" s="2" t="str">
        <f>'GB3'!D30</f>
        <v/>
      </c>
      <c r="L955" s="2" t="str">
        <f>'GB3'!E30</f>
        <v/>
      </c>
      <c r="M955" s="2" t="str">
        <f>'GB3'!F30</f>
        <v/>
      </c>
      <c r="N955" s="2" t="str">
        <f>'GB3'!G30</f>
        <v/>
      </c>
      <c r="O955" s="5" t="str">
        <f>'GB3'!H30</f>
        <v/>
      </c>
      <c r="P955" s="5" t="str">
        <f>'GB3'!I30</f>
        <v/>
      </c>
      <c r="Q955" s="5" t="str">
        <f>'GB3'!J30</f>
        <v/>
      </c>
      <c r="R955" s="5" t="str">
        <f>'GB3'!K30</f>
        <v/>
      </c>
      <c r="S955" s="2" t="str">
        <f>'GB3'!L30</f>
        <v/>
      </c>
      <c r="T955" s="2" t="str">
        <f>'GB3'!M30</f>
        <v/>
      </c>
      <c r="U955" s="34" t="str">
        <f>'GB3'!N30</f>
        <v/>
      </c>
      <c r="V955" s="34" t="str">
        <f>'GB3'!O30</f>
        <v/>
      </c>
      <c r="W955" s="2" t="str">
        <f>'GB3'!P30</f>
        <v/>
      </c>
      <c r="X955" s="5">
        <f>'GB3'!Q30</f>
        <v>0</v>
      </c>
      <c r="Y955" s="1"/>
      <c r="Z955" s="1"/>
      <c r="AA955" s="1"/>
    </row>
    <row r="956">
      <c r="A956" s="1"/>
      <c r="B956" s="14">
        <f t="shared" si="19"/>
        <v>27</v>
      </c>
      <c r="C956" s="22" t="str">
        <f t="shared" si="1"/>
        <v>diciembre</v>
      </c>
      <c r="D956" s="22">
        <f t="shared" si="2"/>
        <v>52</v>
      </c>
      <c r="E956" s="23" t="str">
        <f t="shared" si="3"/>
        <v>sábado</v>
      </c>
      <c r="F956" s="22">
        <f t="shared" si="4"/>
        <v>30</v>
      </c>
      <c r="G956" s="22" t="str">
        <f>"COMPL-" &amp;'GB3'!$G$3</f>
        <v>COMPL-GB </v>
      </c>
      <c r="H956" s="3" t="str">
        <f>'GB3'!$A$3</f>
        <v>GASTRONOMIA EN BRASAS</v>
      </c>
      <c r="I956" s="24" t="str">
        <f>'GB3'!B31</f>
        <v/>
      </c>
      <c r="J956" s="2" t="str">
        <f>'GB3'!C31</f>
        <v/>
      </c>
      <c r="K956" s="2" t="str">
        <f>'GB3'!D31</f>
        <v/>
      </c>
      <c r="L956" s="2" t="str">
        <f>'GB3'!E31</f>
        <v/>
      </c>
      <c r="M956" s="2" t="str">
        <f>'GB3'!F31</f>
        <v/>
      </c>
      <c r="N956" s="2" t="str">
        <f>'GB3'!G31</f>
        <v/>
      </c>
      <c r="O956" s="5" t="str">
        <f>'GB3'!H31</f>
        <v/>
      </c>
      <c r="P956" s="5" t="str">
        <f>'GB3'!I31</f>
        <v/>
      </c>
      <c r="Q956" s="5" t="str">
        <f>'GB3'!J31</f>
        <v/>
      </c>
      <c r="R956" s="5" t="str">
        <f>'GB3'!K31</f>
        <v/>
      </c>
      <c r="S956" s="2" t="str">
        <f>'GB3'!L31</f>
        <v/>
      </c>
      <c r="T956" s="2" t="str">
        <f>'GB3'!M31</f>
        <v/>
      </c>
      <c r="U956" s="34" t="str">
        <f>'GB3'!N31</f>
        <v/>
      </c>
      <c r="V956" s="34" t="str">
        <f>'GB3'!O31</f>
        <v/>
      </c>
      <c r="W956" s="2" t="str">
        <f>'GB3'!P31</f>
        <v/>
      </c>
      <c r="X956" s="5">
        <f>'GB3'!Q31</f>
        <v>0</v>
      </c>
      <c r="Y956" s="1"/>
      <c r="Z956" s="1"/>
      <c r="AA956" s="1"/>
    </row>
    <row r="957">
      <c r="A957" s="1"/>
      <c r="B957" s="14">
        <f t="shared" si="19"/>
        <v>28</v>
      </c>
      <c r="C957" s="22" t="str">
        <f t="shared" si="1"/>
        <v>diciembre</v>
      </c>
      <c r="D957" s="22">
        <f t="shared" si="2"/>
        <v>52</v>
      </c>
      <c r="E957" s="23" t="str">
        <f t="shared" si="3"/>
        <v>sábado</v>
      </c>
      <c r="F957" s="22">
        <f t="shared" si="4"/>
        <v>30</v>
      </c>
      <c r="G957" s="22" t="str">
        <f>"COMPL-" &amp;'GB3'!$G$3</f>
        <v>COMPL-GB </v>
      </c>
      <c r="H957" s="3" t="str">
        <f>'GB3'!$A$3</f>
        <v>GASTRONOMIA EN BRASAS</v>
      </c>
      <c r="I957" s="24" t="str">
        <f>'GB3'!B32</f>
        <v/>
      </c>
      <c r="J957" s="2" t="str">
        <f>'GB3'!C32</f>
        <v/>
      </c>
      <c r="K957" s="2" t="str">
        <f>'GB3'!D32</f>
        <v/>
      </c>
      <c r="L957" s="2" t="str">
        <f>'GB3'!E32</f>
        <v/>
      </c>
      <c r="M957" s="2" t="str">
        <f>'GB3'!F32</f>
        <v/>
      </c>
      <c r="N957" s="2" t="str">
        <f>'GB3'!G32</f>
        <v/>
      </c>
      <c r="O957" s="5" t="str">
        <f>'GB3'!H32</f>
        <v/>
      </c>
      <c r="P957" s="5" t="str">
        <f>'GB3'!I32</f>
        <v/>
      </c>
      <c r="Q957" s="5" t="str">
        <f>'GB3'!J32</f>
        <v/>
      </c>
      <c r="R957" s="5" t="str">
        <f>'GB3'!K32</f>
        <v/>
      </c>
      <c r="S957" s="2" t="str">
        <f>'GB3'!L32</f>
        <v/>
      </c>
      <c r="T957" s="2" t="str">
        <f>'GB3'!M32</f>
        <v/>
      </c>
      <c r="U957" s="34" t="str">
        <f>'GB3'!N32</f>
        <v/>
      </c>
      <c r="V957" s="34" t="str">
        <f>'GB3'!O32</f>
        <v/>
      </c>
      <c r="W957" s="2" t="str">
        <f>'GB3'!P32</f>
        <v/>
      </c>
      <c r="X957" s="5">
        <f>'GB3'!Q32</f>
        <v>0</v>
      </c>
      <c r="Y957" s="1"/>
      <c r="Z957" s="1"/>
      <c r="AA957" s="1"/>
    </row>
    <row r="958">
      <c r="A958" s="1"/>
      <c r="B958" s="14">
        <f t="shared" si="19"/>
        <v>29</v>
      </c>
      <c r="C958" s="22" t="str">
        <f t="shared" si="1"/>
        <v>diciembre</v>
      </c>
      <c r="D958" s="22">
        <f t="shared" si="2"/>
        <v>52</v>
      </c>
      <c r="E958" s="23" t="str">
        <f t="shared" si="3"/>
        <v>sábado</v>
      </c>
      <c r="F958" s="22">
        <f t="shared" si="4"/>
        <v>30</v>
      </c>
      <c r="G958" s="22" t="str">
        <f>"COMPL-" &amp;'GB3'!$G$3</f>
        <v>COMPL-GB </v>
      </c>
      <c r="H958" s="3" t="str">
        <f>'GB3'!$A$3</f>
        <v>GASTRONOMIA EN BRASAS</v>
      </c>
      <c r="I958" s="24" t="str">
        <f>'GB3'!B33</f>
        <v/>
      </c>
      <c r="J958" s="2" t="str">
        <f>'GB3'!C33</f>
        <v/>
      </c>
      <c r="K958" s="2" t="str">
        <f>'GB3'!D33</f>
        <v/>
      </c>
      <c r="L958" s="2" t="str">
        <f>'GB3'!E33</f>
        <v/>
      </c>
      <c r="M958" s="2" t="str">
        <f>'GB3'!F33</f>
        <v/>
      </c>
      <c r="N958" s="2" t="str">
        <f>'GB3'!G33</f>
        <v/>
      </c>
      <c r="O958" s="5" t="str">
        <f>'GB3'!H33</f>
        <v/>
      </c>
      <c r="P958" s="5" t="str">
        <f>'GB3'!I33</f>
        <v/>
      </c>
      <c r="Q958" s="5" t="str">
        <f>'GB3'!J33</f>
        <v/>
      </c>
      <c r="R958" s="5" t="str">
        <f>'GB3'!K33</f>
        <v/>
      </c>
      <c r="S958" s="2" t="str">
        <f>'GB3'!L33</f>
        <v/>
      </c>
      <c r="T958" s="2" t="str">
        <f>'GB3'!M33</f>
        <v/>
      </c>
      <c r="U958" s="34" t="str">
        <f>'GB3'!N33</f>
        <v/>
      </c>
      <c r="V958" s="34" t="str">
        <f>'GB3'!O33</f>
        <v/>
      </c>
      <c r="W958" s="2" t="str">
        <f>'GB3'!P33</f>
        <v/>
      </c>
      <c r="X958" s="5">
        <f>'GB3'!Q33</f>
        <v>0</v>
      </c>
      <c r="Y958" s="1"/>
      <c r="Z958" s="1"/>
      <c r="AA958" s="1"/>
    </row>
    <row r="959">
      <c r="A959" s="1"/>
      <c r="B959" s="14">
        <f t="shared" si="19"/>
        <v>30</v>
      </c>
      <c r="C959" s="22" t="str">
        <f t="shared" si="1"/>
        <v>diciembre</v>
      </c>
      <c r="D959" s="22">
        <f t="shared" si="2"/>
        <v>52</v>
      </c>
      <c r="E959" s="23" t="str">
        <f t="shared" si="3"/>
        <v>sábado</v>
      </c>
      <c r="F959" s="22">
        <f t="shared" si="4"/>
        <v>30</v>
      </c>
      <c r="G959" s="22" t="str">
        <f>"COMPL-" &amp;'GB3'!$G$3</f>
        <v>COMPL-GB </v>
      </c>
      <c r="H959" s="3" t="str">
        <f>'GB3'!$A$3</f>
        <v>GASTRONOMIA EN BRASAS</v>
      </c>
      <c r="I959" s="24" t="str">
        <f>'GB3'!B34</f>
        <v/>
      </c>
      <c r="J959" s="2" t="str">
        <f>'GB3'!C34</f>
        <v/>
      </c>
      <c r="K959" s="2" t="str">
        <f>'GB3'!D34</f>
        <v/>
      </c>
      <c r="L959" s="2" t="str">
        <f>'GB3'!E34</f>
        <v/>
      </c>
      <c r="M959" s="2" t="str">
        <f>'GB3'!F34</f>
        <v/>
      </c>
      <c r="N959" s="2" t="str">
        <f>'GB3'!G34</f>
        <v/>
      </c>
      <c r="O959" s="2" t="str">
        <f>'GB3'!H34</f>
        <v/>
      </c>
      <c r="P959" s="2" t="str">
        <f>'GB3'!I34</f>
        <v/>
      </c>
      <c r="Q959" s="2" t="str">
        <f>'GB3'!J34</f>
        <v/>
      </c>
      <c r="R959" s="2" t="str">
        <f>'GB3'!K34</f>
        <v/>
      </c>
      <c r="S959" s="2" t="str">
        <f>'GB3'!L34</f>
        <v/>
      </c>
      <c r="T959" s="2" t="str">
        <f>'GB3'!M34</f>
        <v/>
      </c>
      <c r="U959" s="2" t="str">
        <f>'GB3'!N34</f>
        <v/>
      </c>
      <c r="V959" s="2" t="str">
        <f>'GB3'!O34</f>
        <v/>
      </c>
      <c r="W959" s="2" t="str">
        <f>'GB3'!P34</f>
        <v/>
      </c>
      <c r="X959" s="5">
        <f>'GB3'!Q34</f>
        <v>0</v>
      </c>
      <c r="Y959" s="1"/>
      <c r="Z959" s="1"/>
      <c r="AA959" s="1"/>
    </row>
    <row r="960">
      <c r="A960" s="1"/>
      <c r="B960" s="14">
        <v>1.0</v>
      </c>
      <c r="C960" s="22" t="str">
        <f t="shared" si="1"/>
        <v>abril</v>
      </c>
      <c r="D960" s="22">
        <f t="shared" si="2"/>
        <v>18</v>
      </c>
      <c r="E960" s="23" t="str">
        <f t="shared" si="3"/>
        <v>martes</v>
      </c>
      <c r="F960" s="22">
        <f t="shared" si="4"/>
        <v>28</v>
      </c>
      <c r="G960" s="22" t="str">
        <f>"COMPL-" &amp;'GB4'!$G$3</f>
        <v>COMPL-GB </v>
      </c>
      <c r="H960" s="3" t="str">
        <f>'GB4'!$A$3</f>
        <v>GASTRONOMIA EN BRASAS</v>
      </c>
      <c r="I960" s="2">
        <f>'GB4'!B5</f>
        <v>1214</v>
      </c>
      <c r="J960" s="2">
        <f>'GB4'!C5</f>
        <v>190</v>
      </c>
      <c r="K960" s="2">
        <f>'GB4'!D5</f>
        <v>150</v>
      </c>
      <c r="L960" s="2">
        <f>'GB4'!E5</f>
        <v>190</v>
      </c>
      <c r="M960" s="2" t="str">
        <f>'GB4'!F5</f>
        <v/>
      </c>
      <c r="N960" s="2">
        <f>'GB4'!G5</f>
        <v>349.8</v>
      </c>
      <c r="O960" s="2" t="str">
        <f>'GB4'!H5</f>
        <v/>
      </c>
      <c r="P960" s="2" t="str">
        <f>'GB4'!I5</f>
        <v/>
      </c>
      <c r="Q960" s="2" t="str">
        <f>'GB4'!J5</f>
        <v/>
      </c>
      <c r="R960" s="2">
        <f>'GB4'!K5</f>
        <v>349.8</v>
      </c>
      <c r="S960" s="2" t="str">
        <f>'GB4'!L5</f>
        <v/>
      </c>
      <c r="T960" s="2" t="str">
        <f>'GB4'!M5</f>
        <v/>
      </c>
      <c r="U960" s="2" t="str">
        <f>'GB4'!N5</f>
        <v/>
      </c>
      <c r="V960" s="2" t="str">
        <f>'GB4'!O5</f>
        <v/>
      </c>
      <c r="W960" s="2" t="str">
        <f>'GB4'!P5</f>
        <v/>
      </c>
      <c r="X960" s="5">
        <f>'GB4'!Q5</f>
        <v>0</v>
      </c>
      <c r="Y960" s="1"/>
      <c r="Z960" s="1"/>
      <c r="AA960" s="1"/>
    </row>
    <row r="961">
      <c r="A961" s="1"/>
      <c r="B961" s="14">
        <f t="shared" ref="B961:B989" si="20">B960+1</f>
        <v>2</v>
      </c>
      <c r="C961" s="22" t="str">
        <f t="shared" si="1"/>
        <v>marzo</v>
      </c>
      <c r="D961" s="22">
        <f t="shared" si="2"/>
        <v>13</v>
      </c>
      <c r="E961" s="23" t="str">
        <f t="shared" si="3"/>
        <v>viernes</v>
      </c>
      <c r="F961" s="22">
        <f t="shared" si="4"/>
        <v>30</v>
      </c>
      <c r="G961" s="22" t="str">
        <f>"COMPL-" &amp;'GB4'!$G$3</f>
        <v>COMPL-GB </v>
      </c>
      <c r="H961" s="3" t="str">
        <f>'GB4'!$A$3</f>
        <v>GASTRONOMIA EN BRASAS</v>
      </c>
      <c r="I961" s="2">
        <f>'GB4'!B6</f>
        <v>90</v>
      </c>
      <c r="J961" s="2">
        <f>'GB4'!C6</f>
        <v>200</v>
      </c>
      <c r="K961" s="2">
        <f>'GB4'!D6</f>
        <v>380</v>
      </c>
      <c r="L961" s="2">
        <f>'GB4'!E6</f>
        <v>450</v>
      </c>
      <c r="M961" s="2" t="str">
        <f>'GB4'!F6</f>
        <v/>
      </c>
      <c r="N961" s="2">
        <f>'GB4'!G6</f>
        <v>180</v>
      </c>
      <c r="O961" s="5" t="str">
        <f>'GB4'!H6</f>
        <v/>
      </c>
      <c r="P961" s="5" t="str">
        <f>'GB4'!I6</f>
        <v/>
      </c>
      <c r="Q961" s="5" t="str">
        <f>'GB4'!J6</f>
        <v/>
      </c>
      <c r="R961" s="5">
        <f>'GB4'!K6</f>
        <v>180</v>
      </c>
      <c r="S961" s="2" t="str">
        <f>'GB4'!L6</f>
        <v/>
      </c>
      <c r="T961" s="2" t="str">
        <f>'GB4'!M6</f>
        <v/>
      </c>
      <c r="U961" s="34" t="str">
        <f>'GB4'!N6</f>
        <v/>
      </c>
      <c r="V961" s="34" t="str">
        <f>'GB4'!O6</f>
        <v/>
      </c>
      <c r="W961" s="2" t="str">
        <f>'GB4'!P6</f>
        <v/>
      </c>
      <c r="X961" s="5">
        <f>'GB4'!Q6</f>
        <v>0</v>
      </c>
      <c r="Y961" s="1"/>
      <c r="Z961" s="1"/>
      <c r="AA961" s="1"/>
    </row>
    <row r="962">
      <c r="A962" s="1"/>
      <c r="B962" s="14">
        <f t="shared" si="20"/>
        <v>3</v>
      </c>
      <c r="C962" s="22" t="str">
        <f t="shared" si="1"/>
        <v>enero</v>
      </c>
      <c r="D962" s="22">
        <f t="shared" si="2"/>
        <v>2</v>
      </c>
      <c r="E962" s="23" t="str">
        <f t="shared" si="3"/>
        <v>martes</v>
      </c>
      <c r="F962" s="22">
        <f t="shared" si="4"/>
        <v>9</v>
      </c>
      <c r="G962" s="22" t="str">
        <f>"COMPL-" &amp;'GB4'!$G$3</f>
        <v>COMPL-GB </v>
      </c>
      <c r="H962" s="3" t="str">
        <f>'GB4'!$A$3</f>
        <v>GASTRONOMIA EN BRASAS</v>
      </c>
      <c r="I962" s="2">
        <f>'GB4'!B7</f>
        <v>10</v>
      </c>
      <c r="J962" s="2">
        <f>'GB4'!C7</f>
        <v>380</v>
      </c>
      <c r="K962" s="2">
        <f>'GB4'!D7</f>
        <v>290</v>
      </c>
      <c r="L962" s="2">
        <f>'GB4'!E7</f>
        <v>190</v>
      </c>
      <c r="M962" s="2" t="str">
        <f>'GB4'!F7</f>
        <v/>
      </c>
      <c r="N962" s="2">
        <f>'GB4'!G7</f>
        <v>100</v>
      </c>
      <c r="O962" s="5" t="str">
        <f>'GB4'!H7</f>
        <v/>
      </c>
      <c r="P962" s="5" t="str">
        <f>'GB4'!I7</f>
        <v/>
      </c>
      <c r="Q962" s="5" t="str">
        <f>'GB4'!J7</f>
        <v/>
      </c>
      <c r="R962" s="5">
        <f>'GB4'!K7</f>
        <v>100</v>
      </c>
      <c r="S962" s="2" t="str">
        <f>'GB4'!L7</f>
        <v/>
      </c>
      <c r="T962" s="2" t="str">
        <f>'GB4'!M7</f>
        <v/>
      </c>
      <c r="U962" s="34" t="str">
        <f>'GB4'!N7</f>
        <v/>
      </c>
      <c r="V962" s="34" t="str">
        <f>'GB4'!O7</f>
        <v/>
      </c>
      <c r="W962" s="2" t="str">
        <f>'GB4'!P7</f>
        <v/>
      </c>
      <c r="X962" s="5">
        <f>'GB4'!Q7</f>
        <v>0</v>
      </c>
      <c r="Y962" s="1"/>
      <c r="Z962" s="1"/>
      <c r="AA962" s="1"/>
    </row>
    <row r="963">
      <c r="A963" s="1"/>
      <c r="B963" s="14">
        <f t="shared" si="20"/>
        <v>4</v>
      </c>
      <c r="C963" s="22" t="str">
        <f t="shared" si="1"/>
        <v>abril</v>
      </c>
      <c r="D963" s="22">
        <f t="shared" si="2"/>
        <v>18</v>
      </c>
      <c r="E963" s="23" t="str">
        <f t="shared" si="3"/>
        <v>domingo</v>
      </c>
      <c r="F963" s="22">
        <f t="shared" si="4"/>
        <v>29</v>
      </c>
      <c r="G963" s="22" t="str">
        <f>"COMPL-" &amp;'GB4'!$G$3</f>
        <v>COMPL-GB </v>
      </c>
      <c r="H963" s="3" t="str">
        <f>'GB4'!$A$3</f>
        <v>GASTRONOMIA EN BRASAS</v>
      </c>
      <c r="I963" s="2">
        <f>'GB4'!B8</f>
        <v>120</v>
      </c>
      <c r="J963" s="2">
        <f>'GB4'!C8</f>
        <v>180</v>
      </c>
      <c r="K963" s="2">
        <f>'GB4'!D8</f>
        <v>165</v>
      </c>
      <c r="L963" s="2">
        <f>'GB4'!E8</f>
        <v>360</v>
      </c>
      <c r="M963" s="2" t="str">
        <f>'GB4'!F8</f>
        <v/>
      </c>
      <c r="N963" s="2">
        <f>'GB4'!G8</f>
        <v>300</v>
      </c>
      <c r="O963" s="5" t="str">
        <f>'GB4'!H8</f>
        <v/>
      </c>
      <c r="P963" s="5" t="str">
        <f>'GB4'!I8</f>
        <v/>
      </c>
      <c r="Q963" s="5" t="str">
        <f>'GB4'!J8</f>
        <v/>
      </c>
      <c r="R963" s="5">
        <f>'GB4'!K8</f>
        <v>300</v>
      </c>
      <c r="S963" s="2" t="str">
        <f>'GB4'!L8</f>
        <v/>
      </c>
      <c r="T963" s="2" t="str">
        <f>'GB4'!M8</f>
        <v/>
      </c>
      <c r="U963" s="34" t="str">
        <f>'GB4'!N8</f>
        <v/>
      </c>
      <c r="V963" s="34" t="str">
        <f>'GB4'!O8</f>
        <v/>
      </c>
      <c r="W963" s="2" t="str">
        <f>'GB4'!P8</f>
        <v/>
      </c>
      <c r="X963" s="5">
        <f>'GB4'!Q8</f>
        <v>0</v>
      </c>
      <c r="Y963" s="1"/>
      <c r="Z963" s="1"/>
      <c r="AA963" s="1"/>
    </row>
    <row r="964">
      <c r="A964" s="1"/>
      <c r="B964" s="14">
        <f t="shared" si="20"/>
        <v>5</v>
      </c>
      <c r="C964" s="22" t="str">
        <f t="shared" si="1"/>
        <v>enero</v>
      </c>
      <c r="D964" s="22">
        <f t="shared" si="2"/>
        <v>3</v>
      </c>
      <c r="E964" s="23" t="str">
        <f t="shared" si="3"/>
        <v>viernes</v>
      </c>
      <c r="F964" s="22">
        <f t="shared" si="4"/>
        <v>19</v>
      </c>
      <c r="G964" s="22" t="str">
        <f>"COMPL-" &amp;'GB4'!$G$3</f>
        <v>COMPL-GB </v>
      </c>
      <c r="H964" s="3" t="str">
        <f>'GB4'!$A$3</f>
        <v>GASTRONOMIA EN BRASAS</v>
      </c>
      <c r="I964" s="2">
        <f>'GB4'!B9</f>
        <v>20</v>
      </c>
      <c r="J964" s="2">
        <f>'GB4'!C9</f>
        <v>100</v>
      </c>
      <c r="K964" s="2">
        <f>'GB4'!D9</f>
        <v>170</v>
      </c>
      <c r="L964" s="2">
        <f>'GB4'!E9</f>
        <v>350</v>
      </c>
      <c r="M964" s="2" t="str">
        <f>'GB4'!F9</f>
        <v/>
      </c>
      <c r="N964" s="2">
        <f>'GB4'!G9</f>
        <v>200</v>
      </c>
      <c r="O964" s="5" t="str">
        <f>'GB4'!H9</f>
        <v/>
      </c>
      <c r="P964" s="5" t="str">
        <f>'GB4'!I9</f>
        <v/>
      </c>
      <c r="Q964" s="5" t="str">
        <f>'GB4'!J9</f>
        <v/>
      </c>
      <c r="R964" s="5">
        <f>'GB4'!K9</f>
        <v>200</v>
      </c>
      <c r="S964" s="2" t="str">
        <f>'GB4'!L9</f>
        <v/>
      </c>
      <c r="T964" s="2" t="str">
        <f>'GB4'!M9</f>
        <v/>
      </c>
      <c r="U964" s="34" t="str">
        <f>'GB4'!N9</f>
        <v/>
      </c>
      <c r="V964" s="34" t="str">
        <f>'GB4'!O9</f>
        <v/>
      </c>
      <c r="W964" s="2" t="str">
        <f>'GB4'!P9</f>
        <v/>
      </c>
      <c r="X964" s="5">
        <f>'GB4'!Q9</f>
        <v>0</v>
      </c>
      <c r="Y964" s="1"/>
      <c r="Z964" s="1"/>
      <c r="AA964" s="1"/>
    </row>
    <row r="965">
      <c r="A965" s="1"/>
      <c r="B965" s="14">
        <f t="shared" si="20"/>
        <v>6</v>
      </c>
      <c r="C965" s="22" t="str">
        <f t="shared" si="1"/>
        <v>mayo</v>
      </c>
      <c r="D965" s="22">
        <f t="shared" si="2"/>
        <v>22</v>
      </c>
      <c r="E965" s="23" t="str">
        <f t="shared" si="3"/>
        <v>martes</v>
      </c>
      <c r="F965" s="22">
        <f t="shared" si="4"/>
        <v>29</v>
      </c>
      <c r="G965" s="22" t="str">
        <f>"COMPL-" &amp;'GB4'!$G$3</f>
        <v>COMPL-GB </v>
      </c>
      <c r="H965" s="3" t="str">
        <f>'GB4'!$A$3</f>
        <v>GASTRONOMIA EN BRASAS</v>
      </c>
      <c r="I965" s="2">
        <f>'GB4'!B10</f>
        <v>150</v>
      </c>
      <c r="J965" s="2">
        <f>'GB4'!C10</f>
        <v>160</v>
      </c>
      <c r="K965" s="2">
        <f>'GB4'!D10</f>
        <v>330</v>
      </c>
      <c r="L965" s="2">
        <f>'GB4'!E10</f>
        <v>160</v>
      </c>
      <c r="M965" s="2" t="str">
        <f>'GB4'!F10</f>
        <v/>
      </c>
      <c r="N965" s="2">
        <f>'GB4'!G10</f>
        <v>180</v>
      </c>
      <c r="O965" s="5" t="str">
        <f>'GB4'!H10</f>
        <v/>
      </c>
      <c r="P965" s="5" t="str">
        <f>'GB4'!I10</f>
        <v/>
      </c>
      <c r="Q965" s="5" t="str">
        <f>'GB4'!J10</f>
        <v/>
      </c>
      <c r="R965" s="5">
        <f>'GB4'!K10</f>
        <v>180</v>
      </c>
      <c r="S965" s="2" t="str">
        <f>'GB4'!L10</f>
        <v/>
      </c>
      <c r="T965" s="2" t="str">
        <f>'GB4'!M10</f>
        <v/>
      </c>
      <c r="U965" s="34" t="str">
        <f>'GB4'!N10</f>
        <v/>
      </c>
      <c r="V965" s="34" t="str">
        <f>'GB4'!O10</f>
        <v/>
      </c>
      <c r="W965" s="2" t="str">
        <f>'GB4'!P10</f>
        <v/>
      </c>
      <c r="X965" s="5">
        <f>'GB4'!Q10</f>
        <v>0</v>
      </c>
      <c r="Y965" s="1"/>
      <c r="Z965" s="1"/>
      <c r="AA965" s="1"/>
    </row>
    <row r="966">
      <c r="A966" s="1"/>
      <c r="B966" s="14">
        <f t="shared" si="20"/>
        <v>7</v>
      </c>
      <c r="C966" s="22" t="str">
        <f t="shared" si="1"/>
        <v>junio</v>
      </c>
      <c r="D966" s="22">
        <f t="shared" si="2"/>
        <v>26</v>
      </c>
      <c r="E966" s="23" t="str">
        <f t="shared" si="3"/>
        <v>jueves</v>
      </c>
      <c r="F966" s="22">
        <f t="shared" si="4"/>
        <v>28</v>
      </c>
      <c r="G966" s="22" t="str">
        <f>"COMPL-" &amp;'GB4'!$G$3</f>
        <v>COMPL-GB </v>
      </c>
      <c r="H966" s="3" t="str">
        <f>'GB4'!$A$3</f>
        <v>GASTRONOMIA EN BRASAS</v>
      </c>
      <c r="I966" s="2">
        <f>'GB4'!B11</f>
        <v>180</v>
      </c>
      <c r="J966" s="2">
        <f>'GB4'!C11</f>
        <v>200</v>
      </c>
      <c r="K966" s="2">
        <f>'GB4'!D11</f>
        <v>139.76</v>
      </c>
      <c r="L966" s="2">
        <f>'GB4'!E11</f>
        <v>200</v>
      </c>
      <c r="M966" s="2" t="str">
        <f>'GB4'!F11</f>
        <v/>
      </c>
      <c r="N966" s="2">
        <f>'GB4'!G11</f>
        <v>125</v>
      </c>
      <c r="O966" s="5" t="str">
        <f>'GB4'!H11</f>
        <v/>
      </c>
      <c r="P966" s="5" t="str">
        <f>'GB4'!I11</f>
        <v/>
      </c>
      <c r="Q966" s="5" t="str">
        <f>'GB4'!J11</f>
        <v/>
      </c>
      <c r="R966" s="5">
        <f>'GB4'!K11</f>
        <v>125</v>
      </c>
      <c r="S966" s="2" t="str">
        <f>'GB4'!L11</f>
        <v/>
      </c>
      <c r="T966" s="2" t="str">
        <f>'GB4'!M11</f>
        <v/>
      </c>
      <c r="U966" s="34" t="str">
        <f>'GB4'!N11</f>
        <v/>
      </c>
      <c r="V966" s="34" t="str">
        <f>'GB4'!O11</f>
        <v/>
      </c>
      <c r="W966" s="2" t="str">
        <f>'GB4'!P11</f>
        <v/>
      </c>
      <c r="X966" s="5">
        <f>'GB4'!Q11</f>
        <v>0</v>
      </c>
      <c r="Y966" s="1"/>
      <c r="Z966" s="1"/>
      <c r="AA966" s="1"/>
    </row>
    <row r="967">
      <c r="A967" s="1"/>
      <c r="B967" s="14">
        <f t="shared" si="20"/>
        <v>8</v>
      </c>
      <c r="C967" s="22" t="str">
        <f t="shared" si="1"/>
        <v>abril</v>
      </c>
      <c r="D967" s="22">
        <f t="shared" si="2"/>
        <v>15</v>
      </c>
      <c r="E967" s="23" t="str">
        <f t="shared" si="3"/>
        <v>lunes</v>
      </c>
      <c r="F967" s="22">
        <f t="shared" si="4"/>
        <v>9</v>
      </c>
      <c r="G967" s="22" t="str">
        <f>"COMPL-" &amp;'GB4'!$G$3</f>
        <v>COMPL-GB </v>
      </c>
      <c r="H967" s="3" t="str">
        <f>'GB4'!$A$3</f>
        <v>GASTRONOMIA EN BRASAS</v>
      </c>
      <c r="I967" s="2">
        <f>'GB4'!B12</f>
        <v>100</v>
      </c>
      <c r="J967" s="2">
        <f>'GB4'!C12</f>
        <v>180</v>
      </c>
      <c r="K967" s="2">
        <f>'GB4'!D12</f>
        <v>190</v>
      </c>
      <c r="L967" s="2">
        <f>'GB4'!E12</f>
        <v>380</v>
      </c>
      <c r="M967" s="2" t="str">
        <f>'GB4'!F12</f>
        <v/>
      </c>
      <c r="N967" s="2">
        <f>'GB4'!G12</f>
        <v>380</v>
      </c>
      <c r="O967" s="5" t="str">
        <f>'GB4'!H12</f>
        <v/>
      </c>
      <c r="P967" s="5">
        <f>'GB4'!I12</f>
        <v>3490</v>
      </c>
      <c r="Q967" s="5" t="str">
        <f>'GB4'!J12</f>
        <v/>
      </c>
      <c r="R967" s="5">
        <f>'GB4'!K12</f>
        <v>380</v>
      </c>
      <c r="S967" s="2" t="str">
        <f>'GB4'!L12</f>
        <v/>
      </c>
      <c r="T967" s="2" t="str">
        <f>'GB4'!M12</f>
        <v/>
      </c>
      <c r="U967" s="34" t="str">
        <f>'GB4'!N12</f>
        <v/>
      </c>
      <c r="V967" s="34" t="str">
        <f>'GB4'!O12</f>
        <v/>
      </c>
      <c r="W967" s="2" t="str">
        <f>'GB4'!P12</f>
        <v/>
      </c>
      <c r="X967" s="5">
        <f>'GB4'!Q12</f>
        <v>0</v>
      </c>
      <c r="Y967" s="1"/>
      <c r="Z967" s="1"/>
      <c r="AA967" s="1"/>
    </row>
    <row r="968">
      <c r="A968" s="1"/>
      <c r="B968" s="14">
        <f t="shared" si="20"/>
        <v>9</v>
      </c>
      <c r="C968" s="22" t="str">
        <f t="shared" si="1"/>
        <v>septiembre</v>
      </c>
      <c r="D968" s="22">
        <f t="shared" si="2"/>
        <v>36</v>
      </c>
      <c r="E968" s="23" t="str">
        <f t="shared" si="3"/>
        <v>jueves</v>
      </c>
      <c r="F968" s="22">
        <f t="shared" si="4"/>
        <v>6</v>
      </c>
      <c r="G968" s="22" t="str">
        <f>"COMPL-" &amp;'GB4'!$G$3</f>
        <v>COMPL-GB </v>
      </c>
      <c r="H968" s="3" t="str">
        <f>'GB4'!$A$3</f>
        <v>GASTRONOMIA EN BRASAS</v>
      </c>
      <c r="I968" s="2">
        <f>'GB4'!B13</f>
        <v>250</v>
      </c>
      <c r="J968" s="2">
        <f>'GB4'!C13</f>
        <v>250</v>
      </c>
      <c r="K968" s="2">
        <f>'GB4'!D13</f>
        <v>180</v>
      </c>
      <c r="L968" s="2">
        <f>'GB4'!E13</f>
        <v>300</v>
      </c>
      <c r="M968" s="2" t="str">
        <f>'GB4'!F13</f>
        <v/>
      </c>
      <c r="N968" s="2">
        <f>'GB4'!G13</f>
        <v>200</v>
      </c>
      <c r="O968" s="5" t="str">
        <f>'GB4'!H13</f>
        <v/>
      </c>
      <c r="P968" s="5">
        <f>'GB4'!I13</f>
        <v>349.8</v>
      </c>
      <c r="Q968" s="5" t="str">
        <f>'GB4'!J13</f>
        <v/>
      </c>
      <c r="R968" s="5">
        <f>'GB4'!K13</f>
        <v>200</v>
      </c>
      <c r="S968" s="2" t="str">
        <f>'GB4'!L13</f>
        <v/>
      </c>
      <c r="T968" s="2" t="str">
        <f>'GB4'!M13</f>
        <v/>
      </c>
      <c r="U968" s="34" t="str">
        <f>'GB4'!N13</f>
        <v/>
      </c>
      <c r="V968" s="34" t="str">
        <f>'GB4'!O13</f>
        <v/>
      </c>
      <c r="W968" s="2" t="str">
        <f>'GB4'!P13</f>
        <v/>
      </c>
      <c r="X968" s="5">
        <f>'GB4'!Q13</f>
        <v>0</v>
      </c>
      <c r="Y968" s="1"/>
      <c r="Z968" s="1"/>
      <c r="AA968" s="1"/>
    </row>
    <row r="969">
      <c r="A969" s="1"/>
      <c r="B969" s="14">
        <f t="shared" si="20"/>
        <v>10</v>
      </c>
      <c r="C969" s="22" t="str">
        <f t="shared" si="1"/>
        <v>mayo</v>
      </c>
      <c r="D969" s="22">
        <f t="shared" si="2"/>
        <v>20</v>
      </c>
      <c r="E969" s="23" t="str">
        <f t="shared" si="3"/>
        <v>viernes</v>
      </c>
      <c r="F969" s="22">
        <f t="shared" si="4"/>
        <v>18</v>
      </c>
      <c r="G969" s="22" t="str">
        <f>"COMPL-" &amp;'GB4'!$G$3</f>
        <v>COMPL-GB </v>
      </c>
      <c r="H969" s="3" t="str">
        <f>'GB4'!$A$3</f>
        <v>GASTRONOMIA EN BRASAS</v>
      </c>
      <c r="I969" s="2">
        <f>'GB4'!B14</f>
        <v>139.76</v>
      </c>
      <c r="J969" s="2">
        <f>'GB4'!C14</f>
        <v>330</v>
      </c>
      <c r="K969" s="2">
        <f>'GB4'!D14</f>
        <v>100</v>
      </c>
      <c r="L969" s="2" t="str">
        <f>'GB4'!E14</f>
        <v/>
      </c>
      <c r="M969" s="2" t="str">
        <f>'GB4'!F14</f>
        <v/>
      </c>
      <c r="N969" s="2" t="str">
        <f>'GB4'!G14</f>
        <v/>
      </c>
      <c r="O969" s="5" t="str">
        <f>'GB4'!H14</f>
        <v/>
      </c>
      <c r="P969" s="5">
        <f>'GB4'!I14</f>
        <v>344</v>
      </c>
      <c r="Q969" s="5" t="str">
        <f>'GB4'!J14</f>
        <v/>
      </c>
      <c r="R969" s="5" t="str">
        <f>'GB4'!K14</f>
        <v/>
      </c>
      <c r="S969" s="2" t="str">
        <f>'GB4'!L14</f>
        <v/>
      </c>
      <c r="T969" s="2" t="str">
        <f>'GB4'!M14</f>
        <v/>
      </c>
      <c r="U969" s="34" t="str">
        <f>'GB4'!N14</f>
        <v/>
      </c>
      <c r="V969" s="34" t="str">
        <f>'GB4'!O14</f>
        <v/>
      </c>
      <c r="W969" s="2" t="str">
        <f>'GB4'!P14</f>
        <v/>
      </c>
      <c r="X969" s="5">
        <f>'GB4'!Q14</f>
        <v>0</v>
      </c>
      <c r="Y969" s="1"/>
      <c r="Z969" s="1"/>
      <c r="AA969" s="1"/>
    </row>
    <row r="970">
      <c r="A970" s="1"/>
      <c r="B970" s="14">
        <f t="shared" si="20"/>
        <v>11</v>
      </c>
      <c r="C970" s="22" t="str">
        <f t="shared" si="1"/>
        <v>julio</v>
      </c>
      <c r="D970" s="22">
        <f t="shared" si="2"/>
        <v>29</v>
      </c>
      <c r="E970" s="23" t="str">
        <f t="shared" si="3"/>
        <v>miércoles</v>
      </c>
      <c r="F970" s="22">
        <f t="shared" si="4"/>
        <v>18</v>
      </c>
      <c r="G970" s="22" t="str">
        <f>"COMPL-" &amp;'GB4'!$G$3</f>
        <v>COMPL-GB </v>
      </c>
      <c r="H970" s="3" t="str">
        <f>'GB4'!$A$3</f>
        <v>GASTRONOMIA EN BRASAS</v>
      </c>
      <c r="I970" s="2">
        <f>'GB4'!B15</f>
        <v>200</v>
      </c>
      <c r="J970" s="2">
        <f>'GB4'!C15</f>
        <v>280</v>
      </c>
      <c r="K970" s="2">
        <f>'GB4'!D15</f>
        <v>50</v>
      </c>
      <c r="L970" s="2" t="str">
        <f>'GB4'!E15</f>
        <v/>
      </c>
      <c r="M970" s="2" t="str">
        <f>'GB4'!F15</f>
        <v/>
      </c>
      <c r="N970" s="2" t="str">
        <f>'GB4'!G15</f>
        <v/>
      </c>
      <c r="O970" s="5" t="str">
        <f>'GB4'!H15</f>
        <v/>
      </c>
      <c r="P970" s="5" t="str">
        <f>'GB4'!I15</f>
        <v/>
      </c>
      <c r="Q970" s="5" t="str">
        <f>'GB4'!J15</f>
        <v/>
      </c>
      <c r="R970" s="5" t="str">
        <f>'GB4'!K15</f>
        <v/>
      </c>
      <c r="S970" s="2" t="str">
        <f>'GB4'!L15</f>
        <v/>
      </c>
      <c r="T970" s="2" t="str">
        <f>'GB4'!M15</f>
        <v/>
      </c>
      <c r="U970" s="34" t="str">
        <f>'GB4'!N15</f>
        <v/>
      </c>
      <c r="V970" s="34" t="str">
        <f>'GB4'!O15</f>
        <v/>
      </c>
      <c r="W970" s="2" t="str">
        <f>'GB4'!P15</f>
        <v/>
      </c>
      <c r="X970" s="5">
        <f>'GB4'!Q15</f>
        <v>0</v>
      </c>
      <c r="Y970" s="1"/>
      <c r="Z970" s="1"/>
      <c r="AA970" s="1"/>
    </row>
    <row r="971">
      <c r="A971" s="1"/>
      <c r="B971" s="14">
        <f t="shared" si="20"/>
        <v>12</v>
      </c>
      <c r="C971" s="22" t="str">
        <f t="shared" si="1"/>
        <v>mayo</v>
      </c>
      <c r="D971" s="22">
        <f t="shared" si="2"/>
        <v>22</v>
      </c>
      <c r="E971" s="23" t="str">
        <f t="shared" si="3"/>
        <v>martes</v>
      </c>
      <c r="F971" s="22">
        <f t="shared" si="4"/>
        <v>29</v>
      </c>
      <c r="G971" s="22" t="str">
        <f>"COMPL-" &amp;'GB4'!$G$3</f>
        <v>COMPL-GB </v>
      </c>
      <c r="H971" s="3" t="str">
        <f>'GB4'!$A$3</f>
        <v>GASTRONOMIA EN BRASAS</v>
      </c>
      <c r="I971" s="2">
        <f>'GB4'!B16</f>
        <v>150</v>
      </c>
      <c r="J971" s="2">
        <f>'GB4'!C16</f>
        <v>500</v>
      </c>
      <c r="K971" s="2">
        <f>'GB4'!D16</f>
        <v>1439</v>
      </c>
      <c r="L971" s="2" t="str">
        <f>'GB4'!E16</f>
        <v/>
      </c>
      <c r="M971" s="2" t="str">
        <f>'GB4'!F16</f>
        <v/>
      </c>
      <c r="N971" s="2" t="str">
        <f>'GB4'!G16</f>
        <v/>
      </c>
      <c r="O971" s="5" t="str">
        <f>'GB4'!H16</f>
        <v/>
      </c>
      <c r="P971" s="5" t="str">
        <f>'GB4'!I16</f>
        <v/>
      </c>
      <c r="Q971" s="5" t="str">
        <f>'GB4'!J16</f>
        <v/>
      </c>
      <c r="R971" s="5" t="str">
        <f>'GB4'!K16</f>
        <v/>
      </c>
      <c r="S971" s="2" t="str">
        <f>'GB4'!L16</f>
        <v/>
      </c>
      <c r="T971" s="2" t="str">
        <f>'GB4'!M16</f>
        <v/>
      </c>
      <c r="U971" s="34" t="str">
        <f>'GB4'!N16</f>
        <v/>
      </c>
      <c r="V971" s="34" t="str">
        <f>'GB4'!O16</f>
        <v/>
      </c>
      <c r="W971" s="2" t="str">
        <f>'GB4'!P16</f>
        <v/>
      </c>
      <c r="X971" s="5">
        <f>'GB4'!Q16</f>
        <v>0</v>
      </c>
      <c r="Y971" s="1"/>
      <c r="Z971" s="1"/>
      <c r="AA971" s="1"/>
    </row>
    <row r="972">
      <c r="A972" s="1"/>
      <c r="B972" s="14">
        <f t="shared" si="20"/>
        <v>13</v>
      </c>
      <c r="C972" s="22" t="str">
        <f t="shared" si="1"/>
        <v>enero</v>
      </c>
      <c r="D972" s="22">
        <f t="shared" si="2"/>
        <v>3</v>
      </c>
      <c r="E972" s="23" t="str">
        <f t="shared" si="3"/>
        <v>lunes</v>
      </c>
      <c r="F972" s="22">
        <f t="shared" si="4"/>
        <v>14</v>
      </c>
      <c r="G972" s="22" t="str">
        <f>"COMPL-" &amp;'GB4'!$G$3</f>
        <v>COMPL-GB </v>
      </c>
      <c r="H972" s="3" t="str">
        <f>'GB4'!$A$3</f>
        <v>GASTRONOMIA EN BRASAS</v>
      </c>
      <c r="I972" s="2">
        <f>'GB4'!B17</f>
        <v>380</v>
      </c>
      <c r="J972" s="2" t="str">
        <f>'GB4'!C17</f>
        <v/>
      </c>
      <c r="K972" s="2" t="str">
        <f>'GB4'!D17</f>
        <v/>
      </c>
      <c r="L972" s="2" t="str">
        <f>'GB4'!E17</f>
        <v/>
      </c>
      <c r="M972" s="2">
        <f>'GB4'!F17</f>
        <v>349.8</v>
      </c>
      <c r="N972" s="2" t="str">
        <f>'GB4'!G17</f>
        <v/>
      </c>
      <c r="O972" s="5">
        <f>'GB4'!H17</f>
        <v>693.8</v>
      </c>
      <c r="P972" s="5" t="str">
        <f>'GB4'!I17</f>
        <v/>
      </c>
      <c r="Q972" s="5" t="str">
        <f>'GB4'!J17</f>
        <v/>
      </c>
      <c r="R972" s="5" t="str">
        <f>'GB4'!K17</f>
        <v/>
      </c>
      <c r="S972" s="2" t="str">
        <f>'GB4'!L17</f>
        <v/>
      </c>
      <c r="T972" s="2" t="str">
        <f>'GB4'!M17</f>
        <v/>
      </c>
      <c r="U972" s="34" t="str">
        <f>'GB4'!N17</f>
        <v/>
      </c>
      <c r="V972" s="34" t="str">
        <f>'GB4'!O17</f>
        <v/>
      </c>
      <c r="W972" s="2" t="str">
        <f>'GB4'!P17</f>
        <v/>
      </c>
      <c r="X972" s="5">
        <f>'GB4'!Q17</f>
        <v>0</v>
      </c>
      <c r="Y972" s="1"/>
      <c r="Z972" s="1"/>
      <c r="AA972" s="1"/>
    </row>
    <row r="973">
      <c r="A973" s="1"/>
      <c r="B973" s="14">
        <f t="shared" si="20"/>
        <v>14</v>
      </c>
      <c r="C973" s="22" t="str">
        <f t="shared" si="1"/>
        <v>febrero</v>
      </c>
      <c r="D973" s="22">
        <f t="shared" si="2"/>
        <v>6</v>
      </c>
      <c r="E973" s="23" t="str">
        <f t="shared" si="3"/>
        <v>lunes</v>
      </c>
      <c r="F973" s="22">
        <f t="shared" si="4"/>
        <v>5</v>
      </c>
      <c r="G973" s="22" t="str">
        <f>"COMPL-" &amp;'GB4'!$G$3</f>
        <v>COMPL-GB </v>
      </c>
      <c r="H973" s="3" t="str">
        <f>'GB4'!$A$3</f>
        <v>GASTRONOMIA EN BRASAS</v>
      </c>
      <c r="I973" s="2">
        <f>'GB4'!B18</f>
        <v>37.9</v>
      </c>
      <c r="J973" s="2">
        <f>'GB4'!C18</f>
        <v>180</v>
      </c>
      <c r="K973" s="2" t="str">
        <f>'GB4'!D18</f>
        <v/>
      </c>
      <c r="L973" s="2" t="str">
        <f>'GB4'!E18</f>
        <v/>
      </c>
      <c r="M973" s="2">
        <f>'GB4'!F18</f>
        <v>344</v>
      </c>
      <c r="N973" s="2" t="str">
        <f>'GB4'!G18</f>
        <v/>
      </c>
      <c r="O973" s="5" t="str">
        <f>'GB4'!H18</f>
        <v/>
      </c>
      <c r="P973" s="5" t="str">
        <f>'GB4'!I18</f>
        <v/>
      </c>
      <c r="Q973" s="5" t="str">
        <f>'GB4'!J18</f>
        <v/>
      </c>
      <c r="R973" s="5" t="str">
        <f>'GB4'!K18</f>
        <v/>
      </c>
      <c r="S973" s="2" t="str">
        <f>'GB4'!L18</f>
        <v/>
      </c>
      <c r="T973" s="2" t="str">
        <f>'GB4'!M18</f>
        <v/>
      </c>
      <c r="U973" s="34" t="str">
        <f>'GB4'!N18</f>
        <v/>
      </c>
      <c r="V973" s="34" t="str">
        <f>'GB4'!O18</f>
        <v/>
      </c>
      <c r="W973" s="2" t="str">
        <f>'GB4'!P18</f>
        <v/>
      </c>
      <c r="X973" s="5">
        <f>'GB4'!Q18</f>
        <v>0</v>
      </c>
      <c r="Y973" s="1"/>
      <c r="Z973" s="1"/>
      <c r="AA973" s="1"/>
    </row>
    <row r="974">
      <c r="A974" s="1"/>
      <c r="B974" s="14">
        <f t="shared" si="20"/>
        <v>15</v>
      </c>
      <c r="C974" s="22" t="str">
        <f t="shared" si="1"/>
        <v>diciembre</v>
      </c>
      <c r="D974" s="22">
        <f t="shared" si="2"/>
        <v>52</v>
      </c>
      <c r="E974" s="23" t="str">
        <f t="shared" si="3"/>
        <v>sábado</v>
      </c>
      <c r="F974" s="22">
        <f t="shared" si="4"/>
        <v>30</v>
      </c>
      <c r="G974" s="22" t="str">
        <f>"COMPL-" &amp;'GB4'!$G$3</f>
        <v>COMPL-GB </v>
      </c>
      <c r="H974" s="3" t="str">
        <f>'GB4'!$A$3</f>
        <v>GASTRONOMIA EN BRASAS</v>
      </c>
      <c r="I974" s="24" t="str">
        <f>'GB4'!B19</f>
        <v/>
      </c>
      <c r="J974" s="2">
        <f>'GB4'!C19</f>
        <v>360</v>
      </c>
      <c r="K974" s="2" t="str">
        <f>'GB4'!D19</f>
        <v/>
      </c>
      <c r="L974" s="2">
        <f>'GB4'!E19</f>
        <v>3490</v>
      </c>
      <c r="M974" s="2" t="str">
        <f>'GB4'!F19</f>
        <v/>
      </c>
      <c r="N974" s="2" t="str">
        <f>'GB4'!G19</f>
        <v/>
      </c>
      <c r="O974" s="5" t="str">
        <f>'GB4'!H19</f>
        <v/>
      </c>
      <c r="P974" s="5" t="str">
        <f>'GB4'!I19</f>
        <v/>
      </c>
      <c r="Q974" s="5" t="str">
        <f>'GB4'!J19</f>
        <v/>
      </c>
      <c r="R974" s="5" t="str">
        <f>'GB4'!K19</f>
        <v/>
      </c>
      <c r="S974" s="2" t="str">
        <f>'GB4'!L19</f>
        <v/>
      </c>
      <c r="T974" s="2" t="str">
        <f>'GB4'!M19</f>
        <v/>
      </c>
      <c r="U974" s="34" t="str">
        <f>'GB4'!N19</f>
        <v/>
      </c>
      <c r="V974" s="34" t="str">
        <f>'GB4'!O19</f>
        <v/>
      </c>
      <c r="W974" s="2" t="str">
        <f>'GB4'!P19</f>
        <v/>
      </c>
      <c r="X974" s="5">
        <f>'GB4'!Q19</f>
        <v>0</v>
      </c>
      <c r="Y974" s="1"/>
      <c r="Z974" s="1"/>
      <c r="AA974" s="1"/>
    </row>
    <row r="975">
      <c r="A975" s="1"/>
      <c r="B975" s="14">
        <f t="shared" si="20"/>
        <v>16</v>
      </c>
      <c r="C975" s="22" t="str">
        <f t="shared" si="1"/>
        <v>diciembre</v>
      </c>
      <c r="D975" s="22">
        <f t="shared" si="2"/>
        <v>52</v>
      </c>
      <c r="E975" s="23" t="str">
        <f t="shared" si="3"/>
        <v>sábado</v>
      </c>
      <c r="F975" s="22">
        <f t="shared" si="4"/>
        <v>30</v>
      </c>
      <c r="G975" s="22" t="str">
        <f>"COMPL-" &amp;'GB4'!$G$3</f>
        <v>COMPL-GB </v>
      </c>
      <c r="H975" s="3" t="str">
        <f>'GB4'!$A$3</f>
        <v>GASTRONOMIA EN BRASAS</v>
      </c>
      <c r="I975" s="24" t="str">
        <f>'GB4'!B20</f>
        <v/>
      </c>
      <c r="J975" s="2" t="str">
        <f>'GB4'!C20</f>
        <v/>
      </c>
      <c r="K975" s="2" t="str">
        <f>'GB4'!D20</f>
        <v/>
      </c>
      <c r="L975" s="2">
        <f>'GB4'!E20</f>
        <v>693.8</v>
      </c>
      <c r="M975" s="2" t="str">
        <f>'GB4'!F20</f>
        <v/>
      </c>
      <c r="N975" s="2" t="str">
        <f>'GB4'!G20</f>
        <v/>
      </c>
      <c r="O975" s="5" t="str">
        <f>'GB4'!H20</f>
        <v/>
      </c>
      <c r="P975" s="5" t="str">
        <f>'GB4'!I20</f>
        <v/>
      </c>
      <c r="Q975" s="5" t="str">
        <f>'GB4'!J20</f>
        <v/>
      </c>
      <c r="R975" s="5" t="str">
        <f>'GB4'!K20</f>
        <v/>
      </c>
      <c r="S975" s="2" t="str">
        <f>'GB4'!L20</f>
        <v/>
      </c>
      <c r="T975" s="2" t="str">
        <f>'GB4'!M20</f>
        <v/>
      </c>
      <c r="U975" s="34" t="str">
        <f>'GB4'!N20</f>
        <v/>
      </c>
      <c r="V975" s="34" t="str">
        <f>'GB4'!O20</f>
        <v/>
      </c>
      <c r="W975" s="2" t="str">
        <f>'GB4'!P20</f>
        <v/>
      </c>
      <c r="X975" s="5">
        <f>'GB4'!Q20</f>
        <v>0</v>
      </c>
      <c r="Y975" s="1"/>
      <c r="Z975" s="1"/>
      <c r="AA975" s="1"/>
    </row>
    <row r="976">
      <c r="A976" s="1"/>
      <c r="B976" s="14">
        <f t="shared" si="20"/>
        <v>17</v>
      </c>
      <c r="C976" s="22" t="str">
        <f t="shared" si="1"/>
        <v>diciembre</v>
      </c>
      <c r="D976" s="22">
        <f t="shared" si="2"/>
        <v>52</v>
      </c>
      <c r="E976" s="23" t="str">
        <f t="shared" si="3"/>
        <v>sábado</v>
      </c>
      <c r="F976" s="22">
        <f t="shared" si="4"/>
        <v>30</v>
      </c>
      <c r="G976" s="22" t="str">
        <f>"COMPL-" &amp;'GB4'!$G$3</f>
        <v>COMPL-GB </v>
      </c>
      <c r="H976" s="3" t="str">
        <f>'GB4'!$A$3</f>
        <v>GASTRONOMIA EN BRASAS</v>
      </c>
      <c r="I976" s="24" t="str">
        <f>'GB4'!B21</f>
        <v/>
      </c>
      <c r="J976" s="2" t="str">
        <f>'GB4'!C21</f>
        <v/>
      </c>
      <c r="K976" s="2" t="str">
        <f>'GB4'!D21</f>
        <v/>
      </c>
      <c r="L976" s="2" t="str">
        <f>'GB4'!E21</f>
        <v/>
      </c>
      <c r="M976" s="2" t="str">
        <f>'GB4'!F21</f>
        <v/>
      </c>
      <c r="N976" s="2" t="str">
        <f>'GB4'!G21</f>
        <v/>
      </c>
      <c r="O976" s="5" t="str">
        <f>'GB4'!H21</f>
        <v/>
      </c>
      <c r="P976" s="5" t="str">
        <f>'GB4'!I21</f>
        <v/>
      </c>
      <c r="Q976" s="5" t="str">
        <f>'GB4'!J21</f>
        <v/>
      </c>
      <c r="R976" s="5" t="str">
        <f>'GB4'!K21</f>
        <v/>
      </c>
      <c r="S976" s="2" t="str">
        <f>'GB4'!L21</f>
        <v/>
      </c>
      <c r="T976" s="2" t="str">
        <f>'GB4'!M21</f>
        <v/>
      </c>
      <c r="U976" s="34" t="str">
        <f>'GB4'!N21</f>
        <v/>
      </c>
      <c r="V976" s="34" t="str">
        <f>'GB4'!O21</f>
        <v/>
      </c>
      <c r="W976" s="2" t="str">
        <f>'GB4'!P21</f>
        <v/>
      </c>
      <c r="X976" s="5">
        <f>'GB4'!Q21</f>
        <v>0</v>
      </c>
      <c r="Y976" s="1"/>
      <c r="Z976" s="1"/>
      <c r="AA976" s="1"/>
    </row>
    <row r="977">
      <c r="A977" s="1"/>
      <c r="B977" s="14">
        <f t="shared" si="20"/>
        <v>18</v>
      </c>
      <c r="C977" s="22" t="str">
        <f t="shared" si="1"/>
        <v>diciembre</v>
      </c>
      <c r="D977" s="22">
        <f t="shared" si="2"/>
        <v>52</v>
      </c>
      <c r="E977" s="23" t="str">
        <f t="shared" si="3"/>
        <v>sábado</v>
      </c>
      <c r="F977" s="22">
        <f t="shared" si="4"/>
        <v>30</v>
      </c>
      <c r="G977" s="22" t="str">
        <f>"COMPL-" &amp;'GB4'!$G$3</f>
        <v>COMPL-GB </v>
      </c>
      <c r="H977" s="3" t="str">
        <f>'GB4'!$A$3</f>
        <v>GASTRONOMIA EN BRASAS</v>
      </c>
      <c r="I977" s="24" t="str">
        <f>'GB4'!B22</f>
        <v/>
      </c>
      <c r="J977" s="2" t="str">
        <f>'GB4'!C22</f>
        <v/>
      </c>
      <c r="K977" s="2" t="str">
        <f>'GB4'!D22</f>
        <v/>
      </c>
      <c r="L977" s="2" t="str">
        <f>'GB4'!E22</f>
        <v/>
      </c>
      <c r="M977" s="2" t="str">
        <f>'GB4'!F22</f>
        <v/>
      </c>
      <c r="N977" s="2" t="str">
        <f>'GB4'!G22</f>
        <v/>
      </c>
      <c r="O977" s="5" t="str">
        <f>'GB4'!H22</f>
        <v/>
      </c>
      <c r="P977" s="5" t="str">
        <f>'GB4'!I22</f>
        <v/>
      </c>
      <c r="Q977" s="5" t="str">
        <f>'GB4'!J22</f>
        <v/>
      </c>
      <c r="R977" s="5" t="str">
        <f>'GB4'!K22</f>
        <v/>
      </c>
      <c r="S977" s="2" t="str">
        <f>'GB4'!L22</f>
        <v/>
      </c>
      <c r="T977" s="2" t="str">
        <f>'GB4'!M22</f>
        <v/>
      </c>
      <c r="U977" s="34" t="str">
        <f>'GB4'!N22</f>
        <v/>
      </c>
      <c r="V977" s="34" t="str">
        <f>'GB4'!O22</f>
        <v/>
      </c>
      <c r="W977" s="2" t="str">
        <f>'GB4'!P22</f>
        <v/>
      </c>
      <c r="X977" s="5">
        <f>'GB4'!Q22</f>
        <v>0</v>
      </c>
      <c r="Y977" s="1"/>
      <c r="Z977" s="1"/>
      <c r="AA977" s="1"/>
    </row>
    <row r="978">
      <c r="A978" s="1"/>
      <c r="B978" s="14">
        <f t="shared" si="20"/>
        <v>19</v>
      </c>
      <c r="C978" s="22" t="str">
        <f t="shared" si="1"/>
        <v>diciembre</v>
      </c>
      <c r="D978" s="22">
        <f t="shared" si="2"/>
        <v>52</v>
      </c>
      <c r="E978" s="23" t="str">
        <f t="shared" si="3"/>
        <v>sábado</v>
      </c>
      <c r="F978" s="22">
        <f t="shared" si="4"/>
        <v>30</v>
      </c>
      <c r="G978" s="22" t="str">
        <f>"COMPL-" &amp;'GB4'!$G$3</f>
        <v>COMPL-GB </v>
      </c>
      <c r="H978" s="3" t="str">
        <f>'GB4'!$A$3</f>
        <v>GASTRONOMIA EN BRASAS</v>
      </c>
      <c r="I978" s="24" t="str">
        <f>'GB4'!B23</f>
        <v/>
      </c>
      <c r="J978" s="2" t="str">
        <f>'GB4'!C23</f>
        <v/>
      </c>
      <c r="K978" s="2" t="str">
        <f>'GB4'!D23</f>
        <v/>
      </c>
      <c r="L978" s="2" t="str">
        <f>'GB4'!E23</f>
        <v/>
      </c>
      <c r="M978" s="2" t="str">
        <f>'GB4'!F23</f>
        <v/>
      </c>
      <c r="N978" s="2" t="str">
        <f>'GB4'!G23</f>
        <v/>
      </c>
      <c r="O978" s="5" t="str">
        <f>'GB4'!H23</f>
        <v/>
      </c>
      <c r="P978" s="5" t="str">
        <f>'GB4'!I23</f>
        <v/>
      </c>
      <c r="Q978" s="5" t="str">
        <f>'GB4'!J23</f>
        <v/>
      </c>
      <c r="R978" s="5" t="str">
        <f>'GB4'!K23</f>
        <v/>
      </c>
      <c r="S978" s="2" t="str">
        <f>'GB4'!L23</f>
        <v/>
      </c>
      <c r="T978" s="2" t="str">
        <f>'GB4'!M23</f>
        <v/>
      </c>
      <c r="U978" s="34" t="str">
        <f>'GB4'!N23</f>
        <v/>
      </c>
      <c r="V978" s="34" t="str">
        <f>'GB4'!O23</f>
        <v/>
      </c>
      <c r="W978" s="2" t="str">
        <f>'GB4'!P23</f>
        <v/>
      </c>
      <c r="X978" s="5">
        <f>'GB4'!Q23</f>
        <v>0</v>
      </c>
      <c r="Y978" s="1"/>
      <c r="Z978" s="1"/>
      <c r="AA978" s="1"/>
    </row>
    <row r="979">
      <c r="A979" s="1"/>
      <c r="B979" s="14">
        <f t="shared" si="20"/>
        <v>20</v>
      </c>
      <c r="C979" s="22" t="str">
        <f t="shared" si="1"/>
        <v>diciembre</v>
      </c>
      <c r="D979" s="22">
        <f t="shared" si="2"/>
        <v>52</v>
      </c>
      <c r="E979" s="23" t="str">
        <f t="shared" si="3"/>
        <v>sábado</v>
      </c>
      <c r="F979" s="22">
        <f t="shared" si="4"/>
        <v>30</v>
      </c>
      <c r="G979" s="22" t="str">
        <f>"COMPL-" &amp;'GB4'!$G$3</f>
        <v>COMPL-GB </v>
      </c>
      <c r="H979" s="3" t="str">
        <f>'GB4'!$A$3</f>
        <v>GASTRONOMIA EN BRASAS</v>
      </c>
      <c r="I979" s="24" t="str">
        <f>'GB4'!B24</f>
        <v/>
      </c>
      <c r="J979" s="2" t="str">
        <f>'GB4'!C24</f>
        <v/>
      </c>
      <c r="K979" s="2" t="str">
        <f>'GB4'!D24</f>
        <v/>
      </c>
      <c r="L979" s="2" t="str">
        <f>'GB4'!E24</f>
        <v/>
      </c>
      <c r="M979" s="2" t="str">
        <f>'GB4'!F24</f>
        <v/>
      </c>
      <c r="N979" s="2" t="str">
        <f>'GB4'!G24</f>
        <v/>
      </c>
      <c r="O979" s="5" t="str">
        <f>'GB4'!H24</f>
        <v/>
      </c>
      <c r="P979" s="5" t="str">
        <f>'GB4'!I24</f>
        <v/>
      </c>
      <c r="Q979" s="5" t="str">
        <f>'GB4'!J24</f>
        <v/>
      </c>
      <c r="R979" s="5" t="str">
        <f>'GB4'!K24</f>
        <v/>
      </c>
      <c r="S979" s="2" t="str">
        <f>'GB4'!L24</f>
        <v/>
      </c>
      <c r="T979" s="2" t="str">
        <f>'GB4'!M24</f>
        <v/>
      </c>
      <c r="U979" s="34" t="str">
        <f>'GB4'!N24</f>
        <v/>
      </c>
      <c r="V979" s="34" t="str">
        <f>'GB4'!O24</f>
        <v/>
      </c>
      <c r="W979" s="2" t="str">
        <f>'GB4'!P24</f>
        <v/>
      </c>
      <c r="X979" s="5">
        <f>'GB4'!Q24</f>
        <v>0</v>
      </c>
      <c r="Y979" s="1"/>
      <c r="Z979" s="1"/>
      <c r="AA979" s="1"/>
    </row>
    <row r="980">
      <c r="A980" s="1"/>
      <c r="B980" s="14">
        <f t="shared" si="20"/>
        <v>21</v>
      </c>
      <c r="C980" s="22" t="str">
        <f t="shared" si="1"/>
        <v>diciembre</v>
      </c>
      <c r="D980" s="22">
        <f t="shared" si="2"/>
        <v>52</v>
      </c>
      <c r="E980" s="23" t="str">
        <f t="shared" si="3"/>
        <v>sábado</v>
      </c>
      <c r="F980" s="22">
        <f t="shared" si="4"/>
        <v>30</v>
      </c>
      <c r="G980" s="22" t="str">
        <f>"COMPL-" &amp;'GB4'!$G$3</f>
        <v>COMPL-GB </v>
      </c>
      <c r="H980" s="3" t="str">
        <f>'GB4'!$A$3</f>
        <v>GASTRONOMIA EN BRASAS</v>
      </c>
      <c r="I980" s="24" t="str">
        <f>'GB4'!B25</f>
        <v/>
      </c>
      <c r="J980" s="2" t="str">
        <f>'GB4'!C25</f>
        <v/>
      </c>
      <c r="K980" s="2" t="str">
        <f>'GB4'!D25</f>
        <v/>
      </c>
      <c r="L980" s="2" t="str">
        <f>'GB4'!E25</f>
        <v/>
      </c>
      <c r="M980" s="2" t="str">
        <f>'GB4'!F25</f>
        <v/>
      </c>
      <c r="N980" s="2" t="str">
        <f>'GB4'!G25</f>
        <v/>
      </c>
      <c r="O980" s="5" t="str">
        <f>'GB4'!H25</f>
        <v/>
      </c>
      <c r="P980" s="5" t="str">
        <f>'GB4'!I25</f>
        <v/>
      </c>
      <c r="Q980" s="5" t="str">
        <f>'GB4'!J25</f>
        <v/>
      </c>
      <c r="R980" s="5" t="str">
        <f>'GB4'!K25</f>
        <v/>
      </c>
      <c r="S980" s="2" t="str">
        <f>'GB4'!L25</f>
        <v/>
      </c>
      <c r="T980" s="2" t="str">
        <f>'GB4'!M25</f>
        <v/>
      </c>
      <c r="U980" s="34" t="str">
        <f>'GB4'!N25</f>
        <v/>
      </c>
      <c r="V980" s="34" t="str">
        <f>'GB4'!O25</f>
        <v/>
      </c>
      <c r="W980" s="2" t="str">
        <f>'GB4'!P25</f>
        <v/>
      </c>
      <c r="X980" s="5">
        <f>'GB4'!Q25</f>
        <v>0</v>
      </c>
      <c r="Y980" s="1"/>
      <c r="Z980" s="1"/>
      <c r="AA980" s="1"/>
    </row>
    <row r="981">
      <c r="A981" s="1"/>
      <c r="B981" s="14">
        <f t="shared" si="20"/>
        <v>22</v>
      </c>
      <c r="C981" s="22" t="str">
        <f t="shared" si="1"/>
        <v>diciembre</v>
      </c>
      <c r="D981" s="22">
        <f t="shared" si="2"/>
        <v>52</v>
      </c>
      <c r="E981" s="23" t="str">
        <f t="shared" si="3"/>
        <v>sábado</v>
      </c>
      <c r="F981" s="22">
        <f t="shared" si="4"/>
        <v>30</v>
      </c>
      <c r="G981" s="22" t="str">
        <f>"COMPL-" &amp;'GB4'!$G$3</f>
        <v>COMPL-GB </v>
      </c>
      <c r="H981" s="3" t="str">
        <f>'GB4'!$A$3</f>
        <v>GASTRONOMIA EN BRASAS</v>
      </c>
      <c r="I981" s="24" t="str">
        <f>'GB4'!B26</f>
        <v/>
      </c>
      <c r="J981" s="2" t="str">
        <f>'GB4'!C26</f>
        <v/>
      </c>
      <c r="K981" s="2" t="str">
        <f>'GB4'!D26</f>
        <v/>
      </c>
      <c r="L981" s="2" t="str">
        <f>'GB4'!E26</f>
        <v/>
      </c>
      <c r="M981" s="2" t="str">
        <f>'GB4'!F26</f>
        <v/>
      </c>
      <c r="N981" s="2" t="str">
        <f>'GB4'!G26</f>
        <v/>
      </c>
      <c r="O981" s="5" t="str">
        <f>'GB4'!H26</f>
        <v/>
      </c>
      <c r="P981" s="5" t="str">
        <f>'GB4'!I26</f>
        <v/>
      </c>
      <c r="Q981" s="5" t="str">
        <f>'GB4'!J26</f>
        <v/>
      </c>
      <c r="R981" s="5" t="str">
        <f>'GB4'!K26</f>
        <v/>
      </c>
      <c r="S981" s="2" t="str">
        <f>'GB4'!L26</f>
        <v/>
      </c>
      <c r="T981" s="2" t="str">
        <f>'GB4'!M26</f>
        <v/>
      </c>
      <c r="U981" s="34" t="str">
        <f>'GB4'!N26</f>
        <v/>
      </c>
      <c r="V981" s="34" t="str">
        <f>'GB4'!O26</f>
        <v/>
      </c>
      <c r="W981" s="2" t="str">
        <f>'GB4'!P26</f>
        <v/>
      </c>
      <c r="X981" s="5">
        <f>'GB4'!Q26</f>
        <v>0</v>
      </c>
      <c r="Y981" s="1"/>
      <c r="Z981" s="1"/>
      <c r="AA981" s="1"/>
    </row>
    <row r="982">
      <c r="A982" s="1"/>
      <c r="B982" s="14">
        <f t="shared" si="20"/>
        <v>23</v>
      </c>
      <c r="C982" s="22" t="str">
        <f t="shared" si="1"/>
        <v>diciembre</v>
      </c>
      <c r="D982" s="22">
        <f t="shared" si="2"/>
        <v>52</v>
      </c>
      <c r="E982" s="23" t="str">
        <f t="shared" si="3"/>
        <v>sábado</v>
      </c>
      <c r="F982" s="22">
        <f t="shared" si="4"/>
        <v>30</v>
      </c>
      <c r="G982" s="22" t="str">
        <f>"COMPL-" &amp;'GB4'!$G$3</f>
        <v>COMPL-GB </v>
      </c>
      <c r="H982" s="3" t="str">
        <f>'GB4'!$A$3</f>
        <v>GASTRONOMIA EN BRASAS</v>
      </c>
      <c r="I982" s="24" t="str">
        <f>'GB4'!B27</f>
        <v/>
      </c>
      <c r="J982" s="2" t="str">
        <f>'GB4'!C27</f>
        <v/>
      </c>
      <c r="K982" s="2" t="str">
        <f>'GB4'!D27</f>
        <v/>
      </c>
      <c r="L982" s="2" t="str">
        <f>'GB4'!E27</f>
        <v/>
      </c>
      <c r="M982" s="2" t="str">
        <f>'GB4'!F27</f>
        <v/>
      </c>
      <c r="N982" s="2" t="str">
        <f>'GB4'!G27</f>
        <v/>
      </c>
      <c r="O982" s="5" t="str">
        <f>'GB4'!H27</f>
        <v/>
      </c>
      <c r="P982" s="5" t="str">
        <f>'GB4'!I27</f>
        <v/>
      </c>
      <c r="Q982" s="5" t="str">
        <f>'GB4'!J27</f>
        <v/>
      </c>
      <c r="R982" s="5" t="str">
        <f>'GB4'!K27</f>
        <v/>
      </c>
      <c r="S982" s="2" t="str">
        <f>'GB4'!L27</f>
        <v/>
      </c>
      <c r="T982" s="2" t="str">
        <f>'GB4'!M27</f>
        <v/>
      </c>
      <c r="U982" s="34" t="str">
        <f>'GB4'!N27</f>
        <v/>
      </c>
      <c r="V982" s="34" t="str">
        <f>'GB4'!O27</f>
        <v/>
      </c>
      <c r="W982" s="2" t="str">
        <f>'GB4'!P27</f>
        <v/>
      </c>
      <c r="X982" s="5">
        <f>'GB4'!Q27</f>
        <v>0</v>
      </c>
      <c r="Y982" s="1"/>
      <c r="Z982" s="1"/>
      <c r="AA982" s="1"/>
    </row>
    <row r="983">
      <c r="A983" s="1"/>
      <c r="B983" s="14">
        <f t="shared" si="20"/>
        <v>24</v>
      </c>
      <c r="C983" s="22" t="str">
        <f t="shared" si="1"/>
        <v>diciembre</v>
      </c>
      <c r="D983" s="22">
        <f t="shared" si="2"/>
        <v>52</v>
      </c>
      <c r="E983" s="23" t="str">
        <f t="shared" si="3"/>
        <v>sábado</v>
      </c>
      <c r="F983" s="22">
        <f t="shared" si="4"/>
        <v>30</v>
      </c>
      <c r="G983" s="22" t="str">
        <f>"COMPL-" &amp;'GB4'!$G$3</f>
        <v>COMPL-GB </v>
      </c>
      <c r="H983" s="3" t="str">
        <f>'GB4'!$A$3</f>
        <v>GASTRONOMIA EN BRASAS</v>
      </c>
      <c r="I983" s="24" t="str">
        <f>'GB4'!B28</f>
        <v/>
      </c>
      <c r="J983" s="2" t="str">
        <f>'GB4'!C28</f>
        <v/>
      </c>
      <c r="K983" s="2" t="str">
        <f>'GB4'!D28</f>
        <v/>
      </c>
      <c r="L983" s="2" t="str">
        <f>'GB4'!E28</f>
        <v/>
      </c>
      <c r="M983" s="2" t="str">
        <f>'GB4'!F28</f>
        <v/>
      </c>
      <c r="N983" s="2" t="str">
        <f>'GB4'!G28</f>
        <v/>
      </c>
      <c r="O983" s="5" t="str">
        <f>'GB4'!H28</f>
        <v/>
      </c>
      <c r="P983" s="5" t="str">
        <f>'GB4'!I28</f>
        <v/>
      </c>
      <c r="Q983" s="5" t="str">
        <f>'GB4'!J28</f>
        <v/>
      </c>
      <c r="R983" s="5" t="str">
        <f>'GB4'!K28</f>
        <v/>
      </c>
      <c r="S983" s="2" t="str">
        <f>'GB4'!L28</f>
        <v/>
      </c>
      <c r="T983" s="2" t="str">
        <f>'GB4'!M28</f>
        <v/>
      </c>
      <c r="U983" s="34" t="str">
        <f>'GB4'!N28</f>
        <v/>
      </c>
      <c r="V983" s="34" t="str">
        <f>'GB4'!O28</f>
        <v/>
      </c>
      <c r="W983" s="2" t="str">
        <f>'GB4'!P28</f>
        <v/>
      </c>
      <c r="X983" s="5">
        <f>'GB4'!Q28</f>
        <v>0</v>
      </c>
      <c r="Y983" s="1"/>
      <c r="Z983" s="1"/>
      <c r="AA983" s="1"/>
    </row>
    <row r="984">
      <c r="A984" s="1"/>
      <c r="B984" s="14">
        <f t="shared" si="20"/>
        <v>25</v>
      </c>
      <c r="C984" s="22" t="str">
        <f t="shared" si="1"/>
        <v>diciembre</v>
      </c>
      <c r="D984" s="22">
        <f t="shared" si="2"/>
        <v>52</v>
      </c>
      <c r="E984" s="23" t="str">
        <f t="shared" si="3"/>
        <v>sábado</v>
      </c>
      <c r="F984" s="22">
        <f t="shared" si="4"/>
        <v>30</v>
      </c>
      <c r="G984" s="22" t="str">
        <f>"COMPL-" &amp;'GB4'!$G$3</f>
        <v>COMPL-GB </v>
      </c>
      <c r="H984" s="3" t="str">
        <f>'GB4'!$A$3</f>
        <v>GASTRONOMIA EN BRASAS</v>
      </c>
      <c r="I984" s="24" t="str">
        <f>'GB4'!B29</f>
        <v/>
      </c>
      <c r="J984" s="2" t="str">
        <f>'GB4'!C29</f>
        <v/>
      </c>
      <c r="K984" s="2" t="str">
        <f>'GB4'!D29</f>
        <v/>
      </c>
      <c r="L984" s="2" t="str">
        <f>'GB4'!E29</f>
        <v/>
      </c>
      <c r="M984" s="2" t="str">
        <f>'GB4'!F29</f>
        <v/>
      </c>
      <c r="N984" s="2" t="str">
        <f>'GB4'!G29</f>
        <v/>
      </c>
      <c r="O984" s="5" t="str">
        <f>'GB4'!H29</f>
        <v/>
      </c>
      <c r="P984" s="5" t="str">
        <f>'GB4'!I29</f>
        <v/>
      </c>
      <c r="Q984" s="5" t="str">
        <f>'GB4'!J29</f>
        <v/>
      </c>
      <c r="R984" s="5" t="str">
        <f>'GB4'!K29</f>
        <v/>
      </c>
      <c r="S984" s="2" t="str">
        <f>'GB4'!L29</f>
        <v/>
      </c>
      <c r="T984" s="2" t="str">
        <f>'GB4'!M29</f>
        <v/>
      </c>
      <c r="U984" s="34" t="str">
        <f>'GB4'!N29</f>
        <v/>
      </c>
      <c r="V984" s="34" t="str">
        <f>'GB4'!O29</f>
        <v/>
      </c>
      <c r="W984" s="2" t="str">
        <f>'GB4'!P29</f>
        <v/>
      </c>
      <c r="X984" s="5">
        <f>'GB4'!Q29</f>
        <v>0</v>
      </c>
      <c r="Y984" s="1"/>
      <c r="Z984" s="1"/>
      <c r="AA984" s="1"/>
    </row>
    <row r="985">
      <c r="A985" s="1"/>
      <c r="B985" s="14">
        <f t="shared" si="20"/>
        <v>26</v>
      </c>
      <c r="C985" s="22" t="str">
        <f t="shared" si="1"/>
        <v>diciembre</v>
      </c>
      <c r="D985" s="22">
        <f t="shared" si="2"/>
        <v>52</v>
      </c>
      <c r="E985" s="23" t="str">
        <f t="shared" si="3"/>
        <v>sábado</v>
      </c>
      <c r="F985" s="22">
        <f t="shared" si="4"/>
        <v>30</v>
      </c>
      <c r="G985" s="22" t="str">
        <f>"COMPL-" &amp;'GB4'!$G$3</f>
        <v>COMPL-GB </v>
      </c>
      <c r="H985" s="3" t="str">
        <f>'GB4'!$A$3</f>
        <v>GASTRONOMIA EN BRASAS</v>
      </c>
      <c r="I985" s="24" t="str">
        <f>'GB4'!B30</f>
        <v/>
      </c>
      <c r="J985" s="2" t="str">
        <f>'GB4'!C30</f>
        <v/>
      </c>
      <c r="K985" s="2" t="str">
        <f>'GB4'!D30</f>
        <v/>
      </c>
      <c r="L985" s="2" t="str">
        <f>'GB4'!E30</f>
        <v/>
      </c>
      <c r="M985" s="2" t="str">
        <f>'GB4'!F30</f>
        <v/>
      </c>
      <c r="N985" s="2" t="str">
        <f>'GB4'!G30</f>
        <v/>
      </c>
      <c r="O985" s="5" t="str">
        <f>'GB4'!H30</f>
        <v/>
      </c>
      <c r="P985" s="5" t="str">
        <f>'GB4'!I30</f>
        <v/>
      </c>
      <c r="Q985" s="5" t="str">
        <f>'GB4'!J30</f>
        <v/>
      </c>
      <c r="R985" s="5" t="str">
        <f>'GB4'!K30</f>
        <v/>
      </c>
      <c r="S985" s="2" t="str">
        <f>'GB4'!L30</f>
        <v/>
      </c>
      <c r="T985" s="2" t="str">
        <f>'GB4'!M30</f>
        <v/>
      </c>
      <c r="U985" s="34" t="str">
        <f>'GB4'!N30</f>
        <v/>
      </c>
      <c r="V985" s="34" t="str">
        <f>'GB4'!O30</f>
        <v/>
      </c>
      <c r="W985" s="2" t="str">
        <f>'GB4'!P30</f>
        <v/>
      </c>
      <c r="X985" s="5">
        <f>'GB4'!Q30</f>
        <v>0</v>
      </c>
      <c r="Y985" s="1"/>
      <c r="Z985" s="1"/>
      <c r="AA985" s="1"/>
    </row>
    <row r="986">
      <c r="A986" s="1"/>
      <c r="B986" s="14">
        <f t="shared" si="20"/>
        <v>27</v>
      </c>
      <c r="C986" s="22" t="str">
        <f t="shared" si="1"/>
        <v>diciembre</v>
      </c>
      <c r="D986" s="22">
        <f t="shared" si="2"/>
        <v>52</v>
      </c>
      <c r="E986" s="23" t="str">
        <f t="shared" si="3"/>
        <v>sábado</v>
      </c>
      <c r="F986" s="22">
        <f t="shared" si="4"/>
        <v>30</v>
      </c>
      <c r="G986" s="22" t="str">
        <f>"COMPL-" &amp;'GB4'!$G$3</f>
        <v>COMPL-GB </v>
      </c>
      <c r="H986" s="3" t="str">
        <f>'GB4'!$A$3</f>
        <v>GASTRONOMIA EN BRASAS</v>
      </c>
      <c r="I986" s="24" t="str">
        <f>'GB4'!B31</f>
        <v/>
      </c>
      <c r="J986" s="2" t="str">
        <f>'GB4'!C31</f>
        <v/>
      </c>
      <c r="K986" s="2" t="str">
        <f>'GB4'!D31</f>
        <v/>
      </c>
      <c r="L986" s="2" t="str">
        <f>'GB4'!E31</f>
        <v/>
      </c>
      <c r="M986" s="2" t="str">
        <f>'GB4'!F31</f>
        <v/>
      </c>
      <c r="N986" s="2" t="str">
        <f>'GB4'!G31</f>
        <v/>
      </c>
      <c r="O986" s="5" t="str">
        <f>'GB4'!H31</f>
        <v/>
      </c>
      <c r="P986" s="5" t="str">
        <f>'GB4'!I31</f>
        <v/>
      </c>
      <c r="Q986" s="5" t="str">
        <f>'GB4'!J31</f>
        <v/>
      </c>
      <c r="R986" s="5" t="str">
        <f>'GB4'!K31</f>
        <v/>
      </c>
      <c r="S986" s="2" t="str">
        <f>'GB4'!L31</f>
        <v/>
      </c>
      <c r="T986" s="2" t="str">
        <f>'GB4'!M31</f>
        <v/>
      </c>
      <c r="U986" s="34" t="str">
        <f>'GB4'!N31</f>
        <v/>
      </c>
      <c r="V986" s="34" t="str">
        <f>'GB4'!O31</f>
        <v/>
      </c>
      <c r="W986" s="2" t="str">
        <f>'GB4'!P31</f>
        <v/>
      </c>
      <c r="X986" s="5">
        <f>'GB4'!Q31</f>
        <v>0</v>
      </c>
      <c r="Y986" s="1"/>
      <c r="Z986" s="1"/>
      <c r="AA986" s="1"/>
    </row>
    <row r="987">
      <c r="A987" s="1"/>
      <c r="B987" s="14">
        <f t="shared" si="20"/>
        <v>28</v>
      </c>
      <c r="C987" s="22" t="str">
        <f t="shared" si="1"/>
        <v>diciembre</v>
      </c>
      <c r="D987" s="22">
        <f t="shared" si="2"/>
        <v>52</v>
      </c>
      <c r="E987" s="23" t="str">
        <f t="shared" si="3"/>
        <v>sábado</v>
      </c>
      <c r="F987" s="22">
        <f t="shared" si="4"/>
        <v>30</v>
      </c>
      <c r="G987" s="22" t="str">
        <f>"COMPL-" &amp;'GB4'!$G$3</f>
        <v>COMPL-GB </v>
      </c>
      <c r="H987" s="3" t="str">
        <f>'GB4'!$A$3</f>
        <v>GASTRONOMIA EN BRASAS</v>
      </c>
      <c r="I987" s="24" t="str">
        <f>'GB4'!B32</f>
        <v/>
      </c>
      <c r="J987" s="2" t="str">
        <f>'GB4'!C32</f>
        <v/>
      </c>
      <c r="K987" s="2" t="str">
        <f>'GB4'!D32</f>
        <v/>
      </c>
      <c r="L987" s="2" t="str">
        <f>'GB4'!E32</f>
        <v/>
      </c>
      <c r="M987" s="2" t="str">
        <f>'GB4'!F32</f>
        <v/>
      </c>
      <c r="N987" s="2" t="str">
        <f>'GB4'!G32</f>
        <v/>
      </c>
      <c r="O987" s="5" t="str">
        <f>'GB4'!H32</f>
        <v/>
      </c>
      <c r="P987" s="5" t="str">
        <f>'GB4'!I32</f>
        <v/>
      </c>
      <c r="Q987" s="5" t="str">
        <f>'GB4'!J32</f>
        <v/>
      </c>
      <c r="R987" s="5" t="str">
        <f>'GB4'!K32</f>
        <v/>
      </c>
      <c r="S987" s="2" t="str">
        <f>'GB4'!L32</f>
        <v/>
      </c>
      <c r="T987" s="2" t="str">
        <f>'GB4'!M32</f>
        <v/>
      </c>
      <c r="U987" s="34" t="str">
        <f>'GB4'!N32</f>
        <v/>
      </c>
      <c r="V987" s="34" t="str">
        <f>'GB4'!O32</f>
        <v/>
      </c>
      <c r="W987" s="2" t="str">
        <f>'GB4'!P32</f>
        <v/>
      </c>
      <c r="X987" s="5">
        <f>'GB4'!Q32</f>
        <v>0</v>
      </c>
      <c r="Y987" s="1"/>
      <c r="Z987" s="1"/>
      <c r="AA987" s="1"/>
    </row>
    <row r="988">
      <c r="A988" s="1"/>
      <c r="B988" s="14">
        <f t="shared" si="20"/>
        <v>29</v>
      </c>
      <c r="C988" s="22" t="str">
        <f t="shared" si="1"/>
        <v>diciembre</v>
      </c>
      <c r="D988" s="22">
        <f t="shared" si="2"/>
        <v>52</v>
      </c>
      <c r="E988" s="23" t="str">
        <f t="shared" si="3"/>
        <v>sábado</v>
      </c>
      <c r="F988" s="22">
        <f t="shared" si="4"/>
        <v>30</v>
      </c>
      <c r="G988" s="22" t="str">
        <f>"COMPL-" &amp;'GB4'!$G$3</f>
        <v>COMPL-GB </v>
      </c>
      <c r="H988" s="3" t="str">
        <f>'GB4'!$A$3</f>
        <v>GASTRONOMIA EN BRASAS</v>
      </c>
      <c r="I988" s="24" t="str">
        <f>'GB4'!B33</f>
        <v/>
      </c>
      <c r="J988" s="2" t="str">
        <f>'GB4'!C33</f>
        <v/>
      </c>
      <c r="K988" s="2" t="str">
        <f>'GB4'!D33</f>
        <v/>
      </c>
      <c r="L988" s="2" t="str">
        <f>'GB4'!E33</f>
        <v/>
      </c>
      <c r="M988" s="2" t="str">
        <f>'GB4'!F33</f>
        <v/>
      </c>
      <c r="N988" s="2" t="str">
        <f>'GB4'!G33</f>
        <v/>
      </c>
      <c r="O988" s="5" t="str">
        <f>'GB4'!H33</f>
        <v/>
      </c>
      <c r="P988" s="5" t="str">
        <f>'GB4'!I33</f>
        <v/>
      </c>
      <c r="Q988" s="5" t="str">
        <f>'GB4'!J33</f>
        <v/>
      </c>
      <c r="R988" s="5" t="str">
        <f>'GB4'!K33</f>
        <v/>
      </c>
      <c r="S988" s="2" t="str">
        <f>'GB4'!L33</f>
        <v/>
      </c>
      <c r="T988" s="2" t="str">
        <f>'GB4'!M33</f>
        <v/>
      </c>
      <c r="U988" s="34" t="str">
        <f>'GB4'!N33</f>
        <v/>
      </c>
      <c r="V988" s="34" t="str">
        <f>'GB4'!O33</f>
        <v/>
      </c>
      <c r="W988" s="2" t="str">
        <f>'GB4'!P33</f>
        <v/>
      </c>
      <c r="X988" s="5">
        <f>'GB4'!Q33</f>
        <v>0</v>
      </c>
      <c r="Y988" s="1"/>
      <c r="Z988" s="1"/>
      <c r="AA988" s="1"/>
    </row>
    <row r="989">
      <c r="A989" s="1"/>
      <c r="B989" s="14">
        <f t="shared" si="20"/>
        <v>30</v>
      </c>
      <c r="C989" s="22" t="str">
        <f t="shared" si="1"/>
        <v>diciembre</v>
      </c>
      <c r="D989" s="22">
        <f t="shared" si="2"/>
        <v>52</v>
      </c>
      <c r="E989" s="23" t="str">
        <f t="shared" si="3"/>
        <v>sábado</v>
      </c>
      <c r="F989" s="22">
        <f t="shared" si="4"/>
        <v>30</v>
      </c>
      <c r="G989" s="22" t="str">
        <f>"COMPL-" &amp;'GB4'!$G$3</f>
        <v>COMPL-GB </v>
      </c>
      <c r="H989" s="3" t="str">
        <f>'GB4'!$A$3</f>
        <v>GASTRONOMIA EN BRASAS</v>
      </c>
      <c r="I989" s="24" t="str">
        <f>'GB4'!B34</f>
        <v/>
      </c>
      <c r="J989" s="2" t="str">
        <f>'GB4'!C34</f>
        <v/>
      </c>
      <c r="K989" s="2" t="str">
        <f>'GB4'!D34</f>
        <v/>
      </c>
      <c r="L989" s="2" t="str">
        <f>'GB4'!E34</f>
        <v/>
      </c>
      <c r="M989" s="2" t="str">
        <f>'GB4'!F34</f>
        <v/>
      </c>
      <c r="N989" s="2" t="str">
        <f>'GB4'!G34</f>
        <v/>
      </c>
      <c r="O989" s="2" t="str">
        <f>'GB4'!H34</f>
        <v/>
      </c>
      <c r="P989" s="2" t="str">
        <f>'GB4'!I34</f>
        <v/>
      </c>
      <c r="Q989" s="2" t="str">
        <f>'GB4'!J34</f>
        <v/>
      </c>
      <c r="R989" s="2" t="str">
        <f>'GB4'!K34</f>
        <v/>
      </c>
      <c r="S989" s="2" t="str">
        <f>'GB4'!L34</f>
        <v/>
      </c>
      <c r="T989" s="2" t="str">
        <f>'GB4'!M34</f>
        <v/>
      </c>
      <c r="U989" s="2" t="str">
        <f>'GB4'!N34</f>
        <v/>
      </c>
      <c r="V989" s="2" t="str">
        <f>'GB4'!O34</f>
        <v/>
      </c>
      <c r="W989" s="2" t="str">
        <f>'GB4'!P34</f>
        <v/>
      </c>
      <c r="X989" s="5">
        <f>'GB4'!Q34</f>
        <v>0</v>
      </c>
      <c r="Y989" s="1"/>
      <c r="Z989" s="1"/>
      <c r="AA989" s="1"/>
    </row>
    <row r="990">
      <c r="A990" s="1"/>
      <c r="B990" s="14"/>
      <c r="C990" s="2"/>
      <c r="D990" s="2"/>
      <c r="E990" s="2"/>
      <c r="F990" s="2"/>
      <c r="G990" s="2"/>
      <c r="H990" s="3"/>
      <c r="I990" s="2"/>
      <c r="J990" s="2"/>
      <c r="K990" s="4"/>
      <c r="L990" s="4"/>
      <c r="M990" s="2"/>
      <c r="N990" s="2"/>
      <c r="O990" s="2"/>
      <c r="P990" s="2"/>
      <c r="Q990" s="5"/>
      <c r="R990" s="5"/>
      <c r="S990" s="2"/>
      <c r="T990" s="2"/>
      <c r="U990" s="5"/>
      <c r="V990" s="5"/>
      <c r="W990" s="2"/>
      <c r="X990" s="5"/>
      <c r="Y990" s="1"/>
      <c r="Z990" s="1"/>
      <c r="AA990" s="1"/>
    </row>
    <row r="991">
      <c r="A991" s="1"/>
      <c r="B991" s="14"/>
      <c r="C991" s="2"/>
      <c r="D991" s="2"/>
      <c r="E991" s="2"/>
      <c r="F991" s="2"/>
      <c r="G991" s="2"/>
      <c r="H991" s="3"/>
      <c r="I991" s="2"/>
      <c r="J991" s="2"/>
      <c r="K991" s="4"/>
      <c r="L991" s="4"/>
      <c r="M991" s="2"/>
      <c r="N991" s="2"/>
      <c r="O991" s="2"/>
      <c r="P991" s="2"/>
      <c r="Q991" s="5"/>
      <c r="R991" s="5"/>
      <c r="S991" s="2"/>
      <c r="T991" s="2"/>
      <c r="U991" s="5"/>
      <c r="V991" s="5"/>
      <c r="W991" s="2"/>
      <c r="X991" s="5"/>
      <c r="Y991" s="1"/>
      <c r="Z991" s="1"/>
      <c r="AA991" s="1"/>
    </row>
    <row r="992">
      <c r="A992" s="1"/>
      <c r="B992" s="14"/>
      <c r="C992" s="2"/>
      <c r="D992" s="2"/>
      <c r="E992" s="2"/>
      <c r="F992" s="2"/>
      <c r="G992" s="2"/>
      <c r="H992" s="3"/>
      <c r="I992" s="2"/>
      <c r="J992" s="2"/>
      <c r="K992" s="4"/>
      <c r="L992" s="4"/>
      <c r="M992" s="2"/>
      <c r="N992" s="2"/>
      <c r="O992" s="2"/>
      <c r="P992" s="2"/>
      <c r="Q992" s="5"/>
      <c r="R992" s="5"/>
      <c r="S992" s="2"/>
      <c r="T992" s="2"/>
      <c r="U992" s="5"/>
      <c r="V992" s="5"/>
      <c r="W992" s="2"/>
      <c r="X992" s="5"/>
      <c r="Y992" s="1"/>
      <c r="Z992" s="1"/>
      <c r="AA992" s="1"/>
    </row>
    <row r="993">
      <c r="A993" s="1"/>
      <c r="B993" s="14"/>
      <c r="C993" s="2"/>
      <c r="D993" s="2"/>
      <c r="E993" s="2"/>
      <c r="F993" s="2"/>
      <c r="G993" s="2"/>
      <c r="H993" s="3"/>
      <c r="I993" s="2"/>
      <c r="J993" s="2"/>
      <c r="K993" s="4"/>
      <c r="L993" s="4"/>
      <c r="M993" s="2"/>
      <c r="N993" s="2"/>
      <c r="O993" s="2"/>
      <c r="P993" s="2"/>
      <c r="Q993" s="5"/>
      <c r="R993" s="5"/>
      <c r="S993" s="2"/>
      <c r="T993" s="2"/>
      <c r="U993" s="5"/>
      <c r="V993" s="5"/>
      <c r="W993" s="2"/>
      <c r="X993" s="5"/>
      <c r="Y993" s="1"/>
      <c r="Z993" s="1"/>
      <c r="AA993" s="1"/>
    </row>
    <row r="994">
      <c r="A994" s="1"/>
      <c r="B994" s="14"/>
      <c r="C994" s="2"/>
      <c r="D994" s="2"/>
      <c r="E994" s="2"/>
      <c r="F994" s="2"/>
      <c r="G994" s="2"/>
      <c r="H994" s="3"/>
      <c r="I994" s="2"/>
      <c r="J994" s="2"/>
      <c r="K994" s="4"/>
      <c r="L994" s="4"/>
      <c r="M994" s="2"/>
      <c r="N994" s="2"/>
      <c r="O994" s="2"/>
      <c r="P994" s="2"/>
      <c r="Q994" s="5"/>
      <c r="R994" s="5"/>
      <c r="S994" s="2"/>
      <c r="T994" s="2"/>
      <c r="U994" s="5"/>
      <c r="V994" s="5"/>
      <c r="W994" s="2"/>
      <c r="X994" s="5"/>
      <c r="Y994" s="1"/>
      <c r="Z994" s="1"/>
      <c r="AA994" s="1"/>
    </row>
    <row r="995">
      <c r="A995" s="1"/>
      <c r="B995" s="14"/>
      <c r="C995" s="2"/>
      <c r="D995" s="2"/>
      <c r="E995" s="2"/>
      <c r="F995" s="2"/>
      <c r="G995" s="2"/>
      <c r="H995" s="3"/>
      <c r="I995" s="2"/>
      <c r="J995" s="2"/>
      <c r="K995" s="4"/>
      <c r="L995" s="4"/>
      <c r="M995" s="2"/>
      <c r="N995" s="2"/>
      <c r="O995" s="2"/>
      <c r="P995" s="2"/>
      <c r="Q995" s="5"/>
      <c r="R995" s="5"/>
      <c r="S995" s="2"/>
      <c r="T995" s="2"/>
      <c r="U995" s="5"/>
      <c r="V995" s="5"/>
      <c r="W995" s="2"/>
      <c r="X995" s="5"/>
      <c r="Y995" s="1"/>
      <c r="Z995" s="1"/>
      <c r="AA995" s="1"/>
    </row>
    <row r="996">
      <c r="A996" s="1"/>
      <c r="B996" s="14"/>
      <c r="C996" s="2"/>
      <c r="D996" s="2"/>
      <c r="E996" s="2"/>
      <c r="F996" s="2"/>
      <c r="G996" s="2"/>
      <c r="H996" s="3"/>
      <c r="I996" s="2"/>
      <c r="J996" s="2"/>
      <c r="K996" s="4"/>
      <c r="L996" s="4"/>
      <c r="M996" s="2"/>
      <c r="N996" s="2"/>
      <c r="O996" s="2"/>
      <c r="P996" s="2"/>
      <c r="Q996" s="5"/>
      <c r="R996" s="5"/>
      <c r="S996" s="2"/>
      <c r="T996" s="2"/>
      <c r="U996" s="5"/>
      <c r="V996" s="5"/>
      <c r="W996" s="2"/>
      <c r="X996" s="5"/>
      <c r="Y996" s="1"/>
      <c r="Z996" s="1"/>
      <c r="AA996" s="1"/>
    </row>
    <row r="997">
      <c r="A997" s="1"/>
      <c r="B997" s="14"/>
      <c r="C997" s="2"/>
      <c r="D997" s="2"/>
      <c r="E997" s="2"/>
      <c r="F997" s="2"/>
      <c r="G997" s="2"/>
      <c r="H997" s="3"/>
      <c r="I997" s="2"/>
      <c r="J997" s="2"/>
      <c r="K997" s="4"/>
      <c r="L997" s="4"/>
      <c r="M997" s="2"/>
      <c r="N997" s="2"/>
      <c r="O997" s="2"/>
      <c r="P997" s="2"/>
      <c r="Q997" s="5"/>
      <c r="R997" s="5"/>
      <c r="S997" s="2"/>
      <c r="T997" s="2"/>
      <c r="U997" s="5"/>
      <c r="V997" s="5"/>
      <c r="W997" s="2"/>
      <c r="X997" s="5"/>
      <c r="Y997" s="1"/>
      <c r="Z997" s="1"/>
      <c r="AA997" s="1"/>
    </row>
    <row r="998">
      <c r="A998" s="1"/>
      <c r="B998" s="14"/>
      <c r="C998" s="2"/>
      <c r="D998" s="2"/>
      <c r="E998" s="2"/>
      <c r="F998" s="2"/>
      <c r="G998" s="2"/>
      <c r="H998" s="3"/>
      <c r="I998" s="2"/>
      <c r="J998" s="2"/>
      <c r="K998" s="4"/>
      <c r="L998" s="4"/>
      <c r="M998" s="2"/>
      <c r="N998" s="2"/>
      <c r="O998" s="2"/>
      <c r="P998" s="2"/>
      <c r="Q998" s="5"/>
      <c r="R998" s="5"/>
      <c r="S998" s="2"/>
      <c r="T998" s="2"/>
      <c r="U998" s="5"/>
      <c r="V998" s="5"/>
      <c r="W998" s="2"/>
      <c r="X998" s="5"/>
      <c r="Y998" s="1"/>
      <c r="Z998" s="1"/>
      <c r="AA998" s="1"/>
    </row>
    <row r="999">
      <c r="A999" s="1"/>
      <c r="B999" s="14"/>
      <c r="C999" s="2"/>
      <c r="D999" s="2"/>
      <c r="E999" s="2"/>
      <c r="F999" s="2"/>
      <c r="G999" s="2"/>
      <c r="H999" s="3"/>
      <c r="I999" s="2"/>
      <c r="J999" s="2"/>
      <c r="K999" s="4"/>
      <c r="L999" s="4"/>
      <c r="M999" s="2"/>
      <c r="N999" s="2"/>
      <c r="O999" s="2"/>
      <c r="P999" s="2"/>
      <c r="Q999" s="5"/>
      <c r="R999" s="5"/>
      <c r="S999" s="2"/>
      <c r="T999" s="2"/>
      <c r="U999" s="5"/>
      <c r="V999" s="5"/>
      <c r="W999" s="2"/>
      <c r="X999" s="5"/>
      <c r="Y999" s="1"/>
      <c r="Z999" s="1"/>
      <c r="AA999" s="1"/>
    </row>
    <row r="1000">
      <c r="A1000" s="1"/>
      <c r="B1000" s="14"/>
      <c r="C1000" s="2"/>
      <c r="D1000" s="2"/>
      <c r="E1000" s="2"/>
      <c r="F1000" s="2"/>
      <c r="G1000" s="2"/>
      <c r="H1000" s="3"/>
      <c r="I1000" s="2"/>
      <c r="J1000" s="2"/>
      <c r="K1000" s="4"/>
      <c r="L1000" s="4"/>
      <c r="M1000" s="2"/>
      <c r="N1000" s="2"/>
      <c r="O1000" s="2"/>
      <c r="P1000" s="2"/>
      <c r="Q1000" s="5"/>
      <c r="R1000" s="5"/>
      <c r="S1000" s="2"/>
      <c r="T1000" s="2"/>
      <c r="U1000" s="5"/>
      <c r="V1000" s="5"/>
      <c r="W1000" s="2"/>
      <c r="X1000" s="5"/>
      <c r="Y1000" s="1"/>
      <c r="Z1000" s="1"/>
      <c r="AA1000" s="1"/>
    </row>
    <row r="1001">
      <c r="A1001" s="1"/>
      <c r="B1001" s="14"/>
      <c r="C1001" s="2"/>
      <c r="D1001" s="2"/>
      <c r="E1001" s="2"/>
      <c r="F1001" s="2"/>
      <c r="G1001" s="2"/>
      <c r="H1001" s="3"/>
      <c r="I1001" s="2"/>
      <c r="J1001" s="2"/>
      <c r="K1001" s="4"/>
      <c r="L1001" s="4"/>
      <c r="M1001" s="2"/>
      <c r="N1001" s="2"/>
      <c r="O1001" s="2"/>
      <c r="P1001" s="2"/>
      <c r="Q1001" s="5"/>
      <c r="R1001" s="5"/>
      <c r="S1001" s="2"/>
      <c r="T1001" s="2"/>
      <c r="U1001" s="5"/>
      <c r="V1001" s="5"/>
      <c r="W1001" s="2"/>
      <c r="X1001" s="5"/>
      <c r="Y1001" s="1"/>
      <c r="Z1001" s="1"/>
      <c r="AA1001" s="1"/>
    </row>
    <row r="1002">
      <c r="A1002" s="1"/>
      <c r="B1002" s="14"/>
      <c r="C1002" s="2"/>
      <c r="D1002" s="2"/>
      <c r="E1002" s="2"/>
      <c r="F1002" s="2"/>
      <c r="G1002" s="2"/>
      <c r="H1002" s="3"/>
      <c r="I1002" s="2"/>
      <c r="J1002" s="2"/>
      <c r="K1002" s="4"/>
      <c r="L1002" s="4"/>
      <c r="M1002" s="2"/>
      <c r="N1002" s="2"/>
      <c r="O1002" s="2"/>
      <c r="P1002" s="2"/>
      <c r="Q1002" s="5"/>
      <c r="R1002" s="5"/>
      <c r="S1002" s="2"/>
      <c r="T1002" s="2"/>
      <c r="U1002" s="5"/>
      <c r="V1002" s="5"/>
      <c r="W1002" s="2"/>
      <c r="X1002" s="5"/>
      <c r="Y1002" s="1"/>
      <c r="Z1002" s="1"/>
      <c r="AA1002" s="1"/>
    </row>
    <row r="1003">
      <c r="A1003" s="1"/>
      <c r="B1003" s="14"/>
      <c r="C1003" s="2"/>
      <c r="D1003" s="2"/>
      <c r="E1003" s="2"/>
      <c r="F1003" s="2"/>
      <c r="G1003" s="2"/>
      <c r="H1003" s="3"/>
      <c r="I1003" s="2"/>
      <c r="J1003" s="2"/>
      <c r="K1003" s="4"/>
      <c r="L1003" s="4"/>
      <c r="M1003" s="2"/>
      <c r="N1003" s="2"/>
      <c r="O1003" s="2"/>
      <c r="P1003" s="2"/>
      <c r="Q1003" s="5"/>
      <c r="R1003" s="5"/>
      <c r="S1003" s="2"/>
      <c r="T1003" s="2"/>
      <c r="U1003" s="5"/>
      <c r="V1003" s="5"/>
      <c r="W1003" s="2"/>
      <c r="X1003" s="5"/>
      <c r="Y1003" s="1"/>
      <c r="Z1003" s="1"/>
      <c r="AA1003" s="1"/>
    </row>
    <row r="1004">
      <c r="A1004" s="1"/>
      <c r="B1004" s="14"/>
      <c r="C1004" s="2"/>
      <c r="D1004" s="2"/>
      <c r="E1004" s="2"/>
      <c r="F1004" s="2"/>
      <c r="G1004" s="2"/>
      <c r="H1004" s="3"/>
      <c r="I1004" s="2"/>
      <c r="J1004" s="2"/>
      <c r="K1004" s="4"/>
      <c r="L1004" s="4"/>
      <c r="M1004" s="2"/>
      <c r="N1004" s="2"/>
      <c r="O1004" s="2"/>
      <c r="P1004" s="2"/>
      <c r="Q1004" s="5"/>
      <c r="R1004" s="5"/>
      <c r="S1004" s="2"/>
      <c r="T1004" s="2"/>
      <c r="U1004" s="5"/>
      <c r="V1004" s="5"/>
      <c r="W1004" s="2"/>
      <c r="X1004" s="5"/>
      <c r="Y1004" s="1"/>
      <c r="Z1004" s="1"/>
      <c r="AA1004" s="1"/>
    </row>
    <row r="1005">
      <c r="A1005" s="1"/>
      <c r="B1005" s="14"/>
      <c r="C1005" s="2"/>
      <c r="D1005" s="2"/>
      <c r="E1005" s="2"/>
      <c r="F1005" s="2"/>
      <c r="G1005" s="2"/>
      <c r="H1005" s="3"/>
      <c r="I1005" s="2"/>
      <c r="J1005" s="2"/>
      <c r="K1005" s="4"/>
      <c r="L1005" s="4"/>
      <c r="M1005" s="2"/>
      <c r="N1005" s="2"/>
      <c r="O1005" s="2"/>
      <c r="P1005" s="2"/>
      <c r="Q1005" s="5"/>
      <c r="R1005" s="5"/>
      <c r="S1005" s="2"/>
      <c r="T1005" s="2"/>
      <c r="U1005" s="5"/>
      <c r="V1005" s="5"/>
      <c r="W1005" s="2"/>
      <c r="X1005" s="5"/>
      <c r="Y1005" s="1"/>
      <c r="Z1005" s="1"/>
      <c r="AA1005" s="1"/>
    </row>
    <row r="1006">
      <c r="A1006" s="1"/>
      <c r="B1006" s="14"/>
      <c r="C1006" s="2"/>
      <c r="D1006" s="2"/>
      <c r="E1006" s="2"/>
      <c r="F1006" s="2"/>
      <c r="G1006" s="2"/>
      <c r="H1006" s="3"/>
      <c r="I1006" s="2"/>
      <c r="J1006" s="2"/>
      <c r="K1006" s="4"/>
      <c r="L1006" s="4"/>
      <c r="M1006" s="2"/>
      <c r="N1006" s="2"/>
      <c r="O1006" s="2"/>
      <c r="P1006" s="2"/>
      <c r="Q1006" s="5"/>
      <c r="R1006" s="5"/>
      <c r="S1006" s="2"/>
      <c r="T1006" s="2"/>
      <c r="U1006" s="5"/>
      <c r="V1006" s="5"/>
      <c r="W1006" s="2"/>
      <c r="X1006" s="5"/>
      <c r="Y1006" s="1"/>
      <c r="Z1006" s="1"/>
      <c r="AA1006" s="1"/>
    </row>
    <row r="1007">
      <c r="A1007" s="1"/>
      <c r="B1007" s="14"/>
      <c r="C1007" s="2"/>
      <c r="D1007" s="2"/>
      <c r="E1007" s="2"/>
      <c r="F1007" s="2"/>
      <c r="G1007" s="2"/>
      <c r="H1007" s="3"/>
      <c r="I1007" s="2"/>
      <c r="J1007" s="2"/>
      <c r="K1007" s="4"/>
      <c r="L1007" s="4"/>
      <c r="M1007" s="2"/>
      <c r="N1007" s="2"/>
      <c r="O1007" s="2"/>
      <c r="P1007" s="2"/>
      <c r="Q1007" s="5"/>
      <c r="R1007" s="5"/>
      <c r="S1007" s="2"/>
      <c r="T1007" s="2"/>
      <c r="U1007" s="5"/>
      <c r="V1007" s="5"/>
      <c r="W1007" s="2"/>
      <c r="X1007" s="5"/>
      <c r="Y1007" s="1"/>
      <c r="Z1007" s="1"/>
      <c r="AA1007" s="1"/>
    </row>
    <row r="1008">
      <c r="A1008" s="1"/>
      <c r="B1008" s="14"/>
      <c r="C1008" s="2"/>
      <c r="D1008" s="2"/>
      <c r="E1008" s="2"/>
      <c r="F1008" s="2"/>
      <c r="G1008" s="2"/>
      <c r="H1008" s="3"/>
      <c r="I1008" s="2"/>
      <c r="J1008" s="2"/>
      <c r="K1008" s="4"/>
      <c r="L1008" s="4"/>
      <c r="M1008" s="2"/>
      <c r="N1008" s="2"/>
      <c r="O1008" s="2"/>
      <c r="P1008" s="2"/>
      <c r="Q1008" s="5"/>
      <c r="R1008" s="5"/>
      <c r="S1008" s="2"/>
      <c r="T1008" s="2"/>
      <c r="U1008" s="5"/>
      <c r="V1008" s="5"/>
      <c r="W1008" s="2"/>
      <c r="X1008" s="5"/>
      <c r="Y1008" s="1"/>
      <c r="Z1008" s="1"/>
      <c r="AA1008" s="1"/>
    </row>
    <row r="1009">
      <c r="A1009" s="1"/>
      <c r="B1009" s="14"/>
      <c r="C1009" s="2"/>
      <c r="D1009" s="2"/>
      <c r="E1009" s="2"/>
      <c r="F1009" s="2"/>
      <c r="G1009" s="2"/>
      <c r="H1009" s="3"/>
      <c r="I1009" s="2"/>
      <c r="J1009" s="2"/>
      <c r="K1009" s="4"/>
      <c r="L1009" s="4"/>
      <c r="M1009" s="2"/>
      <c r="N1009" s="2"/>
      <c r="O1009" s="2"/>
      <c r="P1009" s="2"/>
      <c r="Q1009" s="5"/>
      <c r="R1009" s="5"/>
      <c r="S1009" s="2"/>
      <c r="T1009" s="2"/>
      <c r="U1009" s="5"/>
      <c r="V1009" s="5"/>
      <c r="W1009" s="2"/>
      <c r="X1009" s="5"/>
      <c r="Y1009" s="1"/>
      <c r="Z1009" s="1"/>
      <c r="AA1009" s="1"/>
    </row>
    <row r="1010">
      <c r="A1010" s="1"/>
      <c r="B1010" s="14"/>
      <c r="C1010" s="2"/>
      <c r="D1010" s="2"/>
      <c r="E1010" s="2"/>
      <c r="F1010" s="2"/>
      <c r="G1010" s="2"/>
      <c r="H1010" s="3"/>
      <c r="I1010" s="2"/>
      <c r="J1010" s="2"/>
      <c r="K1010" s="4"/>
      <c r="L1010" s="4"/>
      <c r="M1010" s="2"/>
      <c r="N1010" s="2"/>
      <c r="O1010" s="2"/>
      <c r="P1010" s="2"/>
      <c r="Q1010" s="5"/>
      <c r="R1010" s="5"/>
      <c r="S1010" s="2"/>
      <c r="T1010" s="2"/>
      <c r="U1010" s="5"/>
      <c r="V1010" s="5"/>
      <c r="W1010" s="2"/>
      <c r="X1010" s="5"/>
      <c r="Y1010" s="1"/>
      <c r="Z1010" s="1"/>
      <c r="AA1010" s="1"/>
    </row>
    <row r="1011">
      <c r="A1011" s="1"/>
      <c r="B1011" s="14"/>
      <c r="C1011" s="2"/>
      <c r="D1011" s="2"/>
      <c r="E1011" s="2"/>
      <c r="F1011" s="2"/>
      <c r="G1011" s="2"/>
      <c r="H1011" s="3"/>
      <c r="I1011" s="2"/>
      <c r="J1011" s="2"/>
      <c r="K1011" s="4"/>
      <c r="L1011" s="4"/>
      <c r="M1011" s="2"/>
      <c r="N1011" s="2"/>
      <c r="O1011" s="2"/>
      <c r="P1011" s="2"/>
      <c r="Q1011" s="5"/>
      <c r="R1011" s="5"/>
      <c r="S1011" s="2"/>
      <c r="T1011" s="2"/>
      <c r="U1011" s="5"/>
      <c r="V1011" s="5"/>
      <c r="W1011" s="2"/>
      <c r="X1011" s="5"/>
      <c r="Y1011" s="1"/>
      <c r="Z1011" s="1"/>
      <c r="AA1011" s="1"/>
    </row>
    <row r="1012">
      <c r="A1012" s="1"/>
      <c r="B1012" s="14"/>
      <c r="C1012" s="2"/>
      <c r="D1012" s="2"/>
      <c r="E1012" s="2"/>
      <c r="F1012" s="2"/>
      <c r="G1012" s="2"/>
      <c r="H1012" s="3"/>
      <c r="I1012" s="2"/>
      <c r="J1012" s="2"/>
      <c r="K1012" s="4"/>
      <c r="L1012" s="4"/>
      <c r="M1012" s="2"/>
      <c r="N1012" s="2"/>
      <c r="O1012" s="2"/>
      <c r="P1012" s="2"/>
      <c r="Q1012" s="5"/>
      <c r="R1012" s="5"/>
      <c r="S1012" s="2"/>
      <c r="T1012" s="2"/>
      <c r="U1012" s="5"/>
      <c r="V1012" s="5"/>
      <c r="W1012" s="2"/>
      <c r="X1012" s="5"/>
      <c r="Y1012" s="1"/>
      <c r="Z1012" s="1"/>
      <c r="AA1012" s="1"/>
    </row>
    <row r="1013">
      <c r="A1013" s="1"/>
      <c r="B1013" s="14"/>
      <c r="C1013" s="2"/>
      <c r="D1013" s="2"/>
      <c r="E1013" s="2"/>
      <c r="F1013" s="2"/>
      <c r="G1013" s="2"/>
      <c r="H1013" s="3"/>
      <c r="I1013" s="2"/>
      <c r="J1013" s="2"/>
      <c r="K1013" s="4"/>
      <c r="L1013" s="4"/>
      <c r="M1013" s="2"/>
      <c r="N1013" s="2"/>
      <c r="O1013" s="2"/>
      <c r="P1013" s="2"/>
      <c r="Q1013" s="5"/>
      <c r="R1013" s="5"/>
      <c r="S1013" s="2"/>
      <c r="T1013" s="2"/>
      <c r="U1013" s="5"/>
      <c r="V1013" s="5"/>
      <c r="W1013" s="2"/>
      <c r="X1013" s="5"/>
      <c r="Y1013" s="1"/>
      <c r="Z1013" s="1"/>
      <c r="AA1013" s="1"/>
    </row>
    <row r="1014">
      <c r="A1014" s="1"/>
      <c r="B1014" s="14"/>
      <c r="C1014" s="2"/>
      <c r="D1014" s="2"/>
      <c r="E1014" s="2"/>
      <c r="F1014" s="2"/>
      <c r="G1014" s="2"/>
      <c r="H1014" s="3"/>
      <c r="I1014" s="2"/>
      <c r="J1014" s="2"/>
      <c r="K1014" s="4"/>
      <c r="L1014" s="4"/>
      <c r="M1014" s="2"/>
      <c r="N1014" s="2"/>
      <c r="O1014" s="2"/>
      <c r="P1014" s="2"/>
      <c r="Q1014" s="5"/>
      <c r="R1014" s="5"/>
      <c r="S1014" s="2"/>
      <c r="T1014" s="2"/>
      <c r="U1014" s="5"/>
      <c r="V1014" s="5"/>
      <c r="W1014" s="2"/>
      <c r="X1014" s="5"/>
      <c r="Y1014" s="1"/>
      <c r="Z1014" s="1"/>
      <c r="AA1014" s="1"/>
    </row>
    <row r="1015">
      <c r="A1015" s="1"/>
      <c r="B1015" s="14"/>
      <c r="C1015" s="2"/>
      <c r="D1015" s="2"/>
      <c r="E1015" s="2"/>
      <c r="F1015" s="2"/>
      <c r="G1015" s="2"/>
      <c r="H1015" s="3"/>
      <c r="I1015" s="2"/>
      <c r="J1015" s="2"/>
      <c r="K1015" s="4"/>
      <c r="L1015" s="4"/>
      <c r="M1015" s="2"/>
      <c r="N1015" s="2"/>
      <c r="O1015" s="2"/>
      <c r="P1015" s="2"/>
      <c r="Q1015" s="5"/>
      <c r="R1015" s="5"/>
      <c r="S1015" s="2"/>
      <c r="T1015" s="2"/>
      <c r="U1015" s="5"/>
      <c r="V1015" s="5"/>
      <c r="W1015" s="2"/>
      <c r="X1015" s="5"/>
      <c r="Y1015" s="1"/>
      <c r="Z1015" s="1"/>
      <c r="AA1015" s="1"/>
    </row>
    <row r="1016">
      <c r="A1016" s="1"/>
      <c r="B1016" s="14"/>
      <c r="C1016" s="2"/>
      <c r="D1016" s="2"/>
      <c r="E1016" s="2"/>
      <c r="F1016" s="2"/>
      <c r="G1016" s="2"/>
      <c r="H1016" s="3"/>
      <c r="I1016" s="2"/>
      <c r="J1016" s="2"/>
      <c r="K1016" s="4"/>
      <c r="L1016" s="4"/>
      <c r="M1016" s="2"/>
      <c r="N1016" s="2"/>
      <c r="O1016" s="2"/>
      <c r="P1016" s="2"/>
      <c r="Q1016" s="5"/>
      <c r="R1016" s="5"/>
      <c r="S1016" s="2"/>
      <c r="T1016" s="2"/>
      <c r="U1016" s="5"/>
      <c r="V1016" s="5"/>
      <c r="W1016" s="2"/>
      <c r="X1016" s="5"/>
      <c r="Y1016" s="1"/>
      <c r="Z1016" s="1"/>
      <c r="AA1016" s="1"/>
    </row>
    <row r="1017">
      <c r="A1017" s="1"/>
      <c r="B1017" s="14"/>
      <c r="C1017" s="2"/>
      <c r="D1017" s="2"/>
      <c r="E1017" s="2"/>
      <c r="F1017" s="2"/>
      <c r="G1017" s="2"/>
      <c r="H1017" s="3"/>
      <c r="I1017" s="2"/>
      <c r="J1017" s="2"/>
      <c r="K1017" s="4"/>
      <c r="L1017" s="4"/>
      <c r="M1017" s="2"/>
      <c r="N1017" s="2"/>
      <c r="O1017" s="2"/>
      <c r="P1017" s="2"/>
      <c r="Q1017" s="5"/>
      <c r="R1017" s="5"/>
      <c r="S1017" s="2"/>
      <c r="T1017" s="2"/>
      <c r="U1017" s="5"/>
      <c r="V1017" s="5"/>
      <c r="W1017" s="2"/>
      <c r="X1017" s="5"/>
      <c r="Y1017" s="1"/>
      <c r="Z1017" s="1"/>
      <c r="AA1017" s="1"/>
    </row>
    <row r="1018">
      <c r="A1018" s="1"/>
      <c r="B1018" s="14"/>
      <c r="C1018" s="2"/>
      <c r="D1018" s="2"/>
      <c r="E1018" s="2"/>
      <c r="F1018" s="2"/>
      <c r="G1018" s="2"/>
      <c r="H1018" s="3"/>
      <c r="I1018" s="2"/>
      <c r="J1018" s="2"/>
      <c r="K1018" s="4"/>
      <c r="L1018" s="4"/>
      <c r="M1018" s="2"/>
      <c r="N1018" s="2"/>
      <c r="O1018" s="2"/>
      <c r="P1018" s="2"/>
      <c r="Q1018" s="5"/>
      <c r="R1018" s="5"/>
      <c r="S1018" s="2"/>
      <c r="T1018" s="2"/>
      <c r="U1018" s="5"/>
      <c r="V1018" s="5"/>
      <c r="W1018" s="2"/>
      <c r="X1018" s="5"/>
      <c r="Y1018" s="1"/>
      <c r="Z1018" s="1"/>
      <c r="AA1018" s="1"/>
    </row>
    <row r="1019">
      <c r="A1019" s="1"/>
      <c r="B1019" s="14"/>
      <c r="C1019" s="2"/>
      <c r="D1019" s="2"/>
      <c r="E1019" s="2"/>
      <c r="F1019" s="2"/>
      <c r="G1019" s="2"/>
      <c r="H1019" s="3"/>
      <c r="I1019" s="2"/>
      <c r="J1019" s="2"/>
      <c r="K1019" s="4"/>
      <c r="L1019" s="4"/>
      <c r="M1019" s="2"/>
      <c r="N1019" s="2"/>
      <c r="O1019" s="2"/>
      <c r="P1019" s="2"/>
      <c r="Q1019" s="5"/>
      <c r="R1019" s="5"/>
      <c r="S1019" s="2"/>
      <c r="T1019" s="2"/>
      <c r="U1019" s="5"/>
      <c r="V1019" s="5"/>
      <c r="W1019" s="2"/>
      <c r="X1019" s="5"/>
      <c r="Y1019" s="1"/>
      <c r="Z1019" s="1"/>
      <c r="AA1019" s="1"/>
    </row>
    <row r="1020">
      <c r="A1020" s="1"/>
      <c r="B1020" s="14"/>
      <c r="C1020" s="2"/>
      <c r="D1020" s="2"/>
      <c r="E1020" s="2"/>
      <c r="F1020" s="2"/>
      <c r="G1020" s="2"/>
      <c r="H1020" s="3"/>
      <c r="I1020" s="2"/>
      <c r="J1020" s="2"/>
      <c r="K1020" s="4"/>
      <c r="L1020" s="4"/>
      <c r="M1020" s="2"/>
      <c r="N1020" s="2"/>
      <c r="O1020" s="2"/>
      <c r="P1020" s="2"/>
      <c r="Q1020" s="5"/>
      <c r="R1020" s="5"/>
      <c r="S1020" s="2"/>
      <c r="T1020" s="2"/>
      <c r="U1020" s="5"/>
      <c r="V1020" s="5"/>
      <c r="W1020" s="2"/>
      <c r="X1020" s="5"/>
      <c r="Y1020" s="1"/>
      <c r="Z1020" s="1"/>
      <c r="AA1020" s="1"/>
    </row>
    <row r="1021">
      <c r="A1021" s="1"/>
      <c r="B1021" s="14"/>
      <c r="C1021" s="2"/>
      <c r="D1021" s="2"/>
      <c r="E1021" s="2"/>
      <c r="F1021" s="2"/>
      <c r="G1021" s="2"/>
      <c r="H1021" s="3"/>
      <c r="I1021" s="2"/>
      <c r="J1021" s="2"/>
      <c r="K1021" s="4"/>
      <c r="L1021" s="4"/>
      <c r="M1021" s="2"/>
      <c r="N1021" s="2"/>
      <c r="O1021" s="2"/>
      <c r="P1021" s="2"/>
      <c r="Q1021" s="5"/>
      <c r="R1021" s="5"/>
      <c r="S1021" s="2"/>
      <c r="T1021" s="2"/>
      <c r="U1021" s="5"/>
      <c r="V1021" s="5"/>
      <c r="W1021" s="2"/>
      <c r="X1021" s="5"/>
      <c r="Y1021" s="1"/>
      <c r="Z1021" s="1"/>
      <c r="AA1021" s="1"/>
    </row>
    <row r="1022">
      <c r="A1022" s="1"/>
      <c r="B1022" s="14"/>
      <c r="C1022" s="2"/>
      <c r="D1022" s="2"/>
      <c r="E1022" s="2"/>
      <c r="F1022" s="2"/>
      <c r="G1022" s="2"/>
      <c r="H1022" s="3"/>
      <c r="I1022" s="2"/>
      <c r="J1022" s="2"/>
      <c r="K1022" s="4"/>
      <c r="L1022" s="4"/>
      <c r="M1022" s="2"/>
      <c r="N1022" s="2"/>
      <c r="O1022" s="2"/>
      <c r="P1022" s="2"/>
      <c r="Q1022" s="5"/>
      <c r="R1022" s="5"/>
      <c r="S1022" s="2"/>
      <c r="T1022" s="2"/>
      <c r="U1022" s="5"/>
      <c r="V1022" s="5"/>
      <c r="W1022" s="2"/>
      <c r="X1022" s="5"/>
      <c r="Y1022" s="1"/>
      <c r="Z1022" s="1"/>
      <c r="AA1022" s="1"/>
    </row>
    <row r="1023">
      <c r="A1023" s="1"/>
      <c r="B1023" s="14"/>
      <c r="C1023" s="2"/>
      <c r="D1023" s="2"/>
      <c r="E1023" s="2"/>
      <c r="F1023" s="2"/>
      <c r="G1023" s="2"/>
      <c r="H1023" s="3"/>
      <c r="I1023" s="2"/>
      <c r="J1023" s="2"/>
      <c r="K1023" s="4"/>
      <c r="L1023" s="4"/>
      <c r="M1023" s="2"/>
      <c r="N1023" s="2"/>
      <c r="O1023" s="2"/>
      <c r="P1023" s="2"/>
      <c r="Q1023" s="5"/>
      <c r="R1023" s="5"/>
      <c r="S1023" s="2"/>
      <c r="T1023" s="2"/>
      <c r="U1023" s="5"/>
      <c r="V1023" s="5"/>
      <c r="W1023" s="2"/>
      <c r="X1023" s="5"/>
      <c r="Y1023" s="1"/>
      <c r="Z1023" s="1"/>
      <c r="AA1023" s="1"/>
    </row>
    <row r="1024">
      <c r="A1024" s="1"/>
      <c r="B1024" s="14"/>
      <c r="C1024" s="2"/>
      <c r="D1024" s="2"/>
      <c r="E1024" s="2"/>
      <c r="F1024" s="2"/>
      <c r="G1024" s="2"/>
      <c r="H1024" s="3"/>
      <c r="I1024" s="2"/>
      <c r="J1024" s="2"/>
      <c r="K1024" s="4"/>
      <c r="L1024" s="4"/>
      <c r="M1024" s="2"/>
      <c r="N1024" s="2"/>
      <c r="O1024" s="2"/>
      <c r="P1024" s="2"/>
      <c r="Q1024" s="5"/>
      <c r="R1024" s="5"/>
      <c r="S1024" s="2"/>
      <c r="T1024" s="2"/>
      <c r="U1024" s="5"/>
      <c r="V1024" s="5"/>
      <c r="W1024" s="2"/>
      <c r="X1024" s="5"/>
      <c r="Y1024" s="1"/>
      <c r="Z1024" s="1"/>
      <c r="AA1024" s="1"/>
    </row>
    <row r="1025">
      <c r="A1025" s="1"/>
      <c r="B1025" s="14"/>
      <c r="C1025" s="2"/>
      <c r="D1025" s="2"/>
      <c r="E1025" s="2"/>
      <c r="F1025" s="2"/>
      <c r="G1025" s="2"/>
      <c r="H1025" s="3"/>
      <c r="I1025" s="2"/>
      <c r="J1025" s="2"/>
      <c r="K1025" s="4"/>
      <c r="L1025" s="4"/>
      <c r="M1025" s="2"/>
      <c r="N1025" s="2"/>
      <c r="O1025" s="2"/>
      <c r="P1025" s="2"/>
      <c r="Q1025" s="5"/>
      <c r="R1025" s="5"/>
      <c r="S1025" s="2"/>
      <c r="T1025" s="2"/>
      <c r="U1025" s="5"/>
      <c r="V1025" s="5"/>
      <c r="W1025" s="2"/>
      <c r="X1025" s="5"/>
      <c r="Y1025" s="1"/>
      <c r="Z1025" s="1"/>
      <c r="AA1025" s="1"/>
    </row>
    <row r="1026">
      <c r="A1026" s="1"/>
      <c r="B1026" s="14"/>
      <c r="C1026" s="2"/>
      <c r="D1026" s="2"/>
      <c r="E1026" s="2"/>
      <c r="F1026" s="2"/>
      <c r="G1026" s="2"/>
      <c r="H1026" s="3"/>
      <c r="I1026" s="2"/>
      <c r="J1026" s="2"/>
      <c r="K1026" s="4"/>
      <c r="L1026" s="4"/>
      <c r="M1026" s="2"/>
      <c r="N1026" s="2"/>
      <c r="O1026" s="2"/>
      <c r="P1026" s="2"/>
      <c r="Q1026" s="5"/>
      <c r="R1026" s="5"/>
      <c r="S1026" s="2"/>
      <c r="T1026" s="2"/>
      <c r="U1026" s="5"/>
      <c r="V1026" s="5"/>
      <c r="W1026" s="2"/>
      <c r="X1026" s="5"/>
      <c r="Y1026" s="1"/>
      <c r="Z1026" s="1"/>
      <c r="AA1026" s="1"/>
    </row>
    <row r="1027">
      <c r="A1027" s="1"/>
      <c r="B1027" s="14"/>
      <c r="C1027" s="2"/>
      <c r="D1027" s="2"/>
      <c r="E1027" s="2"/>
      <c r="F1027" s="2"/>
      <c r="G1027" s="2"/>
      <c r="H1027" s="3"/>
      <c r="I1027" s="2"/>
      <c r="J1027" s="2"/>
      <c r="K1027" s="4"/>
      <c r="L1027" s="4"/>
      <c r="M1027" s="2"/>
      <c r="N1027" s="2"/>
      <c r="O1027" s="2"/>
      <c r="P1027" s="2"/>
      <c r="Q1027" s="5"/>
      <c r="R1027" s="5"/>
      <c r="S1027" s="2"/>
      <c r="T1027" s="2"/>
      <c r="U1027" s="5"/>
      <c r="V1027" s="5"/>
      <c r="W1027" s="2"/>
      <c r="X1027" s="5"/>
      <c r="Y1027" s="1"/>
      <c r="Z1027" s="1"/>
      <c r="AA1027" s="1"/>
    </row>
    <row r="1028">
      <c r="A1028" s="1"/>
      <c r="B1028" s="14"/>
      <c r="C1028" s="2"/>
      <c r="D1028" s="2"/>
      <c r="E1028" s="2"/>
      <c r="F1028" s="2"/>
      <c r="G1028" s="2"/>
      <c r="H1028" s="3"/>
      <c r="I1028" s="2"/>
      <c r="J1028" s="2"/>
      <c r="K1028" s="4"/>
      <c r="L1028" s="4"/>
      <c r="M1028" s="2"/>
      <c r="N1028" s="2"/>
      <c r="O1028" s="2"/>
      <c r="P1028" s="2"/>
      <c r="Q1028" s="5"/>
      <c r="R1028" s="5"/>
      <c r="S1028" s="2"/>
      <c r="T1028" s="2"/>
      <c r="U1028" s="5"/>
      <c r="V1028" s="5"/>
      <c r="W1028" s="2"/>
      <c r="X1028" s="5"/>
      <c r="Y1028" s="1"/>
      <c r="Z1028" s="1"/>
      <c r="AA1028" s="1"/>
    </row>
    <row r="1029">
      <c r="A1029" s="1"/>
      <c r="B1029" s="14"/>
      <c r="C1029" s="2"/>
      <c r="D1029" s="2"/>
      <c r="E1029" s="2"/>
      <c r="F1029" s="2"/>
      <c r="G1029" s="2"/>
      <c r="H1029" s="3"/>
      <c r="I1029" s="2"/>
      <c r="J1029" s="2"/>
      <c r="K1029" s="4"/>
      <c r="L1029" s="4"/>
      <c r="M1029" s="2"/>
      <c r="N1029" s="2"/>
      <c r="O1029" s="2"/>
      <c r="P1029" s="2"/>
      <c r="Q1029" s="5"/>
      <c r="R1029" s="5"/>
      <c r="S1029" s="2"/>
      <c r="T1029" s="2"/>
      <c r="U1029" s="5"/>
      <c r="V1029" s="5"/>
      <c r="W1029" s="2"/>
      <c r="X1029" s="5"/>
      <c r="Y1029" s="1"/>
      <c r="Z1029" s="1"/>
      <c r="AA1029" s="1"/>
    </row>
    <row r="1030">
      <c r="A1030" s="1"/>
      <c r="B1030" s="14"/>
      <c r="C1030" s="2"/>
      <c r="D1030" s="2"/>
      <c r="E1030" s="2"/>
      <c r="F1030" s="2"/>
      <c r="G1030" s="2"/>
      <c r="H1030" s="3"/>
      <c r="I1030" s="2"/>
      <c r="J1030" s="2"/>
      <c r="K1030" s="4"/>
      <c r="L1030" s="4"/>
      <c r="M1030" s="2"/>
      <c r="N1030" s="2"/>
      <c r="O1030" s="2"/>
      <c r="P1030" s="2"/>
      <c r="Q1030" s="5"/>
      <c r="R1030" s="5"/>
      <c r="S1030" s="2"/>
      <c r="T1030" s="2"/>
      <c r="U1030" s="5"/>
      <c r="V1030" s="5"/>
      <c r="W1030" s="2"/>
      <c r="X1030" s="5"/>
      <c r="Y1030" s="1"/>
      <c r="Z1030" s="1"/>
      <c r="AA1030" s="1"/>
    </row>
    <row r="1031">
      <c r="A1031" s="1"/>
      <c r="B1031" s="14"/>
      <c r="C1031" s="2"/>
      <c r="D1031" s="2"/>
      <c r="E1031" s="2"/>
      <c r="F1031" s="2"/>
      <c r="G1031" s="2"/>
      <c r="H1031" s="3"/>
      <c r="I1031" s="2"/>
      <c r="J1031" s="2"/>
      <c r="K1031" s="4"/>
      <c r="L1031" s="4"/>
      <c r="M1031" s="2"/>
      <c r="N1031" s="2"/>
      <c r="O1031" s="2"/>
      <c r="P1031" s="2"/>
      <c r="Q1031" s="5"/>
      <c r="R1031" s="5"/>
      <c r="S1031" s="2"/>
      <c r="T1031" s="2"/>
      <c r="U1031" s="5"/>
      <c r="V1031" s="5"/>
      <c r="W1031" s="2"/>
      <c r="X1031" s="5"/>
      <c r="Y1031" s="1"/>
      <c r="Z1031" s="1"/>
      <c r="AA1031" s="1"/>
    </row>
    <row r="1032">
      <c r="A1032" s="1"/>
      <c r="B1032" s="14"/>
      <c r="C1032" s="2"/>
      <c r="D1032" s="2"/>
      <c r="E1032" s="2"/>
      <c r="F1032" s="2"/>
      <c r="G1032" s="2"/>
      <c r="H1032" s="3"/>
      <c r="I1032" s="2"/>
      <c r="J1032" s="2"/>
      <c r="K1032" s="4"/>
      <c r="L1032" s="4"/>
      <c r="M1032" s="2"/>
      <c r="N1032" s="2"/>
      <c r="O1032" s="2"/>
      <c r="P1032" s="2"/>
      <c r="Q1032" s="5"/>
      <c r="R1032" s="5"/>
      <c r="S1032" s="2"/>
      <c r="T1032" s="2"/>
      <c r="U1032" s="5"/>
      <c r="V1032" s="5"/>
      <c r="W1032" s="2"/>
      <c r="X1032" s="5"/>
      <c r="Y1032" s="1"/>
      <c r="Z1032" s="1"/>
      <c r="AA1032" s="1"/>
    </row>
    <row r="1033">
      <c r="A1033" s="1"/>
      <c r="B1033" s="14"/>
      <c r="C1033" s="2"/>
      <c r="D1033" s="2"/>
      <c r="E1033" s="2"/>
      <c r="F1033" s="2"/>
      <c r="G1033" s="2"/>
      <c r="H1033" s="3"/>
      <c r="I1033" s="2"/>
      <c r="J1033" s="2"/>
      <c r="K1033" s="4"/>
      <c r="L1033" s="4"/>
      <c r="M1033" s="2"/>
      <c r="N1033" s="2"/>
      <c r="O1033" s="2"/>
      <c r="P1033" s="2"/>
      <c r="Q1033" s="5"/>
      <c r="R1033" s="5"/>
      <c r="S1033" s="2"/>
      <c r="T1033" s="2"/>
      <c r="U1033" s="5"/>
      <c r="V1033" s="5"/>
      <c r="W1033" s="2"/>
      <c r="X1033" s="5"/>
      <c r="Y1033" s="1"/>
      <c r="Z1033" s="1"/>
      <c r="AA1033" s="1"/>
    </row>
    <row r="1034">
      <c r="A1034" s="1"/>
      <c r="B1034" s="14"/>
      <c r="C1034" s="2"/>
      <c r="D1034" s="2"/>
      <c r="E1034" s="2"/>
      <c r="F1034" s="2"/>
      <c r="G1034" s="2"/>
      <c r="H1034" s="3"/>
      <c r="I1034" s="2"/>
      <c r="J1034" s="2"/>
      <c r="K1034" s="4"/>
      <c r="L1034" s="4"/>
      <c r="M1034" s="2"/>
      <c r="N1034" s="2"/>
      <c r="O1034" s="2"/>
      <c r="P1034" s="2"/>
      <c r="Q1034" s="5"/>
      <c r="R1034" s="5"/>
      <c r="S1034" s="2"/>
      <c r="T1034" s="2"/>
      <c r="U1034" s="5"/>
      <c r="V1034" s="5"/>
      <c r="W1034" s="2"/>
      <c r="X1034" s="5"/>
      <c r="Y1034" s="1"/>
      <c r="Z1034" s="1"/>
      <c r="AA1034" s="1"/>
    </row>
    <row r="1035">
      <c r="A1035" s="1"/>
      <c r="B1035" s="14"/>
      <c r="C1035" s="2"/>
      <c r="D1035" s="2"/>
      <c r="E1035" s="2"/>
      <c r="F1035" s="2"/>
      <c r="G1035" s="2"/>
      <c r="H1035" s="3"/>
      <c r="I1035" s="2"/>
      <c r="J1035" s="2"/>
      <c r="K1035" s="4"/>
      <c r="L1035" s="4"/>
      <c r="M1035" s="2"/>
      <c r="N1035" s="2"/>
      <c r="O1035" s="2"/>
      <c r="P1035" s="2"/>
      <c r="Q1035" s="5"/>
      <c r="R1035" s="5"/>
      <c r="S1035" s="2"/>
      <c r="T1035" s="2"/>
      <c r="U1035" s="5"/>
      <c r="V1035" s="5"/>
      <c r="W1035" s="2"/>
      <c r="X1035" s="5"/>
      <c r="Y1035" s="1"/>
      <c r="Z1035" s="1"/>
      <c r="AA1035" s="1"/>
    </row>
    <row r="1036">
      <c r="A1036" s="1"/>
      <c r="B1036" s="14"/>
      <c r="C1036" s="2"/>
      <c r="D1036" s="2"/>
      <c r="E1036" s="2"/>
      <c r="F1036" s="2"/>
      <c r="G1036" s="2"/>
      <c r="H1036" s="3"/>
      <c r="I1036" s="2"/>
      <c r="J1036" s="2"/>
      <c r="K1036" s="4"/>
      <c r="L1036" s="4"/>
      <c r="M1036" s="2"/>
      <c r="N1036" s="2"/>
      <c r="O1036" s="2"/>
      <c r="P1036" s="2"/>
      <c r="Q1036" s="5"/>
      <c r="R1036" s="5"/>
      <c r="S1036" s="2"/>
      <c r="T1036" s="2"/>
      <c r="U1036" s="5"/>
      <c r="V1036" s="5"/>
      <c r="W1036" s="2"/>
      <c r="X1036" s="5"/>
      <c r="Y1036" s="1"/>
      <c r="Z1036" s="1"/>
      <c r="AA1036" s="1"/>
    </row>
    <row r="1037">
      <c r="A1037" s="1"/>
      <c r="B1037" s="14"/>
      <c r="C1037" s="2"/>
      <c r="D1037" s="2"/>
      <c r="E1037" s="2"/>
      <c r="F1037" s="2"/>
      <c r="G1037" s="2"/>
      <c r="H1037" s="3"/>
      <c r="I1037" s="2"/>
      <c r="J1037" s="2"/>
      <c r="K1037" s="4"/>
      <c r="L1037" s="4"/>
      <c r="M1037" s="2"/>
      <c r="N1037" s="2"/>
      <c r="O1037" s="2"/>
      <c r="P1037" s="2"/>
      <c r="Q1037" s="5"/>
      <c r="R1037" s="5"/>
      <c r="S1037" s="2"/>
      <c r="T1037" s="2"/>
      <c r="U1037" s="5"/>
      <c r="V1037" s="5"/>
      <c r="W1037" s="2"/>
      <c r="X1037" s="5"/>
      <c r="Y1037" s="1"/>
      <c r="Z1037" s="1"/>
      <c r="AA1037" s="1"/>
    </row>
    <row r="1038">
      <c r="A1038" s="1"/>
      <c r="B1038" s="14"/>
      <c r="C1038" s="2"/>
      <c r="D1038" s="2"/>
      <c r="E1038" s="2"/>
      <c r="F1038" s="2"/>
      <c r="G1038" s="2"/>
      <c r="H1038" s="3"/>
      <c r="I1038" s="2"/>
      <c r="J1038" s="2"/>
      <c r="K1038" s="4"/>
      <c r="L1038" s="4"/>
      <c r="M1038" s="2"/>
      <c r="N1038" s="2"/>
      <c r="O1038" s="2"/>
      <c r="P1038" s="2"/>
      <c r="Q1038" s="5"/>
      <c r="R1038" s="5"/>
      <c r="S1038" s="2"/>
      <c r="T1038" s="2"/>
      <c r="U1038" s="5"/>
      <c r="V1038" s="5"/>
      <c r="W1038" s="2"/>
      <c r="X1038" s="5"/>
      <c r="Y1038" s="1"/>
      <c r="Z1038" s="1"/>
      <c r="AA1038" s="1"/>
    </row>
    <row r="1039">
      <c r="A1039" s="1"/>
      <c r="B1039" s="14"/>
      <c r="C1039" s="2"/>
      <c r="D1039" s="2"/>
      <c r="E1039" s="2"/>
      <c r="F1039" s="2"/>
      <c r="G1039" s="2"/>
      <c r="H1039" s="3"/>
      <c r="I1039" s="2"/>
      <c r="J1039" s="2"/>
      <c r="K1039" s="4"/>
      <c r="L1039" s="4"/>
      <c r="M1039" s="2"/>
      <c r="N1039" s="2"/>
      <c r="O1039" s="2"/>
      <c r="P1039" s="2"/>
      <c r="Q1039" s="5"/>
      <c r="R1039" s="5"/>
      <c r="S1039" s="2"/>
      <c r="T1039" s="2"/>
      <c r="U1039" s="5"/>
      <c r="V1039" s="5"/>
      <c r="W1039" s="2"/>
      <c r="X1039" s="5"/>
      <c r="Y1039" s="1"/>
      <c r="Z1039" s="1"/>
      <c r="AA1039" s="1"/>
    </row>
    <row r="1040">
      <c r="A1040" s="1"/>
      <c r="B1040" s="14"/>
      <c r="C1040" s="2"/>
      <c r="D1040" s="2"/>
      <c r="E1040" s="2"/>
      <c r="F1040" s="2"/>
      <c r="G1040" s="2"/>
      <c r="H1040" s="3"/>
      <c r="I1040" s="2"/>
      <c r="J1040" s="2"/>
      <c r="K1040" s="4"/>
      <c r="L1040" s="4"/>
      <c r="M1040" s="2"/>
      <c r="N1040" s="2"/>
      <c r="O1040" s="2"/>
      <c r="P1040" s="2"/>
      <c r="Q1040" s="5"/>
      <c r="R1040" s="5"/>
      <c r="S1040" s="2"/>
      <c r="T1040" s="2"/>
      <c r="U1040" s="5"/>
      <c r="V1040" s="5"/>
      <c r="W1040" s="2"/>
      <c r="X1040" s="5"/>
      <c r="Y1040" s="1"/>
      <c r="Z1040" s="1"/>
      <c r="AA1040" s="1"/>
    </row>
    <row r="1041">
      <c r="A1041" s="1"/>
      <c r="B1041" s="14"/>
      <c r="C1041" s="2"/>
      <c r="D1041" s="2"/>
      <c r="E1041" s="2"/>
      <c r="F1041" s="2"/>
      <c r="G1041" s="2"/>
      <c r="H1041" s="3"/>
      <c r="I1041" s="2"/>
      <c r="J1041" s="2"/>
      <c r="K1041" s="4"/>
      <c r="L1041" s="4"/>
      <c r="M1041" s="2"/>
      <c r="N1041" s="2"/>
      <c r="O1041" s="2"/>
      <c r="P1041" s="2"/>
      <c r="Q1041" s="5"/>
      <c r="R1041" s="5"/>
      <c r="S1041" s="2"/>
      <c r="T1041" s="2"/>
      <c r="U1041" s="5"/>
      <c r="V1041" s="5"/>
      <c r="W1041" s="2"/>
      <c r="X1041" s="5"/>
      <c r="Y1041" s="1"/>
      <c r="Z1041" s="1"/>
      <c r="AA1041" s="1"/>
    </row>
    <row r="1042">
      <c r="A1042" s="1"/>
      <c r="B1042" s="14"/>
      <c r="C1042" s="2"/>
      <c r="D1042" s="2"/>
      <c r="E1042" s="2"/>
      <c r="F1042" s="2"/>
      <c r="G1042" s="2"/>
      <c r="H1042" s="3"/>
      <c r="I1042" s="2"/>
      <c r="J1042" s="2"/>
      <c r="K1042" s="4"/>
      <c r="L1042" s="4"/>
      <c r="M1042" s="2"/>
      <c r="N1042" s="2"/>
      <c r="O1042" s="2"/>
      <c r="P1042" s="2"/>
      <c r="Q1042" s="5"/>
      <c r="R1042" s="5"/>
      <c r="S1042" s="2"/>
      <c r="T1042" s="2"/>
      <c r="U1042" s="5"/>
      <c r="V1042" s="5"/>
      <c r="W1042" s="2"/>
      <c r="X1042" s="5"/>
      <c r="Y1042" s="1"/>
      <c r="Z1042" s="1"/>
      <c r="AA1042" s="1"/>
    </row>
    <row r="1043">
      <c r="A1043" s="1"/>
      <c r="B1043" s="14"/>
      <c r="C1043" s="2"/>
      <c r="D1043" s="2"/>
      <c r="E1043" s="2"/>
      <c r="F1043" s="2"/>
      <c r="G1043" s="2"/>
      <c r="H1043" s="3"/>
      <c r="I1043" s="2"/>
      <c r="J1043" s="2"/>
      <c r="K1043" s="4"/>
      <c r="L1043" s="4"/>
      <c r="M1043" s="2"/>
      <c r="N1043" s="2"/>
      <c r="O1043" s="2"/>
      <c r="P1043" s="2"/>
      <c r="Q1043" s="5"/>
      <c r="R1043" s="5"/>
      <c r="S1043" s="2"/>
      <c r="T1043" s="2"/>
      <c r="U1043" s="5"/>
      <c r="V1043" s="5"/>
      <c r="W1043" s="2"/>
      <c r="X1043" s="5"/>
      <c r="Y1043" s="1"/>
      <c r="Z1043" s="1"/>
      <c r="AA1043" s="1"/>
    </row>
    <row r="1044">
      <c r="A1044" s="1"/>
      <c r="B1044" s="14"/>
      <c r="C1044" s="2"/>
      <c r="D1044" s="2"/>
      <c r="E1044" s="2"/>
      <c r="F1044" s="2"/>
      <c r="G1044" s="2"/>
      <c r="H1044" s="3"/>
      <c r="I1044" s="2"/>
      <c r="J1044" s="2"/>
      <c r="K1044" s="4"/>
      <c r="L1044" s="4"/>
      <c r="M1044" s="2"/>
      <c r="N1044" s="2"/>
      <c r="O1044" s="2"/>
      <c r="P1044" s="2"/>
      <c r="Q1044" s="5"/>
      <c r="R1044" s="5"/>
      <c r="S1044" s="2"/>
      <c r="T1044" s="2"/>
      <c r="U1044" s="5"/>
      <c r="V1044" s="5"/>
      <c r="W1044" s="2"/>
      <c r="X1044" s="5"/>
      <c r="Y1044" s="1"/>
      <c r="Z1044" s="1"/>
      <c r="AA1044" s="1"/>
    </row>
    <row r="1045">
      <c r="A1045" s="1"/>
      <c r="B1045" s="14"/>
      <c r="C1045" s="2"/>
      <c r="D1045" s="2"/>
      <c r="E1045" s="2"/>
      <c r="F1045" s="2"/>
      <c r="G1045" s="2"/>
      <c r="H1045" s="3"/>
      <c r="I1045" s="2"/>
      <c r="J1045" s="2"/>
      <c r="K1045" s="4"/>
      <c r="L1045" s="4"/>
      <c r="M1045" s="2"/>
      <c r="N1045" s="2"/>
      <c r="O1045" s="2"/>
      <c r="P1045" s="2"/>
      <c r="Q1045" s="5"/>
      <c r="R1045" s="5"/>
      <c r="S1045" s="2"/>
      <c r="T1045" s="2"/>
      <c r="U1045" s="5"/>
      <c r="V1045" s="5"/>
      <c r="W1045" s="2"/>
      <c r="X1045" s="5"/>
      <c r="Y1045" s="1"/>
      <c r="Z1045" s="1"/>
      <c r="AA1045" s="1"/>
    </row>
    <row r="1046">
      <c r="A1046" s="1"/>
      <c r="B1046" s="14"/>
      <c r="C1046" s="2"/>
      <c r="D1046" s="2"/>
      <c r="E1046" s="2"/>
      <c r="F1046" s="2"/>
      <c r="G1046" s="2"/>
      <c r="H1046" s="3"/>
      <c r="I1046" s="2"/>
      <c r="J1046" s="2"/>
      <c r="K1046" s="4"/>
      <c r="L1046" s="4"/>
      <c r="M1046" s="2"/>
      <c r="N1046" s="2"/>
      <c r="O1046" s="2"/>
      <c r="P1046" s="2"/>
      <c r="Q1046" s="5"/>
      <c r="R1046" s="5"/>
      <c r="S1046" s="2"/>
      <c r="T1046" s="2"/>
      <c r="U1046" s="5"/>
      <c r="V1046" s="5"/>
      <c r="W1046" s="2"/>
      <c r="X1046" s="5"/>
      <c r="Y1046" s="1"/>
      <c r="Z1046" s="1"/>
      <c r="AA1046" s="1"/>
    </row>
    <row r="1047">
      <c r="A1047" s="1"/>
      <c r="B1047" s="14"/>
      <c r="C1047" s="2"/>
      <c r="D1047" s="2"/>
      <c r="E1047" s="2"/>
      <c r="F1047" s="2"/>
      <c r="G1047" s="2"/>
      <c r="H1047" s="3"/>
      <c r="I1047" s="2"/>
      <c r="J1047" s="2"/>
      <c r="K1047" s="4"/>
      <c r="L1047" s="4"/>
      <c r="M1047" s="2"/>
      <c r="N1047" s="2"/>
      <c r="O1047" s="2"/>
      <c r="P1047" s="2"/>
      <c r="Q1047" s="5"/>
      <c r="R1047" s="5"/>
      <c r="S1047" s="2"/>
      <c r="T1047" s="2"/>
      <c r="U1047" s="5"/>
      <c r="V1047" s="5"/>
      <c r="W1047" s="2"/>
      <c r="X1047" s="5"/>
      <c r="Y1047" s="1"/>
      <c r="Z1047" s="1"/>
      <c r="AA1047" s="1"/>
    </row>
    <row r="1048">
      <c r="A1048" s="1"/>
      <c r="B1048" s="14"/>
      <c r="C1048" s="2"/>
      <c r="D1048" s="2"/>
      <c r="E1048" s="2"/>
      <c r="F1048" s="2"/>
      <c r="G1048" s="2"/>
      <c r="H1048" s="3"/>
      <c r="I1048" s="2"/>
      <c r="J1048" s="2"/>
      <c r="K1048" s="4"/>
      <c r="L1048" s="4"/>
      <c r="M1048" s="2"/>
      <c r="N1048" s="2"/>
      <c r="O1048" s="2"/>
      <c r="P1048" s="2"/>
      <c r="Q1048" s="5"/>
      <c r="R1048" s="5"/>
      <c r="S1048" s="2"/>
      <c r="T1048" s="2"/>
      <c r="U1048" s="5"/>
      <c r="V1048" s="5"/>
      <c r="W1048" s="2"/>
      <c r="X1048" s="5"/>
      <c r="Y1048" s="1"/>
      <c r="Z1048" s="1"/>
      <c r="AA1048" s="1"/>
    </row>
    <row r="1049">
      <c r="A1049" s="1"/>
      <c r="B1049" s="14"/>
      <c r="C1049" s="2"/>
      <c r="D1049" s="2"/>
      <c r="E1049" s="2"/>
      <c r="F1049" s="2"/>
      <c r="G1049" s="2"/>
      <c r="H1049" s="3"/>
      <c r="I1049" s="2"/>
      <c r="J1049" s="2"/>
      <c r="K1049" s="4"/>
      <c r="L1049" s="4"/>
      <c r="M1049" s="2"/>
      <c r="N1049" s="2"/>
      <c r="O1049" s="2"/>
      <c r="P1049" s="2"/>
      <c r="Q1049" s="5"/>
      <c r="R1049" s="5"/>
      <c r="S1049" s="2"/>
      <c r="T1049" s="2"/>
      <c r="U1049" s="5"/>
      <c r="V1049" s="5"/>
      <c r="W1049" s="2"/>
      <c r="X1049" s="5"/>
      <c r="Y1049" s="1"/>
      <c r="Z1049" s="1"/>
      <c r="AA1049" s="1"/>
    </row>
    <row r="1050">
      <c r="A1050" s="1"/>
      <c r="B1050" s="14"/>
      <c r="C1050" s="2"/>
      <c r="D1050" s="2"/>
      <c r="E1050" s="2"/>
      <c r="F1050" s="2"/>
      <c r="G1050" s="2"/>
      <c r="H1050" s="3"/>
      <c r="I1050" s="2"/>
      <c r="J1050" s="2"/>
      <c r="K1050" s="4"/>
      <c r="L1050" s="4"/>
      <c r="M1050" s="2"/>
      <c r="N1050" s="2"/>
      <c r="O1050" s="2"/>
      <c r="P1050" s="2"/>
      <c r="Q1050" s="5"/>
      <c r="R1050" s="5"/>
      <c r="S1050" s="2"/>
      <c r="T1050" s="2"/>
      <c r="U1050" s="5"/>
      <c r="V1050" s="5"/>
      <c r="W1050" s="2"/>
      <c r="X1050" s="5"/>
      <c r="Y1050" s="1"/>
      <c r="Z1050" s="1"/>
      <c r="AA1050" s="1"/>
    </row>
    <row r="1051">
      <c r="A1051" s="1"/>
      <c r="B1051" s="14"/>
      <c r="C1051" s="2"/>
      <c r="D1051" s="2"/>
      <c r="E1051" s="2"/>
      <c r="F1051" s="2"/>
      <c r="G1051" s="2"/>
      <c r="H1051" s="3"/>
      <c r="I1051" s="2"/>
      <c r="J1051" s="2"/>
      <c r="K1051" s="4"/>
      <c r="L1051" s="4"/>
      <c r="M1051" s="2"/>
      <c r="N1051" s="2"/>
      <c r="O1051" s="2"/>
      <c r="P1051" s="2"/>
      <c r="Q1051" s="5"/>
      <c r="R1051" s="5"/>
      <c r="S1051" s="2"/>
      <c r="T1051" s="2"/>
      <c r="U1051" s="5"/>
      <c r="V1051" s="5"/>
      <c r="W1051" s="2"/>
      <c r="X1051" s="5"/>
      <c r="Y1051" s="1"/>
      <c r="Z1051" s="1"/>
      <c r="AA1051" s="1"/>
    </row>
    <row r="1052">
      <c r="A1052" s="1"/>
      <c r="B1052" s="14"/>
      <c r="C1052" s="2"/>
      <c r="D1052" s="2"/>
      <c r="E1052" s="2"/>
      <c r="F1052" s="2"/>
      <c r="G1052" s="2"/>
      <c r="H1052" s="3"/>
      <c r="I1052" s="2"/>
      <c r="J1052" s="2"/>
      <c r="K1052" s="4"/>
      <c r="L1052" s="4"/>
      <c r="M1052" s="2"/>
      <c r="N1052" s="2"/>
      <c r="O1052" s="2"/>
      <c r="P1052" s="2"/>
      <c r="Q1052" s="5"/>
      <c r="R1052" s="5"/>
      <c r="S1052" s="2"/>
      <c r="T1052" s="2"/>
      <c r="U1052" s="5"/>
      <c r="V1052" s="5"/>
      <c r="W1052" s="2"/>
      <c r="X1052" s="5"/>
      <c r="Y1052" s="1"/>
      <c r="Z1052" s="1"/>
      <c r="AA1052" s="1"/>
    </row>
    <row r="1053">
      <c r="A1053" s="1"/>
      <c r="B1053" s="14"/>
      <c r="C1053" s="2"/>
      <c r="D1053" s="2"/>
      <c r="E1053" s="2"/>
      <c r="F1053" s="2"/>
      <c r="G1053" s="2"/>
      <c r="H1053" s="3"/>
      <c r="I1053" s="2"/>
      <c r="J1053" s="2"/>
      <c r="K1053" s="4"/>
      <c r="L1053" s="4"/>
      <c r="M1053" s="2"/>
      <c r="N1053" s="2"/>
      <c r="O1053" s="2"/>
      <c r="P1053" s="2"/>
      <c r="Q1053" s="5"/>
      <c r="R1053" s="5"/>
      <c r="S1053" s="2"/>
      <c r="T1053" s="2"/>
      <c r="U1053" s="5"/>
      <c r="V1053" s="5"/>
      <c r="W1053" s="2"/>
      <c r="X1053" s="5"/>
      <c r="Y1053" s="1"/>
      <c r="Z1053" s="1"/>
      <c r="AA1053" s="1"/>
    </row>
    <row r="1054">
      <c r="A1054" s="1"/>
      <c r="B1054" s="14"/>
      <c r="C1054" s="2"/>
      <c r="D1054" s="2"/>
      <c r="E1054" s="2"/>
      <c r="F1054" s="2"/>
      <c r="G1054" s="2"/>
      <c r="H1054" s="3"/>
      <c r="I1054" s="2"/>
      <c r="J1054" s="2"/>
      <c r="K1054" s="4"/>
      <c r="L1054" s="4"/>
      <c r="M1054" s="2"/>
      <c r="N1054" s="2"/>
      <c r="O1054" s="2"/>
      <c r="P1054" s="2"/>
      <c r="Q1054" s="5"/>
      <c r="R1054" s="5"/>
      <c r="S1054" s="2"/>
      <c r="T1054" s="2"/>
      <c r="U1054" s="5"/>
      <c r="V1054" s="5"/>
      <c r="W1054" s="2"/>
      <c r="X1054" s="5"/>
      <c r="Y1054" s="1"/>
      <c r="Z1054" s="1"/>
      <c r="AA1054" s="1"/>
    </row>
    <row r="1055">
      <c r="A1055" s="1"/>
      <c r="B1055" s="14"/>
      <c r="C1055" s="2"/>
      <c r="D1055" s="2"/>
      <c r="E1055" s="2"/>
      <c r="F1055" s="2"/>
      <c r="G1055" s="2"/>
      <c r="H1055" s="3"/>
      <c r="I1055" s="2"/>
      <c r="J1055" s="2"/>
      <c r="K1055" s="4"/>
      <c r="L1055" s="4"/>
      <c r="M1055" s="2"/>
      <c r="N1055" s="2"/>
      <c r="O1055" s="2"/>
      <c r="P1055" s="2"/>
      <c r="Q1055" s="5"/>
      <c r="R1055" s="5"/>
      <c r="S1055" s="2"/>
      <c r="T1055" s="2"/>
      <c r="U1055" s="5"/>
      <c r="V1055" s="5"/>
      <c r="W1055" s="2"/>
      <c r="X1055" s="5"/>
      <c r="Y1055" s="1"/>
      <c r="Z1055" s="1"/>
      <c r="AA1055" s="1"/>
    </row>
    <row r="1056">
      <c r="A1056" s="1"/>
      <c r="B1056" s="14"/>
      <c r="C1056" s="2"/>
      <c r="D1056" s="2"/>
      <c r="E1056" s="2"/>
      <c r="F1056" s="2"/>
      <c r="G1056" s="2"/>
      <c r="H1056" s="3"/>
      <c r="I1056" s="2"/>
      <c r="J1056" s="2"/>
      <c r="K1056" s="4"/>
      <c r="L1056" s="4"/>
      <c r="M1056" s="2"/>
      <c r="N1056" s="2"/>
      <c r="O1056" s="2"/>
      <c r="P1056" s="2"/>
      <c r="Q1056" s="5"/>
      <c r="R1056" s="5"/>
      <c r="S1056" s="2"/>
      <c r="T1056" s="2"/>
      <c r="U1056" s="5"/>
      <c r="V1056" s="5"/>
      <c r="W1056" s="2"/>
      <c r="X1056" s="5"/>
      <c r="Y1056" s="1"/>
      <c r="Z1056" s="1"/>
      <c r="AA1056" s="1"/>
    </row>
    <row r="1057">
      <c r="A1057" s="1"/>
      <c r="B1057" s="14"/>
      <c r="C1057" s="2"/>
      <c r="D1057" s="2"/>
      <c r="E1057" s="2"/>
      <c r="F1057" s="2"/>
      <c r="G1057" s="2"/>
      <c r="H1057" s="3"/>
      <c r="I1057" s="2"/>
      <c r="J1057" s="2"/>
      <c r="K1057" s="4"/>
      <c r="L1057" s="4"/>
      <c r="M1057" s="2"/>
      <c r="N1057" s="2"/>
      <c r="O1057" s="2"/>
      <c r="P1057" s="2"/>
      <c r="Q1057" s="5"/>
      <c r="R1057" s="5"/>
      <c r="S1057" s="2"/>
      <c r="T1057" s="2"/>
      <c r="U1057" s="5"/>
      <c r="V1057" s="5"/>
      <c r="W1057" s="2"/>
      <c r="X1057" s="5"/>
      <c r="Y1057" s="1"/>
      <c r="Z1057" s="1"/>
      <c r="AA1057" s="1"/>
    </row>
    <row r="1058">
      <c r="A1058" s="1"/>
      <c r="B1058" s="14"/>
      <c r="C1058" s="2"/>
      <c r="D1058" s="2"/>
      <c r="E1058" s="2"/>
      <c r="F1058" s="2"/>
      <c r="G1058" s="2"/>
      <c r="H1058" s="3"/>
      <c r="I1058" s="2"/>
      <c r="J1058" s="2"/>
      <c r="K1058" s="4"/>
      <c r="L1058" s="4"/>
      <c r="M1058" s="2"/>
      <c r="N1058" s="2"/>
      <c r="O1058" s="2"/>
      <c r="P1058" s="2"/>
      <c r="Q1058" s="5"/>
      <c r="R1058" s="5"/>
      <c r="S1058" s="2"/>
      <c r="T1058" s="2"/>
      <c r="U1058" s="5"/>
      <c r="V1058" s="5"/>
      <c r="W1058" s="2"/>
      <c r="X1058" s="5"/>
      <c r="Y1058" s="1"/>
      <c r="Z1058" s="1"/>
      <c r="AA1058" s="1"/>
    </row>
    <row r="1059">
      <c r="A1059" s="1"/>
      <c r="B1059" s="14"/>
      <c r="C1059" s="2"/>
      <c r="D1059" s="2"/>
      <c r="E1059" s="2"/>
      <c r="F1059" s="2"/>
      <c r="G1059" s="2"/>
      <c r="H1059" s="3"/>
      <c r="I1059" s="2"/>
      <c r="J1059" s="2"/>
      <c r="K1059" s="4"/>
      <c r="L1059" s="4"/>
      <c r="M1059" s="2"/>
      <c r="N1059" s="2"/>
      <c r="O1059" s="2"/>
      <c r="P1059" s="2"/>
      <c r="Q1059" s="5"/>
      <c r="R1059" s="5"/>
      <c r="S1059" s="2"/>
      <c r="T1059" s="2"/>
      <c r="U1059" s="5"/>
      <c r="V1059" s="5"/>
      <c r="W1059" s="2"/>
      <c r="X1059" s="5"/>
      <c r="Y1059" s="1"/>
      <c r="Z1059" s="1"/>
      <c r="AA1059" s="1"/>
    </row>
    <row r="1060">
      <c r="A1060" s="1"/>
      <c r="B1060" s="14"/>
      <c r="C1060" s="2"/>
      <c r="D1060" s="2"/>
      <c r="E1060" s="2"/>
      <c r="F1060" s="2"/>
      <c r="G1060" s="2"/>
      <c r="H1060" s="3"/>
      <c r="I1060" s="2"/>
      <c r="J1060" s="2"/>
      <c r="K1060" s="4"/>
      <c r="L1060" s="4"/>
      <c r="M1060" s="2"/>
      <c r="N1060" s="2"/>
      <c r="O1060" s="2"/>
      <c r="P1060" s="2"/>
      <c r="Q1060" s="5"/>
      <c r="R1060" s="5"/>
      <c r="S1060" s="2"/>
      <c r="T1060" s="2"/>
      <c r="U1060" s="5"/>
      <c r="V1060" s="5"/>
      <c r="W1060" s="2"/>
      <c r="X1060" s="5"/>
      <c r="Y1060" s="1"/>
      <c r="Z1060" s="1"/>
      <c r="AA1060" s="1"/>
    </row>
    <row r="1061">
      <c r="A1061" s="1"/>
      <c r="B1061" s="14"/>
      <c r="C1061" s="2"/>
      <c r="D1061" s="2"/>
      <c r="E1061" s="2"/>
      <c r="F1061" s="2"/>
      <c r="G1061" s="2"/>
      <c r="H1061" s="3"/>
      <c r="I1061" s="2"/>
      <c r="J1061" s="2"/>
      <c r="K1061" s="4"/>
      <c r="L1061" s="4"/>
      <c r="M1061" s="2"/>
      <c r="N1061" s="2"/>
      <c r="O1061" s="2"/>
      <c r="P1061" s="2"/>
      <c r="Q1061" s="5"/>
      <c r="R1061" s="5"/>
      <c r="S1061" s="2"/>
      <c r="T1061" s="2"/>
      <c r="U1061" s="5"/>
      <c r="V1061" s="5"/>
      <c r="W1061" s="2"/>
      <c r="X1061" s="5"/>
      <c r="Y1061" s="1"/>
      <c r="Z1061" s="1"/>
      <c r="AA1061" s="1"/>
    </row>
    <row r="1062">
      <c r="A1062" s="1"/>
      <c r="B1062" s="14"/>
      <c r="C1062" s="2"/>
      <c r="D1062" s="2"/>
      <c r="E1062" s="2"/>
      <c r="F1062" s="2"/>
      <c r="G1062" s="2"/>
      <c r="H1062" s="3"/>
      <c r="I1062" s="2"/>
      <c r="J1062" s="2"/>
      <c r="K1062" s="4"/>
      <c r="L1062" s="4"/>
      <c r="M1062" s="2"/>
      <c r="N1062" s="2"/>
      <c r="O1062" s="2"/>
      <c r="P1062" s="2"/>
      <c r="Q1062" s="5"/>
      <c r="R1062" s="5"/>
      <c r="S1062" s="2"/>
      <c r="T1062" s="2"/>
      <c r="U1062" s="5"/>
      <c r="V1062" s="5"/>
      <c r="W1062" s="2"/>
      <c r="X1062" s="5"/>
      <c r="Y1062" s="1"/>
      <c r="Z1062" s="1"/>
      <c r="AA1062" s="1"/>
    </row>
    <row r="1063">
      <c r="A1063" s="1"/>
      <c r="B1063" s="14"/>
      <c r="C1063" s="2"/>
      <c r="D1063" s="2"/>
      <c r="E1063" s="2"/>
      <c r="F1063" s="2"/>
      <c r="G1063" s="2"/>
      <c r="H1063" s="3"/>
      <c r="I1063" s="2"/>
      <c r="J1063" s="2"/>
      <c r="K1063" s="4"/>
      <c r="L1063" s="4"/>
      <c r="M1063" s="2"/>
      <c r="N1063" s="2"/>
      <c r="O1063" s="2"/>
      <c r="P1063" s="2"/>
      <c r="Q1063" s="5"/>
      <c r="R1063" s="5"/>
      <c r="S1063" s="2"/>
      <c r="T1063" s="2"/>
      <c r="U1063" s="5"/>
      <c r="V1063" s="5"/>
      <c r="W1063" s="2"/>
      <c r="X1063" s="5"/>
      <c r="Y1063" s="1"/>
      <c r="Z1063" s="1"/>
      <c r="AA1063" s="1"/>
    </row>
    <row r="1064">
      <c r="A1064" s="1"/>
      <c r="B1064" s="14"/>
      <c r="C1064" s="2"/>
      <c r="D1064" s="2"/>
      <c r="E1064" s="2"/>
      <c r="F1064" s="2"/>
      <c r="G1064" s="2"/>
      <c r="H1064" s="3"/>
      <c r="I1064" s="2"/>
      <c r="J1064" s="2"/>
      <c r="K1064" s="4"/>
      <c r="L1064" s="4"/>
      <c r="M1064" s="2"/>
      <c r="N1064" s="2"/>
      <c r="O1064" s="2"/>
      <c r="P1064" s="2"/>
      <c r="Q1064" s="5"/>
      <c r="R1064" s="5"/>
      <c r="S1064" s="2"/>
      <c r="T1064" s="2"/>
      <c r="U1064" s="5"/>
      <c r="V1064" s="5"/>
      <c r="W1064" s="2"/>
      <c r="X1064" s="5"/>
      <c r="Y1064" s="1"/>
      <c r="Z1064" s="1"/>
      <c r="AA1064" s="1"/>
    </row>
    <row r="1065">
      <c r="A1065" s="1"/>
      <c r="B1065" s="14"/>
      <c r="C1065" s="2"/>
      <c r="D1065" s="2"/>
      <c r="E1065" s="2"/>
      <c r="F1065" s="2"/>
      <c r="G1065" s="2"/>
      <c r="H1065" s="3"/>
      <c r="I1065" s="2"/>
      <c r="J1065" s="2"/>
      <c r="K1065" s="4"/>
      <c r="L1065" s="4"/>
      <c r="M1065" s="2"/>
      <c r="N1065" s="2"/>
      <c r="O1065" s="2"/>
      <c r="P1065" s="2"/>
      <c r="Q1065" s="5"/>
      <c r="R1065" s="5"/>
      <c r="S1065" s="2"/>
      <c r="T1065" s="2"/>
      <c r="U1065" s="5"/>
      <c r="V1065" s="5"/>
      <c r="W1065" s="2"/>
      <c r="X1065" s="5"/>
      <c r="Y1065" s="1"/>
      <c r="Z1065" s="1"/>
      <c r="AA1065" s="1"/>
    </row>
    <row r="1066">
      <c r="A1066" s="1"/>
      <c r="B1066" s="14"/>
      <c r="C1066" s="2"/>
      <c r="D1066" s="2"/>
      <c r="E1066" s="2"/>
      <c r="F1066" s="2"/>
      <c r="G1066" s="2"/>
      <c r="H1066" s="3"/>
      <c r="I1066" s="2"/>
      <c r="J1066" s="2"/>
      <c r="K1066" s="4"/>
      <c r="L1066" s="4"/>
      <c r="M1066" s="2"/>
      <c r="N1066" s="2"/>
      <c r="O1066" s="2"/>
      <c r="P1066" s="2"/>
      <c r="Q1066" s="5"/>
      <c r="R1066" s="5"/>
      <c r="S1066" s="2"/>
      <c r="T1066" s="2"/>
      <c r="U1066" s="5"/>
      <c r="V1066" s="5"/>
      <c r="W1066" s="2"/>
      <c r="X1066" s="5"/>
      <c r="Y1066" s="1"/>
      <c r="Z1066" s="1"/>
      <c r="AA1066" s="1"/>
    </row>
    <row r="1067">
      <c r="A1067" s="1"/>
      <c r="B1067" s="14"/>
      <c r="C1067" s="2"/>
      <c r="D1067" s="2"/>
      <c r="E1067" s="2"/>
      <c r="F1067" s="2"/>
      <c r="G1067" s="2"/>
      <c r="H1067" s="3"/>
      <c r="I1067" s="2"/>
      <c r="J1067" s="2"/>
      <c r="K1067" s="4"/>
      <c r="L1067" s="4"/>
      <c r="M1067" s="2"/>
      <c r="N1067" s="2"/>
      <c r="O1067" s="2"/>
      <c r="P1067" s="2"/>
      <c r="Q1067" s="5"/>
      <c r="R1067" s="5"/>
      <c r="S1067" s="2"/>
      <c r="T1067" s="2"/>
      <c r="U1067" s="5"/>
      <c r="V1067" s="5"/>
      <c r="W1067" s="2"/>
      <c r="X1067" s="5"/>
      <c r="Y1067" s="1"/>
      <c r="Z1067" s="1"/>
      <c r="AA1067" s="1"/>
    </row>
    <row r="1068">
      <c r="A1068" s="1"/>
      <c r="B1068" s="14"/>
      <c r="C1068" s="2"/>
      <c r="D1068" s="2"/>
      <c r="E1068" s="2"/>
      <c r="F1068" s="2"/>
      <c r="G1068" s="2"/>
      <c r="H1068" s="3"/>
      <c r="I1068" s="2"/>
      <c r="J1068" s="2"/>
      <c r="K1068" s="4"/>
      <c r="L1068" s="4"/>
      <c r="M1068" s="2"/>
      <c r="N1068" s="2"/>
      <c r="O1068" s="2"/>
      <c r="P1068" s="2"/>
      <c r="Q1068" s="5"/>
      <c r="R1068" s="5"/>
      <c r="S1068" s="2"/>
      <c r="T1068" s="2"/>
      <c r="U1068" s="5"/>
      <c r="V1068" s="5"/>
      <c r="W1068" s="2"/>
      <c r="X1068" s="5"/>
      <c r="Y1068" s="1"/>
      <c r="Z1068" s="1"/>
      <c r="AA1068" s="1"/>
    </row>
    <row r="1069">
      <c r="A1069" s="1"/>
      <c r="B1069" s="14"/>
      <c r="C1069" s="2"/>
      <c r="D1069" s="2"/>
      <c r="E1069" s="2"/>
      <c r="F1069" s="2"/>
      <c r="G1069" s="2"/>
      <c r="H1069" s="3"/>
      <c r="I1069" s="2"/>
      <c r="J1069" s="2"/>
      <c r="K1069" s="4"/>
      <c r="L1069" s="4"/>
      <c r="M1069" s="2"/>
      <c r="N1069" s="2"/>
      <c r="O1069" s="2"/>
      <c r="P1069" s="2"/>
      <c r="Q1069" s="5"/>
      <c r="R1069" s="5"/>
      <c r="S1069" s="2"/>
      <c r="T1069" s="2"/>
      <c r="U1069" s="5"/>
      <c r="V1069" s="5"/>
      <c r="W1069" s="2"/>
      <c r="X1069" s="5"/>
      <c r="Y1069" s="1"/>
      <c r="Z1069" s="1"/>
      <c r="AA1069" s="1"/>
    </row>
    <row r="1070">
      <c r="A1070" s="1"/>
      <c r="B1070" s="14"/>
      <c r="C1070" s="2"/>
      <c r="D1070" s="2"/>
      <c r="E1070" s="2"/>
      <c r="F1070" s="2"/>
      <c r="G1070" s="2"/>
      <c r="H1070" s="3"/>
      <c r="I1070" s="2"/>
      <c r="J1070" s="2"/>
      <c r="K1070" s="4"/>
      <c r="L1070" s="4"/>
      <c r="M1070" s="2"/>
      <c r="N1070" s="2"/>
      <c r="O1070" s="2"/>
      <c r="P1070" s="2"/>
      <c r="Q1070" s="5"/>
      <c r="R1070" s="5"/>
      <c r="S1070" s="2"/>
      <c r="T1070" s="2"/>
      <c r="U1070" s="5"/>
      <c r="V1070" s="5"/>
      <c r="W1070" s="2"/>
      <c r="X1070" s="5"/>
      <c r="Y1070" s="1"/>
      <c r="Z1070" s="1"/>
      <c r="AA1070" s="1"/>
    </row>
    <row r="1071">
      <c r="A1071" s="1"/>
      <c r="B1071" s="14"/>
      <c r="C1071" s="2"/>
      <c r="D1071" s="2"/>
      <c r="E1071" s="2"/>
      <c r="F1071" s="2"/>
      <c r="G1071" s="2"/>
      <c r="H1071" s="3"/>
      <c r="I1071" s="2"/>
      <c r="J1071" s="2"/>
      <c r="K1071" s="4"/>
      <c r="L1071" s="4"/>
      <c r="M1071" s="2"/>
      <c r="N1071" s="2"/>
      <c r="O1071" s="2"/>
      <c r="P1071" s="2"/>
      <c r="Q1071" s="5"/>
      <c r="R1071" s="5"/>
      <c r="S1071" s="2"/>
      <c r="T1071" s="2"/>
      <c r="U1071" s="5"/>
      <c r="V1071" s="5"/>
      <c r="W1071" s="2"/>
      <c r="X1071" s="5"/>
      <c r="Y1071" s="1"/>
      <c r="Z1071" s="1"/>
      <c r="AA1071" s="1"/>
    </row>
    <row r="1072">
      <c r="A1072" s="1"/>
      <c r="B1072" s="14"/>
      <c r="C1072" s="2"/>
      <c r="D1072" s="2"/>
      <c r="E1072" s="2"/>
      <c r="F1072" s="2"/>
      <c r="G1072" s="2"/>
      <c r="H1072" s="3"/>
      <c r="I1072" s="2"/>
      <c r="J1072" s="2"/>
      <c r="K1072" s="4"/>
      <c r="L1072" s="4"/>
      <c r="M1072" s="2"/>
      <c r="N1072" s="2"/>
      <c r="O1072" s="2"/>
      <c r="P1072" s="2"/>
      <c r="Q1072" s="5"/>
      <c r="R1072" s="5"/>
      <c r="S1072" s="2"/>
      <c r="T1072" s="2"/>
      <c r="U1072" s="5"/>
      <c r="V1072" s="5"/>
      <c r="W1072" s="2"/>
      <c r="X1072" s="5"/>
      <c r="Y1072" s="1"/>
      <c r="Z1072" s="1"/>
      <c r="AA1072" s="1"/>
    </row>
    <row r="1073">
      <c r="A1073" s="1"/>
      <c r="B1073" s="14"/>
      <c r="C1073" s="2"/>
      <c r="D1073" s="2"/>
      <c r="E1073" s="2"/>
      <c r="F1073" s="2"/>
      <c r="G1073" s="2"/>
      <c r="H1073" s="3"/>
      <c r="I1073" s="2"/>
      <c r="J1073" s="2"/>
      <c r="K1073" s="4"/>
      <c r="L1073" s="4"/>
      <c r="M1073" s="2"/>
      <c r="N1073" s="2"/>
      <c r="O1073" s="2"/>
      <c r="P1073" s="2"/>
      <c r="Q1073" s="5"/>
      <c r="R1073" s="5"/>
      <c r="S1073" s="2"/>
      <c r="T1073" s="2"/>
      <c r="U1073" s="5"/>
      <c r="V1073" s="5"/>
      <c r="W1073" s="2"/>
      <c r="X1073" s="5"/>
      <c r="Y1073" s="1"/>
      <c r="Z1073" s="1"/>
      <c r="AA1073" s="1"/>
    </row>
    <row r="1074">
      <c r="A1074" s="1"/>
      <c r="B1074" s="14"/>
      <c r="C1074" s="2"/>
      <c r="D1074" s="2"/>
      <c r="E1074" s="2"/>
      <c r="F1074" s="2"/>
      <c r="G1074" s="2"/>
      <c r="H1074" s="3"/>
      <c r="I1074" s="2"/>
      <c r="J1074" s="2"/>
      <c r="K1074" s="4"/>
      <c r="L1074" s="4"/>
      <c r="M1074" s="2"/>
      <c r="N1074" s="2"/>
      <c r="O1074" s="2"/>
      <c r="P1074" s="2"/>
      <c r="Q1074" s="5"/>
      <c r="R1074" s="5"/>
      <c r="S1074" s="2"/>
      <c r="T1074" s="2"/>
      <c r="U1074" s="5"/>
      <c r="V1074" s="5"/>
      <c r="W1074" s="2"/>
      <c r="X1074" s="5"/>
      <c r="Y1074" s="1"/>
      <c r="Z1074" s="1"/>
      <c r="AA1074" s="1"/>
    </row>
    <row r="1075">
      <c r="A1075" s="1"/>
      <c r="B1075" s="14"/>
      <c r="C1075" s="2"/>
      <c r="D1075" s="2"/>
      <c r="E1075" s="2"/>
      <c r="F1075" s="2"/>
      <c r="G1075" s="2"/>
      <c r="H1075" s="3"/>
      <c r="I1075" s="2"/>
      <c r="J1075" s="2"/>
      <c r="K1075" s="4"/>
      <c r="L1075" s="4"/>
      <c r="M1075" s="2"/>
      <c r="N1075" s="2"/>
      <c r="O1075" s="2"/>
      <c r="P1075" s="2"/>
      <c r="Q1075" s="5"/>
      <c r="R1075" s="5"/>
      <c r="S1075" s="2"/>
      <c r="T1075" s="2"/>
      <c r="U1075" s="5"/>
      <c r="V1075" s="5"/>
      <c r="W1075" s="2"/>
      <c r="X1075" s="5"/>
      <c r="Y1075" s="1"/>
      <c r="Z1075" s="1"/>
      <c r="AA1075" s="1"/>
    </row>
    <row r="1076">
      <c r="A1076" s="1"/>
      <c r="B1076" s="14"/>
      <c r="C1076" s="2"/>
      <c r="D1076" s="2"/>
      <c r="E1076" s="2"/>
      <c r="F1076" s="2"/>
      <c r="G1076" s="2"/>
      <c r="H1076" s="3"/>
      <c r="I1076" s="2"/>
      <c r="J1076" s="2"/>
      <c r="K1076" s="4"/>
      <c r="L1076" s="4"/>
      <c r="M1076" s="2"/>
      <c r="N1076" s="2"/>
      <c r="O1076" s="2"/>
      <c r="P1076" s="2"/>
      <c r="Q1076" s="5"/>
      <c r="R1076" s="5"/>
      <c r="S1076" s="2"/>
      <c r="T1076" s="2"/>
      <c r="U1076" s="5"/>
      <c r="V1076" s="5"/>
      <c r="W1076" s="2"/>
      <c r="X1076" s="5"/>
      <c r="Y1076" s="1"/>
      <c r="Z1076" s="1"/>
      <c r="AA1076" s="1"/>
    </row>
    <row r="1077">
      <c r="A1077" s="1"/>
      <c r="B1077" s="14"/>
      <c r="C1077" s="2"/>
      <c r="D1077" s="2"/>
      <c r="E1077" s="2"/>
      <c r="F1077" s="2"/>
      <c r="G1077" s="2"/>
      <c r="H1077" s="3"/>
      <c r="I1077" s="2"/>
      <c r="J1077" s="2"/>
      <c r="K1077" s="4"/>
      <c r="L1077" s="4"/>
      <c r="M1077" s="2"/>
      <c r="N1077" s="2"/>
      <c r="O1077" s="2"/>
      <c r="P1077" s="2"/>
      <c r="Q1077" s="5"/>
      <c r="R1077" s="5"/>
      <c r="S1077" s="2"/>
      <c r="T1077" s="2"/>
      <c r="U1077" s="5"/>
      <c r="V1077" s="5"/>
      <c r="W1077" s="2"/>
      <c r="X1077" s="5"/>
      <c r="Y1077" s="1"/>
      <c r="Z1077" s="1"/>
      <c r="AA1077" s="1"/>
    </row>
    <row r="1078">
      <c r="A1078" s="1"/>
      <c r="B1078" s="14"/>
      <c r="C1078" s="2"/>
      <c r="D1078" s="2"/>
      <c r="E1078" s="2"/>
      <c r="F1078" s="2"/>
      <c r="G1078" s="2"/>
      <c r="H1078" s="3"/>
      <c r="I1078" s="2"/>
      <c r="J1078" s="2"/>
      <c r="K1078" s="4"/>
      <c r="L1078" s="4"/>
      <c r="M1078" s="2"/>
      <c r="N1078" s="2"/>
      <c r="O1078" s="2"/>
      <c r="P1078" s="2"/>
      <c r="Q1078" s="5"/>
      <c r="R1078" s="5"/>
      <c r="S1078" s="2"/>
      <c r="T1078" s="2"/>
      <c r="U1078" s="5"/>
      <c r="V1078" s="5"/>
      <c r="W1078" s="2"/>
      <c r="X1078" s="5"/>
      <c r="Y1078" s="1"/>
      <c r="Z1078" s="1"/>
      <c r="AA1078" s="1"/>
    </row>
    <row r="1079">
      <c r="A1079" s="1"/>
      <c r="B1079" s="14"/>
      <c r="C1079" s="2"/>
      <c r="D1079" s="2"/>
      <c r="E1079" s="2"/>
      <c r="F1079" s="2"/>
      <c r="G1079" s="2"/>
      <c r="H1079" s="3"/>
      <c r="I1079" s="2"/>
      <c r="J1079" s="2"/>
      <c r="K1079" s="4"/>
      <c r="L1079" s="4"/>
      <c r="M1079" s="2"/>
      <c r="N1079" s="2"/>
      <c r="O1079" s="2"/>
      <c r="P1079" s="2"/>
      <c r="Q1079" s="5"/>
      <c r="R1079" s="5"/>
      <c r="S1079" s="2"/>
      <c r="T1079" s="2"/>
      <c r="U1079" s="5"/>
      <c r="V1079" s="5"/>
      <c r="W1079" s="2"/>
      <c r="X1079" s="5"/>
      <c r="Y1079" s="1"/>
      <c r="Z1079" s="1"/>
      <c r="AA1079" s="1"/>
    </row>
    <row r="1080">
      <c r="A1080" s="1"/>
      <c r="B1080" s="14"/>
      <c r="C1080" s="2"/>
      <c r="D1080" s="2"/>
      <c r="E1080" s="2"/>
      <c r="F1080" s="2"/>
      <c r="G1080" s="2"/>
      <c r="H1080" s="3"/>
      <c r="I1080" s="2"/>
      <c r="J1080" s="2"/>
      <c r="K1080" s="4"/>
      <c r="L1080" s="4"/>
      <c r="M1080" s="2"/>
      <c r="N1080" s="2"/>
      <c r="O1080" s="2"/>
      <c r="P1080" s="2"/>
      <c r="Q1080" s="5"/>
      <c r="R1080" s="5"/>
      <c r="S1080" s="2"/>
      <c r="T1080" s="2"/>
      <c r="U1080" s="5"/>
      <c r="V1080" s="5"/>
      <c r="W1080" s="2"/>
      <c r="X1080" s="5"/>
      <c r="Y1080" s="1"/>
      <c r="Z1080" s="1"/>
      <c r="AA1080" s="1"/>
    </row>
    <row r="1081">
      <c r="A1081" s="1"/>
      <c r="B1081" s="14"/>
      <c r="C1081" s="2"/>
      <c r="D1081" s="2"/>
      <c r="E1081" s="2"/>
      <c r="F1081" s="2"/>
      <c r="G1081" s="2"/>
      <c r="H1081" s="3"/>
      <c r="I1081" s="2"/>
      <c r="J1081" s="2"/>
      <c r="K1081" s="4"/>
      <c r="L1081" s="4"/>
      <c r="M1081" s="2"/>
      <c r="N1081" s="2"/>
      <c r="O1081" s="2"/>
      <c r="P1081" s="2"/>
      <c r="Q1081" s="5"/>
      <c r="R1081" s="5"/>
      <c r="S1081" s="2"/>
      <c r="T1081" s="2"/>
      <c r="U1081" s="5"/>
      <c r="V1081" s="5"/>
      <c r="W1081" s="2"/>
      <c r="X1081" s="5"/>
      <c r="Y1081" s="1"/>
      <c r="Z1081" s="1"/>
      <c r="AA1081" s="1"/>
    </row>
    <row r="1082">
      <c r="A1082" s="1"/>
      <c r="B1082" s="14"/>
      <c r="C1082" s="2"/>
      <c r="D1082" s="2"/>
      <c r="E1082" s="2"/>
      <c r="F1082" s="2"/>
      <c r="G1082" s="2"/>
      <c r="H1082" s="3"/>
      <c r="I1082" s="2"/>
      <c r="J1082" s="2"/>
      <c r="K1082" s="4"/>
      <c r="L1082" s="4"/>
      <c r="M1082" s="2"/>
      <c r="N1082" s="2"/>
      <c r="O1082" s="2"/>
      <c r="P1082" s="2"/>
      <c r="Q1082" s="5"/>
      <c r="R1082" s="5"/>
      <c r="S1082" s="2"/>
      <c r="T1082" s="2"/>
      <c r="U1082" s="5"/>
      <c r="V1082" s="5"/>
      <c r="W1082" s="2"/>
      <c r="X1082" s="5"/>
      <c r="Y1082" s="1"/>
      <c r="Z1082" s="1"/>
      <c r="AA1082" s="1"/>
    </row>
    <row r="1083">
      <c r="A1083" s="1"/>
      <c r="B1083" s="14"/>
      <c r="C1083" s="2"/>
      <c r="D1083" s="2"/>
      <c r="E1083" s="2"/>
      <c r="F1083" s="2"/>
      <c r="G1083" s="2"/>
      <c r="H1083" s="3"/>
      <c r="I1083" s="2"/>
      <c r="J1083" s="2"/>
      <c r="K1083" s="4"/>
      <c r="L1083" s="4"/>
      <c r="M1083" s="2"/>
      <c r="N1083" s="2"/>
      <c r="O1083" s="2"/>
      <c r="P1083" s="2"/>
      <c r="Q1083" s="5"/>
      <c r="R1083" s="5"/>
      <c r="S1083" s="2"/>
      <c r="T1083" s="2"/>
      <c r="U1083" s="5"/>
      <c r="V1083" s="5"/>
      <c r="W1083" s="2"/>
      <c r="X1083" s="5"/>
      <c r="Y1083" s="1"/>
      <c r="Z1083" s="1"/>
      <c r="AA1083" s="1"/>
    </row>
    <row r="1084">
      <c r="A1084" s="1"/>
      <c r="B1084" s="14"/>
      <c r="C1084" s="2"/>
      <c r="D1084" s="2"/>
      <c r="E1084" s="2"/>
      <c r="F1084" s="2"/>
      <c r="G1084" s="2"/>
      <c r="H1084" s="3"/>
      <c r="I1084" s="2"/>
      <c r="J1084" s="2"/>
      <c r="K1084" s="4"/>
      <c r="L1084" s="4"/>
      <c r="M1084" s="2"/>
      <c r="N1084" s="2"/>
      <c r="O1084" s="2"/>
      <c r="P1084" s="2"/>
      <c r="Q1084" s="5"/>
      <c r="R1084" s="5"/>
      <c r="S1084" s="2"/>
      <c r="T1084" s="2"/>
      <c r="U1084" s="5"/>
      <c r="V1084" s="5"/>
      <c r="W1084" s="2"/>
      <c r="X1084" s="5"/>
      <c r="Y1084" s="1"/>
      <c r="Z1084" s="1"/>
      <c r="AA1084" s="1"/>
    </row>
    <row r="1085">
      <c r="A1085" s="1"/>
      <c r="B1085" s="14"/>
      <c r="C1085" s="2"/>
      <c r="D1085" s="2"/>
      <c r="E1085" s="2"/>
      <c r="F1085" s="2"/>
      <c r="G1085" s="2"/>
      <c r="H1085" s="3"/>
      <c r="I1085" s="2"/>
      <c r="J1085" s="2"/>
      <c r="K1085" s="4"/>
      <c r="L1085" s="4"/>
      <c r="M1085" s="2"/>
      <c r="N1085" s="2"/>
      <c r="O1085" s="2"/>
      <c r="P1085" s="2"/>
      <c r="Q1085" s="5"/>
      <c r="R1085" s="5"/>
      <c r="S1085" s="2"/>
      <c r="T1085" s="2"/>
      <c r="U1085" s="5"/>
      <c r="V1085" s="5"/>
      <c r="W1085" s="2"/>
      <c r="X1085" s="5"/>
      <c r="Y1085" s="1"/>
      <c r="Z1085" s="1"/>
      <c r="AA1085" s="1"/>
    </row>
    <row r="1086">
      <c r="A1086" s="1"/>
      <c r="B1086" s="14"/>
      <c r="C1086" s="2"/>
      <c r="D1086" s="2"/>
      <c r="E1086" s="2"/>
      <c r="F1086" s="2"/>
      <c r="G1086" s="2"/>
      <c r="H1086" s="3"/>
      <c r="I1086" s="2"/>
      <c r="J1086" s="2"/>
      <c r="K1086" s="4"/>
      <c r="L1086" s="4"/>
      <c r="M1086" s="2"/>
      <c r="N1086" s="2"/>
      <c r="O1086" s="2"/>
      <c r="P1086" s="2"/>
      <c r="Q1086" s="5"/>
      <c r="R1086" s="5"/>
      <c r="S1086" s="2"/>
      <c r="T1086" s="2"/>
      <c r="U1086" s="5"/>
      <c r="V1086" s="5"/>
      <c r="W1086" s="2"/>
      <c r="X1086" s="5"/>
      <c r="Y1086" s="1"/>
      <c r="Z1086" s="1"/>
      <c r="AA1086" s="1"/>
    </row>
    <row r="1087">
      <c r="A1087" s="1"/>
      <c r="B1087" s="14"/>
      <c r="C1087" s="2"/>
      <c r="D1087" s="2"/>
      <c r="E1087" s="2"/>
      <c r="F1087" s="2"/>
      <c r="G1087" s="2"/>
      <c r="H1087" s="3"/>
      <c r="I1087" s="2"/>
      <c r="J1087" s="2"/>
      <c r="K1087" s="4"/>
      <c r="L1087" s="4"/>
      <c r="M1087" s="2"/>
      <c r="N1087" s="2"/>
      <c r="O1087" s="2"/>
      <c r="P1087" s="2"/>
      <c r="Q1087" s="5"/>
      <c r="R1087" s="5"/>
      <c r="S1087" s="2"/>
      <c r="T1087" s="2"/>
      <c r="U1087" s="5"/>
      <c r="V1087" s="5"/>
      <c r="W1087" s="2"/>
      <c r="X1087" s="5"/>
      <c r="Y1087" s="1"/>
      <c r="Z1087" s="1"/>
      <c r="AA1087" s="1"/>
    </row>
    <row r="1088">
      <c r="A1088" s="1"/>
      <c r="B1088" s="14"/>
      <c r="C1088" s="2"/>
      <c r="D1088" s="2"/>
      <c r="E1088" s="2"/>
      <c r="F1088" s="2"/>
      <c r="G1088" s="2"/>
      <c r="H1088" s="3"/>
      <c r="I1088" s="2"/>
      <c r="J1088" s="2"/>
      <c r="K1088" s="4"/>
      <c r="L1088" s="4"/>
      <c r="M1088" s="2"/>
      <c r="N1088" s="2"/>
      <c r="O1088" s="2"/>
      <c r="P1088" s="2"/>
      <c r="Q1088" s="5"/>
      <c r="R1088" s="5"/>
      <c r="S1088" s="2"/>
      <c r="T1088" s="2"/>
      <c r="U1088" s="5"/>
      <c r="V1088" s="5"/>
      <c r="W1088" s="2"/>
      <c r="X1088" s="5"/>
      <c r="Y1088" s="1"/>
      <c r="Z1088" s="1"/>
      <c r="AA1088" s="1"/>
    </row>
    <row r="1089">
      <c r="A1089" s="1"/>
      <c r="B1089" s="14"/>
      <c r="C1089" s="2"/>
      <c r="D1089" s="2"/>
      <c r="E1089" s="2"/>
      <c r="F1089" s="2"/>
      <c r="G1089" s="2"/>
      <c r="H1089" s="3"/>
      <c r="I1089" s="2"/>
      <c r="J1089" s="2"/>
      <c r="K1089" s="4"/>
      <c r="L1089" s="4"/>
      <c r="M1089" s="2"/>
      <c r="N1089" s="2"/>
      <c r="O1089" s="2"/>
      <c r="P1089" s="2"/>
      <c r="Q1089" s="5"/>
      <c r="R1089" s="5"/>
      <c r="S1089" s="2"/>
      <c r="T1089" s="2"/>
      <c r="U1089" s="5"/>
      <c r="V1089" s="5"/>
      <c r="W1089" s="2"/>
      <c r="X1089" s="5"/>
      <c r="Y1089" s="1"/>
      <c r="Z1089" s="1"/>
      <c r="AA1089" s="1"/>
    </row>
    <row r="1090">
      <c r="A1090" s="1"/>
      <c r="B1090" s="14"/>
      <c r="C1090" s="2"/>
      <c r="D1090" s="2"/>
      <c r="E1090" s="2"/>
      <c r="F1090" s="2"/>
      <c r="G1090" s="2"/>
      <c r="H1090" s="3"/>
      <c r="I1090" s="2"/>
      <c r="J1090" s="2"/>
      <c r="K1090" s="4"/>
      <c r="L1090" s="4"/>
      <c r="M1090" s="2"/>
      <c r="N1090" s="2"/>
      <c r="O1090" s="2"/>
      <c r="P1090" s="2"/>
      <c r="Q1090" s="5"/>
      <c r="R1090" s="5"/>
      <c r="S1090" s="2"/>
      <c r="T1090" s="2"/>
      <c r="U1090" s="5"/>
      <c r="V1090" s="5"/>
      <c r="W1090" s="2"/>
      <c r="X1090" s="5"/>
      <c r="Y1090" s="1"/>
      <c r="Z1090" s="1"/>
      <c r="AA1090" s="1"/>
    </row>
    <row r="1091">
      <c r="A1091" s="1"/>
      <c r="B1091" s="14"/>
      <c r="C1091" s="2"/>
      <c r="D1091" s="2"/>
      <c r="E1091" s="2"/>
      <c r="F1091" s="2"/>
      <c r="G1091" s="2"/>
      <c r="H1091" s="3"/>
      <c r="I1091" s="2"/>
      <c r="J1091" s="2"/>
      <c r="K1091" s="4"/>
      <c r="L1091" s="4"/>
      <c r="M1091" s="2"/>
      <c r="N1091" s="2"/>
      <c r="O1091" s="2"/>
      <c r="P1091" s="2"/>
      <c r="Q1091" s="5"/>
      <c r="R1091" s="5"/>
      <c r="S1091" s="2"/>
      <c r="T1091" s="2"/>
      <c r="U1091" s="5"/>
      <c r="V1091" s="5"/>
      <c r="W1091" s="2"/>
      <c r="X1091" s="5"/>
      <c r="Y1091" s="1"/>
      <c r="Z1091" s="1"/>
      <c r="AA1091" s="1"/>
    </row>
    <row r="1092">
      <c r="A1092" s="1"/>
      <c r="B1092" s="14"/>
      <c r="C1092" s="2"/>
      <c r="D1092" s="2"/>
      <c r="E1092" s="2"/>
      <c r="F1092" s="2"/>
      <c r="G1092" s="2"/>
      <c r="H1092" s="3"/>
      <c r="I1092" s="2"/>
      <c r="J1092" s="2"/>
      <c r="K1092" s="4"/>
      <c r="L1092" s="4"/>
      <c r="M1092" s="2"/>
      <c r="N1092" s="2"/>
      <c r="O1092" s="2"/>
      <c r="P1092" s="2"/>
      <c r="Q1092" s="5"/>
      <c r="R1092" s="5"/>
      <c r="S1092" s="2"/>
      <c r="T1092" s="2"/>
      <c r="U1092" s="5"/>
      <c r="V1092" s="5"/>
      <c r="W1092" s="2"/>
      <c r="X1092" s="5"/>
      <c r="Y1092" s="1"/>
      <c r="Z1092" s="1"/>
      <c r="AA1092" s="1"/>
    </row>
    <row r="1093">
      <c r="A1093" s="1"/>
      <c r="B1093" s="14"/>
      <c r="C1093" s="2"/>
      <c r="D1093" s="2"/>
      <c r="E1093" s="2"/>
      <c r="F1093" s="2"/>
      <c r="G1093" s="2"/>
      <c r="H1093" s="3"/>
      <c r="I1093" s="2"/>
      <c r="J1093" s="2"/>
      <c r="K1093" s="4"/>
      <c r="L1093" s="4"/>
      <c r="M1093" s="2"/>
      <c r="N1093" s="2"/>
      <c r="O1093" s="2"/>
      <c r="P1093" s="2"/>
      <c r="Q1093" s="5"/>
      <c r="R1093" s="5"/>
      <c r="S1093" s="2"/>
      <c r="T1093" s="2"/>
      <c r="U1093" s="5"/>
      <c r="V1093" s="5"/>
      <c r="W1093" s="2"/>
      <c r="X1093" s="5"/>
      <c r="Y1093" s="1"/>
      <c r="Z1093" s="1"/>
      <c r="AA1093" s="1"/>
    </row>
    <row r="1094">
      <c r="A1094" s="1"/>
      <c r="B1094" s="14"/>
      <c r="C1094" s="2"/>
      <c r="D1094" s="2"/>
      <c r="E1094" s="2"/>
      <c r="F1094" s="2"/>
      <c r="G1094" s="2"/>
      <c r="H1094" s="3"/>
      <c r="I1094" s="2"/>
      <c r="J1094" s="2"/>
      <c r="K1094" s="4"/>
      <c r="L1094" s="4"/>
      <c r="M1094" s="2"/>
      <c r="N1094" s="2"/>
      <c r="O1094" s="2"/>
      <c r="P1094" s="2"/>
      <c r="Q1094" s="5"/>
      <c r="R1094" s="5"/>
      <c r="S1094" s="2"/>
      <c r="T1094" s="2"/>
      <c r="U1094" s="5"/>
      <c r="V1094" s="5"/>
      <c r="W1094" s="2"/>
      <c r="X1094" s="5"/>
      <c r="Y1094" s="1"/>
      <c r="Z1094" s="1"/>
      <c r="AA1094" s="1"/>
    </row>
    <row r="1095">
      <c r="A1095" s="1"/>
      <c r="B1095" s="14"/>
      <c r="C1095" s="2"/>
      <c r="D1095" s="2"/>
      <c r="E1095" s="2"/>
      <c r="F1095" s="2"/>
      <c r="G1095" s="2"/>
      <c r="H1095" s="3"/>
      <c r="I1095" s="2"/>
      <c r="J1095" s="2"/>
      <c r="K1095" s="4"/>
      <c r="L1095" s="4"/>
      <c r="M1095" s="2"/>
      <c r="N1095" s="2"/>
      <c r="O1095" s="2"/>
      <c r="P1095" s="2"/>
      <c r="Q1095" s="5"/>
      <c r="R1095" s="5"/>
      <c r="S1095" s="2"/>
      <c r="T1095" s="2"/>
      <c r="U1095" s="5"/>
      <c r="V1095" s="5"/>
      <c r="W1095" s="2"/>
      <c r="X1095" s="5"/>
      <c r="Y1095" s="1"/>
      <c r="Z1095" s="1"/>
      <c r="AA1095" s="1"/>
    </row>
    <row r="1096">
      <c r="A1096" s="1"/>
      <c r="B1096" s="14"/>
      <c r="C1096" s="2"/>
      <c r="D1096" s="2"/>
      <c r="E1096" s="2"/>
      <c r="F1096" s="2"/>
      <c r="G1096" s="2"/>
      <c r="H1096" s="3"/>
      <c r="I1096" s="2"/>
      <c r="J1096" s="2"/>
      <c r="K1096" s="4"/>
      <c r="L1096" s="4"/>
      <c r="M1096" s="2"/>
      <c r="N1096" s="2"/>
      <c r="O1096" s="2"/>
      <c r="P1096" s="2"/>
      <c r="Q1096" s="5"/>
      <c r="R1096" s="5"/>
      <c r="S1096" s="2"/>
      <c r="T1096" s="2"/>
      <c r="U1096" s="5"/>
      <c r="V1096" s="5"/>
      <c r="W1096" s="2"/>
      <c r="X1096" s="5"/>
      <c r="Y1096" s="1"/>
      <c r="Z1096" s="1"/>
      <c r="AA1096" s="1"/>
    </row>
    <row r="1097">
      <c r="A1097" s="1"/>
      <c r="B1097" s="14"/>
      <c r="C1097" s="2"/>
      <c r="D1097" s="2"/>
      <c r="E1097" s="2"/>
      <c r="F1097" s="2"/>
      <c r="G1097" s="2"/>
      <c r="H1097" s="3"/>
      <c r="I1097" s="2"/>
      <c r="J1097" s="2"/>
      <c r="K1097" s="4"/>
      <c r="L1097" s="4"/>
      <c r="M1097" s="2"/>
      <c r="N1097" s="2"/>
      <c r="O1097" s="2"/>
      <c r="P1097" s="2"/>
      <c r="Q1097" s="5"/>
      <c r="R1097" s="5"/>
      <c r="S1097" s="2"/>
      <c r="T1097" s="2"/>
      <c r="U1097" s="5"/>
      <c r="V1097" s="5"/>
      <c r="W1097" s="2"/>
      <c r="X1097" s="5"/>
      <c r="Y1097" s="1"/>
      <c r="Z1097" s="1"/>
      <c r="AA1097" s="1"/>
    </row>
    <row r="1098">
      <c r="A1098" s="1"/>
      <c r="B1098" s="14"/>
      <c r="C1098" s="2"/>
      <c r="D1098" s="2"/>
      <c r="E1098" s="2"/>
      <c r="F1098" s="2"/>
      <c r="G1098" s="2"/>
      <c r="H1098" s="3"/>
      <c r="I1098" s="2"/>
      <c r="J1098" s="2"/>
      <c r="K1098" s="4"/>
      <c r="L1098" s="4"/>
      <c r="M1098" s="2"/>
      <c r="N1098" s="2"/>
      <c r="O1098" s="2"/>
      <c r="P1098" s="2"/>
      <c r="Q1098" s="5"/>
      <c r="R1098" s="5"/>
      <c r="S1098" s="2"/>
      <c r="T1098" s="2"/>
      <c r="U1098" s="5"/>
      <c r="V1098" s="5"/>
      <c r="W1098" s="2"/>
      <c r="X1098" s="5"/>
      <c r="Y1098" s="1"/>
      <c r="Z1098" s="1"/>
      <c r="AA1098" s="1"/>
    </row>
    <row r="1099">
      <c r="A1099" s="1"/>
      <c r="B1099" s="14"/>
      <c r="C1099" s="2"/>
      <c r="D1099" s="2"/>
      <c r="E1099" s="2"/>
      <c r="F1099" s="2"/>
      <c r="G1099" s="2"/>
      <c r="H1099" s="3"/>
      <c r="I1099" s="2"/>
      <c r="J1099" s="2"/>
      <c r="K1099" s="4"/>
      <c r="L1099" s="4"/>
      <c r="M1099" s="2"/>
      <c r="N1099" s="2"/>
      <c r="O1099" s="2"/>
      <c r="P1099" s="2"/>
      <c r="Q1099" s="5"/>
      <c r="R1099" s="5"/>
      <c r="S1099" s="2"/>
      <c r="T1099" s="2"/>
      <c r="U1099" s="5"/>
      <c r="V1099" s="5"/>
      <c r="W1099" s="2"/>
      <c r="X1099" s="5"/>
      <c r="Y1099" s="1"/>
      <c r="Z1099" s="1"/>
      <c r="AA1099" s="1"/>
    </row>
    <row r="1100">
      <c r="A1100" s="1"/>
      <c r="B1100" s="14"/>
      <c r="C1100" s="2"/>
      <c r="D1100" s="2"/>
      <c r="E1100" s="2"/>
      <c r="F1100" s="2"/>
      <c r="G1100" s="2"/>
      <c r="H1100" s="3"/>
      <c r="I1100" s="2"/>
      <c r="J1100" s="2"/>
      <c r="K1100" s="4"/>
      <c r="L1100" s="4"/>
      <c r="M1100" s="2"/>
      <c r="N1100" s="2"/>
      <c r="O1100" s="2"/>
      <c r="P1100" s="2"/>
      <c r="Q1100" s="5"/>
      <c r="R1100" s="5"/>
      <c r="S1100" s="2"/>
      <c r="T1100" s="2"/>
      <c r="U1100" s="5"/>
      <c r="V1100" s="5"/>
      <c r="W1100" s="2"/>
      <c r="X1100" s="5"/>
      <c r="Y1100" s="1"/>
      <c r="Z1100" s="1"/>
      <c r="AA1100" s="1"/>
    </row>
    <row r="1101">
      <c r="A1101" s="1"/>
      <c r="B1101" s="14"/>
      <c r="C1101" s="2"/>
      <c r="D1101" s="2"/>
      <c r="E1101" s="2"/>
      <c r="F1101" s="2"/>
      <c r="G1101" s="2"/>
      <c r="H1101" s="3"/>
      <c r="I1101" s="2"/>
      <c r="J1101" s="2"/>
      <c r="K1101" s="4"/>
      <c r="L1101" s="4"/>
      <c r="M1101" s="2"/>
      <c r="N1101" s="2"/>
      <c r="O1101" s="2"/>
      <c r="P1101" s="2"/>
      <c r="Q1101" s="5"/>
      <c r="R1101" s="5"/>
      <c r="S1101" s="2"/>
      <c r="T1101" s="2"/>
      <c r="U1101" s="5"/>
      <c r="V1101" s="5"/>
      <c r="W1101" s="2"/>
      <c r="X1101" s="5"/>
      <c r="Y1101" s="1"/>
      <c r="Z1101" s="1"/>
      <c r="AA1101" s="1"/>
    </row>
    <row r="1102">
      <c r="A1102" s="1"/>
      <c r="B1102" s="14"/>
      <c r="C1102" s="2"/>
      <c r="D1102" s="2"/>
      <c r="E1102" s="2"/>
      <c r="F1102" s="2"/>
      <c r="G1102" s="2"/>
      <c r="H1102" s="3"/>
      <c r="I1102" s="2"/>
      <c r="J1102" s="2"/>
      <c r="K1102" s="4"/>
      <c r="L1102" s="4"/>
      <c r="M1102" s="2"/>
      <c r="N1102" s="2"/>
      <c r="O1102" s="2"/>
      <c r="P1102" s="2"/>
      <c r="Q1102" s="5"/>
      <c r="R1102" s="5"/>
      <c r="S1102" s="2"/>
      <c r="T1102" s="2"/>
      <c r="U1102" s="5"/>
      <c r="V1102" s="5"/>
      <c r="W1102" s="2"/>
      <c r="X1102" s="5"/>
      <c r="Y1102" s="1"/>
      <c r="Z1102" s="1"/>
      <c r="AA1102" s="1"/>
    </row>
    <row r="1103">
      <c r="A1103" s="1"/>
      <c r="B1103" s="14"/>
      <c r="C1103" s="2"/>
      <c r="D1103" s="2"/>
      <c r="E1103" s="2"/>
      <c r="F1103" s="2"/>
      <c r="G1103" s="2"/>
      <c r="H1103" s="3"/>
      <c r="I1103" s="2"/>
      <c r="J1103" s="2"/>
      <c r="K1103" s="4"/>
      <c r="L1103" s="4"/>
      <c r="M1103" s="2"/>
      <c r="N1103" s="2"/>
      <c r="O1103" s="2"/>
      <c r="P1103" s="2"/>
      <c r="Q1103" s="5"/>
      <c r="R1103" s="5"/>
      <c r="S1103" s="2"/>
      <c r="T1103" s="2"/>
      <c r="U1103" s="5"/>
      <c r="V1103" s="5"/>
      <c r="W1103" s="2"/>
      <c r="X1103" s="5"/>
      <c r="Y1103" s="1"/>
      <c r="Z1103" s="1"/>
      <c r="AA1103" s="1"/>
    </row>
    <row r="1104">
      <c r="A1104" s="1"/>
      <c r="B1104" s="14"/>
      <c r="C1104" s="2"/>
      <c r="D1104" s="2"/>
      <c r="E1104" s="2"/>
      <c r="F1104" s="2"/>
      <c r="G1104" s="2"/>
      <c r="H1104" s="3"/>
      <c r="I1104" s="2"/>
      <c r="J1104" s="2"/>
      <c r="K1104" s="4"/>
      <c r="L1104" s="4"/>
      <c r="M1104" s="2"/>
      <c r="N1104" s="2"/>
      <c r="O1104" s="2"/>
      <c r="P1104" s="2"/>
      <c r="Q1104" s="5"/>
      <c r="R1104" s="5"/>
      <c r="S1104" s="2"/>
      <c r="T1104" s="2"/>
      <c r="U1104" s="5"/>
      <c r="V1104" s="5"/>
      <c r="W1104" s="2"/>
      <c r="X1104" s="5"/>
      <c r="Y1104" s="1"/>
      <c r="Z1104" s="1"/>
      <c r="AA1104" s="1"/>
    </row>
    <row r="1105">
      <c r="A1105" s="1"/>
      <c r="B1105" s="14"/>
      <c r="C1105" s="2"/>
      <c r="D1105" s="2"/>
      <c r="E1105" s="2"/>
      <c r="F1105" s="2"/>
      <c r="G1105" s="2"/>
      <c r="H1105" s="3"/>
      <c r="I1105" s="2"/>
      <c r="J1105" s="2"/>
      <c r="K1105" s="4"/>
      <c r="L1105" s="4"/>
      <c r="M1105" s="2"/>
      <c r="N1105" s="2"/>
      <c r="O1105" s="2"/>
      <c r="P1105" s="2"/>
      <c r="Q1105" s="5"/>
      <c r="R1105" s="5"/>
      <c r="S1105" s="2"/>
      <c r="T1105" s="2"/>
      <c r="U1105" s="5"/>
      <c r="V1105" s="5"/>
      <c r="W1105" s="2"/>
      <c r="X1105" s="5"/>
      <c r="Y1105" s="1"/>
      <c r="Z1105" s="1"/>
      <c r="AA1105" s="1"/>
    </row>
    <row r="1106">
      <c r="A1106" s="1"/>
      <c r="B1106" s="14"/>
      <c r="C1106" s="2"/>
      <c r="D1106" s="2"/>
      <c r="E1106" s="2"/>
      <c r="F1106" s="2"/>
      <c r="G1106" s="2"/>
      <c r="H1106" s="3"/>
      <c r="I1106" s="2"/>
      <c r="J1106" s="2"/>
      <c r="K1106" s="4"/>
      <c r="L1106" s="4"/>
      <c r="M1106" s="2"/>
      <c r="N1106" s="2"/>
      <c r="O1106" s="2"/>
      <c r="P1106" s="2"/>
      <c r="Q1106" s="5"/>
      <c r="R1106" s="5"/>
      <c r="S1106" s="2"/>
      <c r="T1106" s="2"/>
      <c r="U1106" s="5"/>
      <c r="V1106" s="5"/>
      <c r="W1106" s="2"/>
      <c r="X1106" s="5"/>
      <c r="Y1106" s="1"/>
      <c r="Z1106" s="1"/>
      <c r="AA1106" s="1"/>
    </row>
    <row r="1107">
      <c r="A1107" s="1"/>
      <c r="B1107" s="14"/>
      <c r="C1107" s="2"/>
      <c r="D1107" s="2"/>
      <c r="E1107" s="2"/>
      <c r="F1107" s="2"/>
      <c r="G1107" s="2"/>
      <c r="H1107" s="3"/>
      <c r="I1107" s="2"/>
      <c r="J1107" s="2"/>
      <c r="K1107" s="4"/>
      <c r="L1107" s="4"/>
      <c r="M1107" s="2"/>
      <c r="N1107" s="2"/>
      <c r="O1107" s="2"/>
      <c r="P1107" s="2"/>
      <c r="Q1107" s="5"/>
      <c r="R1107" s="5"/>
      <c r="S1107" s="2"/>
      <c r="T1107" s="2"/>
      <c r="U1107" s="5"/>
      <c r="V1107" s="5"/>
      <c r="W1107" s="2"/>
      <c r="X1107" s="5"/>
      <c r="Y1107" s="1"/>
      <c r="Z1107" s="1"/>
      <c r="AA1107" s="1"/>
    </row>
    <row r="1108">
      <c r="A1108" s="1"/>
      <c r="B1108" s="14"/>
      <c r="C1108" s="2"/>
      <c r="D1108" s="2"/>
      <c r="E1108" s="2"/>
      <c r="F1108" s="2"/>
      <c r="G1108" s="2"/>
      <c r="H1108" s="3"/>
      <c r="I1108" s="2"/>
      <c r="J1108" s="2"/>
      <c r="K1108" s="4"/>
      <c r="L1108" s="4"/>
      <c r="M1108" s="2"/>
      <c r="N1108" s="2"/>
      <c r="O1108" s="2"/>
      <c r="P1108" s="2"/>
      <c r="Q1108" s="5"/>
      <c r="R1108" s="5"/>
      <c r="S1108" s="2"/>
      <c r="T1108" s="2"/>
      <c r="U1108" s="5"/>
      <c r="V1108" s="5"/>
      <c r="W1108" s="2"/>
      <c r="X1108" s="5"/>
      <c r="Y1108" s="1"/>
      <c r="Z1108" s="1"/>
      <c r="AA1108" s="1"/>
    </row>
    <row r="1109">
      <c r="A1109" s="1"/>
      <c r="B1109" s="14"/>
      <c r="C1109" s="2"/>
      <c r="D1109" s="2"/>
      <c r="E1109" s="2"/>
      <c r="F1109" s="2"/>
      <c r="G1109" s="2"/>
      <c r="H1109" s="3"/>
      <c r="I1109" s="2"/>
      <c r="J1109" s="2"/>
      <c r="K1109" s="4"/>
      <c r="L1109" s="4"/>
      <c r="M1109" s="2"/>
      <c r="N1109" s="2"/>
      <c r="O1109" s="2"/>
      <c r="P1109" s="2"/>
      <c r="Q1109" s="5"/>
      <c r="R1109" s="5"/>
      <c r="S1109" s="2"/>
      <c r="T1109" s="2"/>
      <c r="U1109" s="5"/>
      <c r="V1109" s="5"/>
      <c r="W1109" s="2"/>
      <c r="X1109" s="5"/>
      <c r="Y1109" s="1"/>
      <c r="Z1109" s="1"/>
      <c r="AA1109" s="1"/>
    </row>
    <row r="1110">
      <c r="A1110" s="1"/>
      <c r="B1110" s="14"/>
      <c r="C1110" s="2"/>
      <c r="D1110" s="2"/>
      <c r="E1110" s="2"/>
      <c r="F1110" s="2"/>
      <c r="G1110" s="2"/>
      <c r="H1110" s="3"/>
      <c r="I1110" s="2"/>
      <c r="J1110" s="2"/>
      <c r="K1110" s="4"/>
      <c r="L1110" s="4"/>
      <c r="M1110" s="2"/>
      <c r="N1110" s="2"/>
      <c r="O1110" s="2"/>
      <c r="P1110" s="2"/>
      <c r="Q1110" s="5"/>
      <c r="R1110" s="5"/>
      <c r="S1110" s="2"/>
      <c r="T1110" s="2"/>
      <c r="U1110" s="5"/>
      <c r="V1110" s="5"/>
      <c r="W1110" s="2"/>
      <c r="X1110" s="5"/>
      <c r="Y1110" s="1"/>
      <c r="Z1110" s="1"/>
      <c r="AA1110" s="1"/>
    </row>
    <row r="1111">
      <c r="A1111" s="1"/>
      <c r="B1111" s="14"/>
      <c r="C1111" s="2"/>
      <c r="D1111" s="2"/>
      <c r="E1111" s="2"/>
      <c r="F1111" s="2"/>
      <c r="G1111" s="2"/>
      <c r="H1111" s="3"/>
      <c r="I1111" s="2"/>
      <c r="J1111" s="2"/>
      <c r="K1111" s="4"/>
      <c r="L1111" s="4"/>
      <c r="M1111" s="2"/>
      <c r="N1111" s="2"/>
      <c r="O1111" s="2"/>
      <c r="P1111" s="2"/>
      <c r="Q1111" s="5"/>
      <c r="R1111" s="5"/>
      <c r="S1111" s="2"/>
      <c r="T1111" s="2"/>
      <c r="U1111" s="5"/>
      <c r="V1111" s="5"/>
      <c r="W1111" s="2"/>
      <c r="X1111" s="5"/>
      <c r="Y1111" s="1"/>
      <c r="Z1111" s="1"/>
      <c r="AA1111" s="1"/>
    </row>
    <row r="1112">
      <c r="A1112" s="1"/>
      <c r="B1112" s="14"/>
      <c r="C1112" s="2"/>
      <c r="D1112" s="2"/>
      <c r="E1112" s="2"/>
      <c r="F1112" s="2"/>
      <c r="G1112" s="2"/>
      <c r="H1112" s="3"/>
      <c r="I1112" s="2"/>
      <c r="J1112" s="2"/>
      <c r="K1112" s="4"/>
      <c r="L1112" s="4"/>
      <c r="M1112" s="2"/>
      <c r="N1112" s="2"/>
      <c r="O1112" s="2"/>
      <c r="P1112" s="2"/>
      <c r="Q1112" s="5"/>
      <c r="R1112" s="5"/>
      <c r="S1112" s="2"/>
      <c r="T1112" s="2"/>
      <c r="U1112" s="5"/>
      <c r="V1112" s="5"/>
      <c r="W1112" s="2"/>
      <c r="X1112" s="5"/>
      <c r="Y1112" s="1"/>
      <c r="Z1112" s="1"/>
      <c r="AA1112" s="1"/>
    </row>
    <row r="1113">
      <c r="A1113" s="1"/>
      <c r="B1113" s="14"/>
      <c r="C1113" s="2"/>
      <c r="D1113" s="2"/>
      <c r="E1113" s="2"/>
      <c r="F1113" s="2"/>
      <c r="G1113" s="2"/>
      <c r="H1113" s="3"/>
      <c r="I1113" s="2"/>
      <c r="J1113" s="2"/>
      <c r="K1113" s="4"/>
      <c r="L1113" s="4"/>
      <c r="M1113" s="2"/>
      <c r="N1113" s="2"/>
      <c r="O1113" s="2"/>
      <c r="P1113" s="2"/>
      <c r="Q1113" s="5"/>
      <c r="R1113" s="5"/>
      <c r="S1113" s="2"/>
      <c r="T1113" s="2"/>
      <c r="U1113" s="5"/>
      <c r="V1113" s="5"/>
      <c r="W1113" s="2"/>
      <c r="X1113" s="5"/>
      <c r="Y1113" s="1"/>
      <c r="Z1113" s="1"/>
      <c r="AA1113" s="1"/>
    </row>
    <row r="1114">
      <c r="A1114" s="1"/>
      <c r="B1114" s="14"/>
      <c r="C1114" s="2"/>
      <c r="D1114" s="2"/>
      <c r="E1114" s="2"/>
      <c r="F1114" s="2"/>
      <c r="G1114" s="2"/>
      <c r="H1114" s="3"/>
      <c r="I1114" s="2"/>
      <c r="J1114" s="2"/>
      <c r="K1114" s="4"/>
      <c r="L1114" s="4"/>
      <c r="M1114" s="2"/>
      <c r="N1114" s="2"/>
      <c r="O1114" s="2"/>
      <c r="P1114" s="2"/>
      <c r="Q1114" s="5"/>
      <c r="R1114" s="5"/>
      <c r="S1114" s="2"/>
      <c r="T1114" s="2"/>
      <c r="U1114" s="5"/>
      <c r="V1114" s="5"/>
      <c r="W1114" s="2"/>
      <c r="X1114" s="5"/>
      <c r="Y1114" s="1"/>
      <c r="Z1114" s="1"/>
      <c r="AA1114" s="1"/>
    </row>
    <row r="1115">
      <c r="A1115" s="1"/>
      <c r="B1115" s="14"/>
      <c r="C1115" s="2"/>
      <c r="D1115" s="2"/>
      <c r="E1115" s="2"/>
      <c r="F1115" s="2"/>
      <c r="G1115" s="2"/>
      <c r="H1115" s="3"/>
      <c r="I1115" s="2"/>
      <c r="J1115" s="2"/>
      <c r="K1115" s="4"/>
      <c r="L1115" s="4"/>
      <c r="M1115" s="2"/>
      <c r="N1115" s="2"/>
      <c r="O1115" s="2"/>
      <c r="P1115" s="2"/>
      <c r="Q1115" s="5"/>
      <c r="R1115" s="5"/>
      <c r="S1115" s="2"/>
      <c r="T1115" s="2"/>
      <c r="U1115" s="5"/>
      <c r="V1115" s="5"/>
      <c r="W1115" s="2"/>
      <c r="X1115" s="5"/>
      <c r="Y1115" s="1"/>
      <c r="Z1115" s="1"/>
      <c r="AA1115" s="1"/>
    </row>
    <row r="1116">
      <c r="A1116" s="1"/>
      <c r="B1116" s="14"/>
      <c r="C1116" s="2"/>
      <c r="D1116" s="2"/>
      <c r="E1116" s="2"/>
      <c r="F1116" s="2"/>
      <c r="G1116" s="2"/>
      <c r="H1116" s="3"/>
      <c r="I1116" s="2"/>
      <c r="J1116" s="2"/>
      <c r="K1116" s="4"/>
      <c r="L1116" s="4"/>
      <c r="M1116" s="2"/>
      <c r="N1116" s="2"/>
      <c r="O1116" s="2"/>
      <c r="P1116" s="2"/>
      <c r="Q1116" s="5"/>
      <c r="R1116" s="5"/>
      <c r="S1116" s="2"/>
      <c r="T1116" s="2"/>
      <c r="U1116" s="5"/>
      <c r="V1116" s="5"/>
      <c r="W1116" s="2"/>
      <c r="X1116" s="5"/>
      <c r="Y1116" s="1"/>
      <c r="Z1116" s="1"/>
      <c r="AA1116" s="1"/>
    </row>
    <row r="1117">
      <c r="A1117" s="1"/>
      <c r="B1117" s="14"/>
      <c r="C1117" s="2"/>
      <c r="D1117" s="2"/>
      <c r="E1117" s="2"/>
      <c r="F1117" s="2"/>
      <c r="G1117" s="2"/>
      <c r="H1117" s="3"/>
      <c r="I1117" s="2"/>
      <c r="J1117" s="2"/>
      <c r="K1117" s="4"/>
      <c r="L1117" s="4"/>
      <c r="M1117" s="2"/>
      <c r="N1117" s="2"/>
      <c r="O1117" s="2"/>
      <c r="P1117" s="2"/>
      <c r="Q1117" s="5"/>
      <c r="R1117" s="5"/>
      <c r="S1117" s="2"/>
      <c r="T1117" s="2"/>
      <c r="U1117" s="5"/>
      <c r="V1117" s="5"/>
      <c r="W1117" s="2"/>
      <c r="X1117" s="5"/>
      <c r="Y1117" s="1"/>
      <c r="Z1117" s="1"/>
      <c r="AA1117" s="1"/>
    </row>
    <row r="1118">
      <c r="A1118" s="1"/>
      <c r="B1118" s="14"/>
      <c r="C1118" s="2"/>
      <c r="D1118" s="2"/>
      <c r="E1118" s="2"/>
      <c r="F1118" s="2"/>
      <c r="G1118" s="2"/>
      <c r="H1118" s="3"/>
      <c r="I1118" s="2"/>
      <c r="J1118" s="2"/>
      <c r="K1118" s="4"/>
      <c r="L1118" s="4"/>
      <c r="M1118" s="2"/>
      <c r="N1118" s="2"/>
      <c r="O1118" s="2"/>
      <c r="P1118" s="2"/>
      <c r="Q1118" s="5"/>
      <c r="R1118" s="5"/>
      <c r="S1118" s="2"/>
      <c r="T1118" s="2"/>
      <c r="U1118" s="5"/>
      <c r="V1118" s="5"/>
      <c r="W1118" s="2"/>
      <c r="X1118" s="5"/>
      <c r="Y1118" s="1"/>
      <c r="Z1118" s="1"/>
      <c r="AA1118" s="1"/>
    </row>
    <row r="1119">
      <c r="A1119" s="1"/>
      <c r="B1119" s="14"/>
      <c r="C1119" s="2"/>
      <c r="D1119" s="2"/>
      <c r="E1119" s="2"/>
      <c r="F1119" s="2"/>
      <c r="G1119" s="2"/>
      <c r="H1119" s="3"/>
      <c r="I1119" s="2"/>
      <c r="J1119" s="2"/>
      <c r="K1119" s="4"/>
      <c r="L1119" s="4"/>
      <c r="M1119" s="2"/>
      <c r="N1119" s="2"/>
      <c r="O1119" s="2"/>
      <c r="P1119" s="2"/>
      <c r="Q1119" s="5"/>
      <c r="R1119" s="5"/>
      <c r="S1119" s="2"/>
      <c r="T1119" s="2"/>
      <c r="U1119" s="5"/>
      <c r="V1119" s="5"/>
      <c r="W1119" s="2"/>
      <c r="X1119" s="5"/>
      <c r="Y1119" s="1"/>
      <c r="Z1119" s="1"/>
      <c r="AA1119" s="1"/>
    </row>
    <row r="1120">
      <c r="A1120" s="1"/>
      <c r="B1120" s="14"/>
      <c r="C1120" s="2"/>
      <c r="D1120" s="2"/>
      <c r="E1120" s="2"/>
      <c r="F1120" s="2"/>
      <c r="G1120" s="2"/>
      <c r="H1120" s="3"/>
      <c r="I1120" s="2"/>
      <c r="J1120" s="2"/>
      <c r="K1120" s="4"/>
      <c r="L1120" s="4"/>
      <c r="M1120" s="2"/>
      <c r="N1120" s="2"/>
      <c r="O1120" s="2"/>
      <c r="P1120" s="2"/>
      <c r="Q1120" s="5"/>
      <c r="R1120" s="5"/>
      <c r="S1120" s="2"/>
      <c r="T1120" s="2"/>
      <c r="U1120" s="5"/>
      <c r="V1120" s="5"/>
      <c r="W1120" s="2"/>
      <c r="X1120" s="5"/>
      <c r="Y1120" s="1"/>
      <c r="Z1120" s="1"/>
      <c r="AA1120" s="1"/>
    </row>
    <row r="1121">
      <c r="A1121" s="1"/>
      <c r="B1121" s="14"/>
      <c r="C1121" s="2"/>
      <c r="D1121" s="2"/>
      <c r="E1121" s="2"/>
      <c r="F1121" s="2"/>
      <c r="G1121" s="2"/>
      <c r="H1121" s="3"/>
      <c r="I1121" s="2"/>
      <c r="J1121" s="2"/>
      <c r="K1121" s="4"/>
      <c r="L1121" s="4"/>
      <c r="M1121" s="2"/>
      <c r="N1121" s="2"/>
      <c r="O1121" s="2"/>
      <c r="P1121" s="2"/>
      <c r="Q1121" s="5"/>
      <c r="R1121" s="5"/>
      <c r="S1121" s="2"/>
      <c r="T1121" s="2"/>
      <c r="U1121" s="5"/>
      <c r="V1121" s="5"/>
      <c r="W1121" s="2"/>
      <c r="X1121" s="5"/>
      <c r="Y1121" s="1"/>
      <c r="Z1121" s="1"/>
      <c r="AA1121" s="1"/>
    </row>
    <row r="1122">
      <c r="A1122" s="1"/>
      <c r="B1122" s="14"/>
      <c r="C1122" s="2"/>
      <c r="D1122" s="2"/>
      <c r="E1122" s="2"/>
      <c r="F1122" s="2"/>
      <c r="G1122" s="2"/>
      <c r="H1122" s="3"/>
      <c r="I1122" s="2"/>
      <c r="J1122" s="2"/>
      <c r="K1122" s="4"/>
      <c r="L1122" s="4"/>
      <c r="M1122" s="2"/>
      <c r="N1122" s="2"/>
      <c r="O1122" s="2"/>
      <c r="P1122" s="2"/>
      <c r="Q1122" s="5"/>
      <c r="R1122" s="5"/>
      <c r="S1122" s="2"/>
      <c r="T1122" s="2"/>
      <c r="U1122" s="5"/>
      <c r="V1122" s="5"/>
      <c r="W1122" s="2"/>
      <c r="X1122" s="5"/>
      <c r="Y1122" s="1"/>
      <c r="Z1122" s="1"/>
      <c r="AA1122" s="1"/>
    </row>
    <row r="1123">
      <c r="A1123" s="1"/>
      <c r="B1123" s="14"/>
      <c r="C1123" s="2"/>
      <c r="D1123" s="2"/>
      <c r="E1123" s="2"/>
      <c r="F1123" s="2"/>
      <c r="G1123" s="2"/>
      <c r="H1123" s="3"/>
      <c r="I1123" s="2"/>
      <c r="J1123" s="2"/>
      <c r="K1123" s="4"/>
      <c r="L1123" s="4"/>
      <c r="M1123" s="2"/>
      <c r="N1123" s="2"/>
      <c r="O1123" s="2"/>
      <c r="P1123" s="2"/>
      <c r="Q1123" s="5"/>
      <c r="R1123" s="5"/>
      <c r="S1123" s="2"/>
      <c r="T1123" s="2"/>
      <c r="U1123" s="5"/>
      <c r="V1123" s="5"/>
      <c r="W1123" s="2"/>
      <c r="X1123" s="5"/>
      <c r="Y1123" s="1"/>
      <c r="Z1123" s="1"/>
      <c r="AA1123" s="1"/>
    </row>
    <row r="1124">
      <c r="A1124" s="1"/>
      <c r="B1124" s="14"/>
      <c r="C1124" s="2"/>
      <c r="D1124" s="2"/>
      <c r="E1124" s="2"/>
      <c r="F1124" s="2"/>
      <c r="G1124" s="2"/>
      <c r="H1124" s="3"/>
      <c r="I1124" s="2"/>
      <c r="J1124" s="2"/>
      <c r="K1124" s="4"/>
      <c r="L1124" s="4"/>
      <c r="M1124" s="2"/>
      <c r="N1124" s="2"/>
      <c r="O1124" s="2"/>
      <c r="P1124" s="2"/>
      <c r="Q1124" s="5"/>
      <c r="R1124" s="5"/>
      <c r="S1124" s="2"/>
      <c r="T1124" s="2"/>
      <c r="U1124" s="5"/>
      <c r="V1124" s="5"/>
      <c r="W1124" s="2"/>
      <c r="X1124" s="5"/>
      <c r="Y1124" s="1"/>
      <c r="Z1124" s="1"/>
      <c r="AA1124" s="1"/>
    </row>
    <row r="1125">
      <c r="A1125" s="1"/>
      <c r="B1125" s="14"/>
      <c r="C1125" s="2"/>
      <c r="D1125" s="2"/>
      <c r="E1125" s="2"/>
      <c r="F1125" s="2"/>
      <c r="G1125" s="2"/>
      <c r="H1125" s="3"/>
      <c r="I1125" s="2"/>
      <c r="J1125" s="2"/>
      <c r="K1125" s="4"/>
      <c r="L1125" s="4"/>
      <c r="M1125" s="2"/>
      <c r="N1125" s="2"/>
      <c r="O1125" s="2"/>
      <c r="P1125" s="2"/>
      <c r="Q1125" s="5"/>
      <c r="R1125" s="5"/>
      <c r="S1125" s="2"/>
      <c r="T1125" s="2"/>
      <c r="U1125" s="5"/>
      <c r="V1125" s="5"/>
      <c r="W1125" s="2"/>
      <c r="X1125" s="5"/>
      <c r="Y1125" s="1"/>
      <c r="Z1125" s="1"/>
      <c r="AA1125" s="1"/>
    </row>
    <row r="1126">
      <c r="A1126" s="1"/>
      <c r="B1126" s="14"/>
      <c r="C1126" s="2"/>
      <c r="D1126" s="2"/>
      <c r="E1126" s="2"/>
      <c r="F1126" s="2"/>
      <c r="G1126" s="2"/>
      <c r="H1126" s="3"/>
      <c r="I1126" s="2"/>
      <c r="J1126" s="2"/>
      <c r="K1126" s="4"/>
      <c r="L1126" s="4"/>
      <c r="M1126" s="2"/>
      <c r="N1126" s="2"/>
      <c r="O1126" s="2"/>
      <c r="P1126" s="2"/>
      <c r="Q1126" s="5"/>
      <c r="R1126" s="5"/>
      <c r="S1126" s="2"/>
      <c r="T1126" s="2"/>
      <c r="U1126" s="5"/>
      <c r="V1126" s="5"/>
      <c r="W1126" s="2"/>
      <c r="X1126" s="5"/>
      <c r="Y1126" s="1"/>
      <c r="Z1126" s="1"/>
      <c r="AA1126" s="1"/>
    </row>
    <row r="1127">
      <c r="A1127" s="1"/>
      <c r="B1127" s="14"/>
      <c r="C1127" s="2"/>
      <c r="D1127" s="2"/>
      <c r="E1127" s="2"/>
      <c r="F1127" s="2"/>
      <c r="G1127" s="2"/>
      <c r="H1127" s="3"/>
      <c r="I1127" s="2"/>
      <c r="J1127" s="2"/>
      <c r="K1127" s="4"/>
      <c r="L1127" s="4"/>
      <c r="M1127" s="2"/>
      <c r="N1127" s="2"/>
      <c r="O1127" s="2"/>
      <c r="P1127" s="2"/>
      <c r="Q1127" s="5"/>
      <c r="R1127" s="5"/>
      <c r="S1127" s="2"/>
      <c r="T1127" s="2"/>
      <c r="U1127" s="5"/>
      <c r="V1127" s="5"/>
      <c r="W1127" s="2"/>
      <c r="X1127" s="5"/>
      <c r="Y1127" s="1"/>
      <c r="Z1127" s="1"/>
      <c r="AA1127" s="1"/>
    </row>
    <row r="1128">
      <c r="A1128" s="1"/>
      <c r="B1128" s="14"/>
      <c r="C1128" s="2"/>
      <c r="D1128" s="2"/>
      <c r="E1128" s="2"/>
      <c r="F1128" s="2"/>
      <c r="G1128" s="2"/>
      <c r="H1128" s="3"/>
      <c r="I1128" s="2"/>
      <c r="J1128" s="2"/>
      <c r="K1128" s="4"/>
      <c r="L1128" s="4"/>
      <c r="M1128" s="2"/>
      <c r="N1128" s="2"/>
      <c r="O1128" s="2"/>
      <c r="P1128" s="2"/>
      <c r="Q1128" s="5"/>
      <c r="R1128" s="5"/>
      <c r="S1128" s="2"/>
      <c r="T1128" s="2"/>
      <c r="U1128" s="5"/>
      <c r="V1128" s="5"/>
      <c r="W1128" s="2"/>
      <c r="X1128" s="5"/>
      <c r="Y1128" s="1"/>
      <c r="Z1128" s="1"/>
      <c r="AA1128" s="1"/>
    </row>
    <row r="1129">
      <c r="A1129" s="1"/>
      <c r="B1129" s="14"/>
      <c r="C1129" s="2"/>
      <c r="D1129" s="2"/>
      <c r="E1129" s="2"/>
      <c r="F1129" s="2"/>
      <c r="G1129" s="2"/>
      <c r="H1129" s="3"/>
      <c r="I1129" s="2"/>
      <c r="J1129" s="2"/>
      <c r="K1129" s="4"/>
      <c r="L1129" s="4"/>
      <c r="M1129" s="2"/>
      <c r="N1129" s="2"/>
      <c r="O1129" s="2"/>
      <c r="P1129" s="2"/>
      <c r="Q1129" s="5"/>
      <c r="R1129" s="5"/>
      <c r="S1129" s="2"/>
      <c r="T1129" s="2"/>
      <c r="U1129" s="5"/>
      <c r="V1129" s="5"/>
      <c r="W1129" s="2"/>
      <c r="X1129" s="5"/>
      <c r="Y1129" s="1"/>
      <c r="Z1129" s="1"/>
      <c r="AA1129" s="1"/>
    </row>
    <row r="1130">
      <c r="A1130" s="1"/>
      <c r="B1130" s="14"/>
      <c r="C1130" s="2"/>
      <c r="D1130" s="2"/>
      <c r="E1130" s="2"/>
      <c r="F1130" s="2"/>
      <c r="G1130" s="2"/>
      <c r="H1130" s="3"/>
      <c r="I1130" s="2"/>
      <c r="J1130" s="2"/>
      <c r="K1130" s="4"/>
      <c r="L1130" s="4"/>
      <c r="M1130" s="2"/>
      <c r="N1130" s="2"/>
      <c r="O1130" s="2"/>
      <c r="P1130" s="2"/>
      <c r="Q1130" s="5"/>
      <c r="R1130" s="5"/>
      <c r="S1130" s="2"/>
      <c r="T1130" s="2"/>
      <c r="U1130" s="5"/>
      <c r="V1130" s="5"/>
      <c r="W1130" s="2"/>
      <c r="X1130" s="5"/>
      <c r="Y1130" s="1"/>
      <c r="Z1130" s="1"/>
      <c r="AA1130" s="1"/>
    </row>
    <row r="1131">
      <c r="A1131" s="1"/>
      <c r="B1131" s="14"/>
      <c r="C1131" s="2"/>
      <c r="D1131" s="2"/>
      <c r="E1131" s="2"/>
      <c r="F1131" s="2"/>
      <c r="G1131" s="2"/>
      <c r="H1131" s="3"/>
      <c r="I1131" s="2"/>
      <c r="J1131" s="2"/>
      <c r="K1131" s="4"/>
      <c r="L1131" s="4"/>
      <c r="M1131" s="2"/>
      <c r="N1131" s="2"/>
      <c r="O1131" s="2"/>
      <c r="P1131" s="2"/>
      <c r="Q1131" s="5"/>
      <c r="R1131" s="5"/>
      <c r="S1131" s="2"/>
      <c r="T1131" s="2"/>
      <c r="U1131" s="5"/>
      <c r="V1131" s="5"/>
      <c r="W1131" s="2"/>
      <c r="X1131" s="5"/>
      <c r="Y1131" s="1"/>
      <c r="Z1131" s="1"/>
      <c r="AA1131" s="1"/>
    </row>
    <row r="1132">
      <c r="A1132" s="1"/>
      <c r="B1132" s="14"/>
      <c r="C1132" s="2"/>
      <c r="D1132" s="2"/>
      <c r="E1132" s="2"/>
      <c r="F1132" s="2"/>
      <c r="G1132" s="2"/>
      <c r="H1132" s="3"/>
      <c r="I1132" s="2"/>
      <c r="J1132" s="2"/>
      <c r="K1132" s="4"/>
      <c r="L1132" s="4"/>
      <c r="M1132" s="2"/>
      <c r="N1132" s="2"/>
      <c r="O1132" s="2"/>
      <c r="P1132" s="2"/>
      <c r="Q1132" s="5"/>
      <c r="R1132" s="5"/>
      <c r="S1132" s="2"/>
      <c r="T1132" s="2"/>
      <c r="U1132" s="5"/>
      <c r="V1132" s="5"/>
      <c r="W1132" s="2"/>
      <c r="X1132" s="5"/>
      <c r="Y1132" s="1"/>
      <c r="Z1132" s="1"/>
      <c r="AA1132" s="1"/>
    </row>
    <row r="1133">
      <c r="A1133" s="1"/>
      <c r="B1133" s="14"/>
      <c r="C1133" s="2"/>
      <c r="D1133" s="2"/>
      <c r="E1133" s="2"/>
      <c r="F1133" s="2"/>
      <c r="G1133" s="2"/>
      <c r="H1133" s="3"/>
      <c r="I1133" s="2"/>
      <c r="J1133" s="2"/>
      <c r="K1133" s="4"/>
      <c r="L1133" s="4"/>
      <c r="M1133" s="2"/>
      <c r="N1133" s="2"/>
      <c r="O1133" s="2"/>
      <c r="P1133" s="2"/>
      <c r="Q1133" s="5"/>
      <c r="R1133" s="5"/>
      <c r="S1133" s="2"/>
      <c r="T1133" s="2"/>
      <c r="U1133" s="5"/>
      <c r="V1133" s="5"/>
      <c r="W1133" s="2"/>
      <c r="X1133" s="5"/>
      <c r="Y1133" s="1"/>
      <c r="Z1133" s="1"/>
      <c r="AA1133" s="1"/>
    </row>
    <row r="1134">
      <c r="A1134" s="1"/>
      <c r="B1134" s="14"/>
      <c r="C1134" s="2"/>
      <c r="D1134" s="2"/>
      <c r="E1134" s="2"/>
      <c r="F1134" s="2"/>
      <c r="G1134" s="2"/>
      <c r="H1134" s="3"/>
      <c r="I1134" s="2"/>
      <c r="J1134" s="2"/>
      <c r="K1134" s="4"/>
      <c r="L1134" s="4"/>
      <c r="M1134" s="2"/>
      <c r="N1134" s="2"/>
      <c r="O1134" s="2"/>
      <c r="P1134" s="2"/>
      <c r="Q1134" s="5"/>
      <c r="R1134" s="5"/>
      <c r="S1134" s="2"/>
      <c r="T1134" s="2"/>
      <c r="U1134" s="5"/>
      <c r="V1134" s="5"/>
      <c r="W1134" s="2"/>
      <c r="X1134" s="5"/>
      <c r="Y1134" s="1"/>
      <c r="Z1134" s="1"/>
      <c r="AA1134" s="1"/>
    </row>
    <row r="1135">
      <c r="A1135" s="1"/>
      <c r="B1135" s="14"/>
      <c r="C1135" s="2"/>
      <c r="D1135" s="2"/>
      <c r="E1135" s="2"/>
      <c r="F1135" s="2"/>
      <c r="G1135" s="2"/>
      <c r="H1135" s="3"/>
      <c r="I1135" s="2"/>
      <c r="J1135" s="2"/>
      <c r="K1135" s="4"/>
      <c r="L1135" s="4"/>
      <c r="M1135" s="2"/>
      <c r="N1135" s="2"/>
      <c r="O1135" s="2"/>
      <c r="P1135" s="2"/>
      <c r="Q1135" s="5"/>
      <c r="R1135" s="5"/>
      <c r="S1135" s="2"/>
      <c r="T1135" s="2"/>
      <c r="U1135" s="5"/>
      <c r="V1135" s="5"/>
      <c r="W1135" s="2"/>
      <c r="X1135" s="5"/>
      <c r="Y1135" s="1"/>
      <c r="Z1135" s="1"/>
      <c r="AA1135" s="1"/>
    </row>
    <row r="1136">
      <c r="A1136" s="1"/>
      <c r="B1136" s="14"/>
      <c r="C1136" s="2"/>
      <c r="D1136" s="2"/>
      <c r="E1136" s="2"/>
      <c r="F1136" s="2"/>
      <c r="G1136" s="2"/>
      <c r="H1136" s="3"/>
      <c r="I1136" s="2"/>
      <c r="J1136" s="2"/>
      <c r="K1136" s="4"/>
      <c r="L1136" s="4"/>
      <c r="M1136" s="2"/>
      <c r="N1136" s="2"/>
      <c r="O1136" s="2"/>
      <c r="P1136" s="2"/>
      <c r="Q1136" s="5"/>
      <c r="R1136" s="5"/>
      <c r="S1136" s="2"/>
      <c r="T1136" s="2"/>
      <c r="U1136" s="5"/>
      <c r="V1136" s="5"/>
      <c r="W1136" s="2"/>
      <c r="X1136" s="5"/>
      <c r="Y1136" s="1"/>
      <c r="Z1136" s="1"/>
      <c r="AA1136" s="1"/>
    </row>
    <row r="1137">
      <c r="A1137" s="1"/>
      <c r="B1137" s="14"/>
      <c r="C1137" s="2"/>
      <c r="D1137" s="2"/>
      <c r="E1137" s="2"/>
      <c r="F1137" s="2"/>
      <c r="G1137" s="2"/>
      <c r="H1137" s="3"/>
      <c r="I1137" s="2"/>
      <c r="J1137" s="2"/>
      <c r="K1137" s="4"/>
      <c r="L1137" s="4"/>
      <c r="M1137" s="2"/>
      <c r="N1137" s="2"/>
      <c r="O1137" s="2"/>
      <c r="P1137" s="2"/>
      <c r="Q1137" s="5"/>
      <c r="R1137" s="5"/>
      <c r="S1137" s="2"/>
      <c r="T1137" s="2"/>
      <c r="U1137" s="5"/>
      <c r="V1137" s="5"/>
      <c r="W1137" s="2"/>
      <c r="X1137" s="5"/>
      <c r="Y1137" s="1"/>
      <c r="Z1137" s="1"/>
      <c r="AA1137" s="1"/>
    </row>
    <row r="1138">
      <c r="A1138" s="1"/>
      <c r="B1138" s="14"/>
      <c r="C1138" s="2"/>
      <c r="D1138" s="2"/>
      <c r="E1138" s="2"/>
      <c r="F1138" s="2"/>
      <c r="G1138" s="2"/>
      <c r="H1138" s="3"/>
      <c r="I1138" s="2"/>
      <c r="J1138" s="2"/>
      <c r="K1138" s="4"/>
      <c r="L1138" s="4"/>
      <c r="M1138" s="2"/>
      <c r="N1138" s="2"/>
      <c r="O1138" s="2"/>
      <c r="P1138" s="2"/>
      <c r="Q1138" s="5"/>
      <c r="R1138" s="5"/>
      <c r="S1138" s="2"/>
      <c r="T1138" s="2"/>
      <c r="U1138" s="5"/>
      <c r="V1138" s="5"/>
      <c r="W1138" s="2"/>
      <c r="X1138" s="5"/>
      <c r="Y1138" s="1"/>
      <c r="Z1138" s="1"/>
      <c r="AA1138" s="1"/>
    </row>
    <row r="1139">
      <c r="A1139" s="1"/>
      <c r="B1139" s="14"/>
      <c r="C1139" s="2"/>
      <c r="D1139" s="2"/>
      <c r="E1139" s="2"/>
      <c r="F1139" s="2"/>
      <c r="G1139" s="2"/>
      <c r="H1139" s="3"/>
      <c r="I1139" s="2"/>
      <c r="J1139" s="2"/>
      <c r="K1139" s="4"/>
      <c r="L1139" s="4"/>
      <c r="M1139" s="2"/>
      <c r="N1139" s="2"/>
      <c r="O1139" s="2"/>
      <c r="P1139" s="2"/>
      <c r="Q1139" s="5"/>
      <c r="R1139" s="5"/>
      <c r="S1139" s="2"/>
      <c r="T1139" s="2"/>
      <c r="U1139" s="5"/>
      <c r="V1139" s="5"/>
      <c r="W1139" s="2"/>
      <c r="X1139" s="5"/>
      <c r="Y1139" s="1"/>
      <c r="Z1139" s="1"/>
      <c r="AA1139" s="1"/>
    </row>
    <row r="1140">
      <c r="A1140" s="1"/>
      <c r="B1140" s="14"/>
      <c r="C1140" s="2"/>
      <c r="D1140" s="2"/>
      <c r="E1140" s="2"/>
      <c r="F1140" s="2"/>
      <c r="G1140" s="2"/>
      <c r="H1140" s="3"/>
      <c r="I1140" s="2"/>
      <c r="J1140" s="2"/>
      <c r="K1140" s="4"/>
      <c r="L1140" s="4"/>
      <c r="M1140" s="2"/>
      <c r="N1140" s="2"/>
      <c r="O1140" s="2"/>
      <c r="P1140" s="2"/>
      <c r="Q1140" s="5"/>
      <c r="R1140" s="5"/>
      <c r="S1140" s="2"/>
      <c r="T1140" s="2"/>
      <c r="U1140" s="5"/>
      <c r="V1140" s="5"/>
      <c r="W1140" s="2"/>
      <c r="X1140" s="5"/>
      <c r="Y1140" s="1"/>
      <c r="Z1140" s="1"/>
      <c r="AA1140" s="1"/>
    </row>
    <row r="1141">
      <c r="A1141" s="1"/>
      <c r="B1141" s="14"/>
      <c r="C1141" s="2"/>
      <c r="D1141" s="2"/>
      <c r="E1141" s="2"/>
      <c r="F1141" s="2"/>
      <c r="G1141" s="2"/>
      <c r="H1141" s="3"/>
      <c r="I1141" s="2"/>
      <c r="J1141" s="2"/>
      <c r="K1141" s="4"/>
      <c r="L1141" s="4"/>
      <c r="M1141" s="2"/>
      <c r="N1141" s="2"/>
      <c r="O1141" s="2"/>
      <c r="P1141" s="2"/>
      <c r="Q1141" s="5"/>
      <c r="R1141" s="5"/>
      <c r="S1141" s="2"/>
      <c r="T1141" s="2"/>
      <c r="U1141" s="5"/>
      <c r="V1141" s="5"/>
      <c r="W1141" s="2"/>
      <c r="X1141" s="5"/>
      <c r="Y1141" s="1"/>
      <c r="Z1141" s="1"/>
      <c r="AA1141" s="1"/>
    </row>
    <row r="1142">
      <c r="A1142" s="1"/>
      <c r="B1142" s="14"/>
      <c r="C1142" s="2"/>
      <c r="D1142" s="2"/>
      <c r="E1142" s="2"/>
      <c r="F1142" s="2"/>
      <c r="G1142" s="2"/>
      <c r="H1142" s="3"/>
      <c r="I1142" s="2"/>
      <c r="J1142" s="2"/>
      <c r="K1142" s="4"/>
      <c r="L1142" s="4"/>
      <c r="M1142" s="2"/>
      <c r="N1142" s="2"/>
      <c r="O1142" s="2"/>
      <c r="P1142" s="2"/>
      <c r="Q1142" s="5"/>
      <c r="R1142" s="5"/>
      <c r="S1142" s="2"/>
      <c r="T1142" s="2"/>
      <c r="U1142" s="5"/>
      <c r="V1142" s="5"/>
      <c r="W1142" s="2"/>
      <c r="X1142" s="5"/>
      <c r="Y1142" s="1"/>
      <c r="Z1142" s="1"/>
      <c r="AA1142" s="1"/>
    </row>
    <row r="1143">
      <c r="A1143" s="1"/>
      <c r="B1143" s="14"/>
      <c r="C1143" s="2"/>
      <c r="D1143" s="2"/>
      <c r="E1143" s="2"/>
      <c r="F1143" s="2"/>
      <c r="G1143" s="2"/>
      <c r="H1143" s="3"/>
      <c r="I1143" s="2"/>
      <c r="J1143" s="2"/>
      <c r="K1143" s="4"/>
      <c r="L1143" s="4"/>
      <c r="M1143" s="2"/>
      <c r="N1143" s="2"/>
      <c r="O1143" s="2"/>
      <c r="P1143" s="2"/>
      <c r="Q1143" s="5"/>
      <c r="R1143" s="5"/>
      <c r="S1143" s="2"/>
      <c r="T1143" s="2"/>
      <c r="U1143" s="5"/>
      <c r="V1143" s="5"/>
      <c r="W1143" s="2"/>
      <c r="X1143" s="5"/>
      <c r="Y1143" s="1"/>
      <c r="Z1143" s="1"/>
      <c r="AA1143" s="1"/>
    </row>
    <row r="1144">
      <c r="A1144" s="1"/>
      <c r="B1144" s="14"/>
      <c r="C1144" s="2"/>
      <c r="D1144" s="2"/>
      <c r="E1144" s="2"/>
      <c r="F1144" s="2"/>
      <c r="G1144" s="2"/>
      <c r="H1144" s="3"/>
      <c r="I1144" s="2"/>
      <c r="J1144" s="2"/>
      <c r="K1144" s="4"/>
      <c r="L1144" s="4"/>
      <c r="M1144" s="2"/>
      <c r="N1144" s="2"/>
      <c r="O1144" s="2"/>
      <c r="P1144" s="2"/>
      <c r="Q1144" s="5"/>
      <c r="R1144" s="5"/>
      <c r="S1144" s="2"/>
      <c r="T1144" s="2"/>
      <c r="U1144" s="5"/>
      <c r="V1144" s="5"/>
      <c r="W1144" s="2"/>
      <c r="X1144" s="5"/>
      <c r="Y1144" s="1"/>
      <c r="Z1144" s="1"/>
      <c r="AA1144" s="1"/>
    </row>
    <row r="1145">
      <c r="A1145" s="1"/>
      <c r="B1145" s="14"/>
      <c r="C1145" s="2"/>
      <c r="D1145" s="2"/>
      <c r="E1145" s="2"/>
      <c r="F1145" s="2"/>
      <c r="G1145" s="2"/>
      <c r="H1145" s="3"/>
      <c r="I1145" s="2"/>
      <c r="J1145" s="2"/>
      <c r="K1145" s="4"/>
      <c r="L1145" s="4"/>
      <c r="M1145" s="2"/>
      <c r="N1145" s="2"/>
      <c r="O1145" s="2"/>
      <c r="P1145" s="2"/>
      <c r="Q1145" s="5"/>
      <c r="R1145" s="5"/>
      <c r="S1145" s="2"/>
      <c r="T1145" s="2"/>
      <c r="U1145" s="5"/>
      <c r="V1145" s="5"/>
      <c r="W1145" s="2"/>
      <c r="X1145" s="5"/>
      <c r="Y1145" s="1"/>
      <c r="Z1145" s="1"/>
      <c r="AA1145" s="1"/>
    </row>
    <row r="1146">
      <c r="A1146" s="1"/>
      <c r="B1146" s="14"/>
      <c r="C1146" s="2"/>
      <c r="D1146" s="2"/>
      <c r="E1146" s="2"/>
      <c r="F1146" s="2"/>
      <c r="G1146" s="2"/>
      <c r="H1146" s="3"/>
      <c r="I1146" s="2"/>
      <c r="J1146" s="2"/>
      <c r="K1146" s="4"/>
      <c r="L1146" s="4"/>
      <c r="M1146" s="2"/>
      <c r="N1146" s="2"/>
      <c r="O1146" s="2"/>
      <c r="P1146" s="2"/>
      <c r="Q1146" s="5"/>
      <c r="R1146" s="5"/>
      <c r="S1146" s="2"/>
      <c r="T1146" s="2"/>
      <c r="U1146" s="5"/>
      <c r="V1146" s="5"/>
      <c r="W1146" s="2"/>
      <c r="X1146" s="5"/>
      <c r="Y1146" s="1"/>
      <c r="Z1146" s="1"/>
      <c r="AA1146" s="1"/>
    </row>
    <row r="1147">
      <c r="A1147" s="1"/>
      <c r="B1147" s="14"/>
      <c r="C1147" s="2"/>
      <c r="D1147" s="2"/>
      <c r="E1147" s="2"/>
      <c r="F1147" s="2"/>
      <c r="G1147" s="2"/>
      <c r="H1147" s="3"/>
      <c r="I1147" s="2"/>
      <c r="J1147" s="2"/>
      <c r="K1147" s="4"/>
      <c r="L1147" s="4"/>
      <c r="M1147" s="2"/>
      <c r="N1147" s="2"/>
      <c r="O1147" s="2"/>
      <c r="P1147" s="2"/>
      <c r="Q1147" s="5"/>
      <c r="R1147" s="5"/>
      <c r="S1147" s="2"/>
      <c r="T1147" s="2"/>
      <c r="U1147" s="5"/>
      <c r="V1147" s="5"/>
      <c r="W1147" s="2"/>
      <c r="X1147" s="5"/>
      <c r="Y1147" s="1"/>
      <c r="Z1147" s="1"/>
      <c r="AA1147" s="1"/>
    </row>
    <row r="1148">
      <c r="A1148" s="1"/>
      <c r="B1148" s="14"/>
      <c r="C1148" s="2"/>
      <c r="D1148" s="2"/>
      <c r="E1148" s="2"/>
      <c r="F1148" s="2"/>
      <c r="G1148" s="2"/>
      <c r="H1148" s="3"/>
      <c r="I1148" s="2"/>
      <c r="J1148" s="2"/>
      <c r="K1148" s="4"/>
      <c r="L1148" s="4"/>
      <c r="M1148" s="2"/>
      <c r="N1148" s="2"/>
      <c r="O1148" s="2"/>
      <c r="P1148" s="2"/>
      <c r="Q1148" s="5"/>
      <c r="R1148" s="5"/>
      <c r="S1148" s="2"/>
      <c r="T1148" s="2"/>
      <c r="U1148" s="5"/>
      <c r="V1148" s="5"/>
      <c r="W1148" s="2"/>
      <c r="X1148" s="5"/>
      <c r="Y1148" s="1"/>
      <c r="Z1148" s="1"/>
      <c r="AA1148" s="1"/>
    </row>
    <row r="1149">
      <c r="A1149" s="1"/>
      <c r="B1149" s="14"/>
      <c r="C1149" s="2"/>
      <c r="D1149" s="2"/>
      <c r="E1149" s="2"/>
      <c r="F1149" s="2"/>
      <c r="G1149" s="2"/>
      <c r="H1149" s="3"/>
      <c r="I1149" s="2"/>
      <c r="J1149" s="2"/>
      <c r="K1149" s="4"/>
      <c r="L1149" s="4"/>
      <c r="M1149" s="2"/>
      <c r="N1149" s="2"/>
      <c r="O1149" s="2"/>
      <c r="P1149" s="2"/>
      <c r="Q1149" s="5"/>
      <c r="R1149" s="5"/>
      <c r="S1149" s="2"/>
      <c r="T1149" s="2"/>
      <c r="U1149" s="5"/>
      <c r="V1149" s="5"/>
      <c r="W1149" s="2"/>
      <c r="X1149" s="5"/>
      <c r="Y1149" s="1"/>
      <c r="Z1149" s="1"/>
      <c r="AA1149" s="1"/>
    </row>
    <row r="1150">
      <c r="A1150" s="1"/>
      <c r="B1150" s="14"/>
      <c r="C1150" s="2"/>
      <c r="D1150" s="2"/>
      <c r="E1150" s="2"/>
      <c r="F1150" s="2"/>
      <c r="G1150" s="2"/>
      <c r="H1150" s="3"/>
      <c r="I1150" s="2"/>
      <c r="J1150" s="2"/>
      <c r="K1150" s="4"/>
      <c r="L1150" s="4"/>
      <c r="M1150" s="2"/>
      <c r="N1150" s="2"/>
      <c r="O1150" s="2"/>
      <c r="P1150" s="2"/>
      <c r="Q1150" s="5"/>
      <c r="R1150" s="5"/>
      <c r="S1150" s="2"/>
      <c r="T1150" s="2"/>
      <c r="U1150" s="5"/>
      <c r="V1150" s="5"/>
      <c r="W1150" s="2"/>
      <c r="X1150" s="5"/>
      <c r="Y1150" s="1"/>
      <c r="Z1150" s="1"/>
      <c r="AA1150" s="1"/>
    </row>
    <row r="1151">
      <c r="A1151" s="1"/>
      <c r="B1151" s="14"/>
      <c r="C1151" s="2"/>
      <c r="D1151" s="2"/>
      <c r="E1151" s="2"/>
      <c r="F1151" s="2"/>
      <c r="G1151" s="2"/>
      <c r="H1151" s="3"/>
      <c r="I1151" s="2"/>
      <c r="J1151" s="2"/>
      <c r="K1151" s="4"/>
      <c r="L1151" s="4"/>
      <c r="M1151" s="2"/>
      <c r="N1151" s="2"/>
      <c r="O1151" s="2"/>
      <c r="P1151" s="2"/>
      <c r="Q1151" s="5"/>
      <c r="R1151" s="5"/>
      <c r="S1151" s="2"/>
      <c r="T1151" s="2"/>
      <c r="U1151" s="5"/>
      <c r="V1151" s="5"/>
      <c r="W1151" s="2"/>
      <c r="X1151" s="5"/>
      <c r="Y1151" s="1"/>
      <c r="Z1151" s="1"/>
      <c r="AA1151" s="1"/>
    </row>
    <row r="1152">
      <c r="A1152" s="1"/>
      <c r="B1152" s="14"/>
      <c r="C1152" s="2"/>
      <c r="D1152" s="2"/>
      <c r="E1152" s="2"/>
      <c r="F1152" s="2"/>
      <c r="G1152" s="2"/>
      <c r="H1152" s="3"/>
      <c r="I1152" s="2"/>
      <c r="J1152" s="2"/>
      <c r="K1152" s="4"/>
      <c r="L1152" s="4"/>
      <c r="M1152" s="2"/>
      <c r="N1152" s="2"/>
      <c r="O1152" s="2"/>
      <c r="P1152" s="2"/>
      <c r="Q1152" s="5"/>
      <c r="R1152" s="5"/>
      <c r="S1152" s="2"/>
      <c r="T1152" s="2"/>
      <c r="U1152" s="5"/>
      <c r="V1152" s="5"/>
      <c r="W1152" s="2"/>
      <c r="X1152" s="5"/>
      <c r="Y1152" s="1"/>
      <c r="Z1152" s="1"/>
      <c r="AA1152" s="1"/>
    </row>
    <row r="1153">
      <c r="A1153" s="1"/>
      <c r="B1153" s="14"/>
      <c r="C1153" s="2"/>
      <c r="D1153" s="2"/>
      <c r="E1153" s="2"/>
      <c r="F1153" s="2"/>
      <c r="G1153" s="2"/>
      <c r="H1153" s="3"/>
      <c r="I1153" s="2"/>
      <c r="J1153" s="2"/>
      <c r="K1153" s="4"/>
      <c r="L1153" s="4"/>
      <c r="M1153" s="2"/>
      <c r="N1153" s="2"/>
      <c r="O1153" s="2"/>
      <c r="P1153" s="2"/>
      <c r="Q1153" s="5"/>
      <c r="R1153" s="5"/>
      <c r="S1153" s="2"/>
      <c r="T1153" s="2"/>
      <c r="U1153" s="5"/>
      <c r="V1153" s="5"/>
      <c r="W1153" s="2"/>
      <c r="X1153" s="5"/>
      <c r="Y1153" s="1"/>
      <c r="Z1153" s="1"/>
      <c r="AA1153" s="1"/>
    </row>
    <row r="1154">
      <c r="A1154" s="1"/>
      <c r="B1154" s="14"/>
      <c r="C1154" s="2"/>
      <c r="D1154" s="2"/>
      <c r="E1154" s="2"/>
      <c r="F1154" s="2"/>
      <c r="G1154" s="2"/>
      <c r="H1154" s="3"/>
      <c r="I1154" s="2"/>
      <c r="J1154" s="2"/>
      <c r="K1154" s="4"/>
      <c r="L1154" s="4"/>
      <c r="M1154" s="2"/>
      <c r="N1154" s="2"/>
      <c r="O1154" s="2"/>
      <c r="P1154" s="2"/>
      <c r="Q1154" s="5"/>
      <c r="R1154" s="5"/>
      <c r="S1154" s="2"/>
      <c r="T1154" s="2"/>
      <c r="U1154" s="5"/>
      <c r="V1154" s="5"/>
      <c r="W1154" s="2"/>
      <c r="X1154" s="5"/>
      <c r="Y1154" s="1"/>
      <c r="Z1154" s="1"/>
      <c r="AA1154" s="1"/>
    </row>
    <row r="1155">
      <c r="A1155" s="1"/>
      <c r="B1155" s="14"/>
      <c r="C1155" s="2"/>
      <c r="D1155" s="2"/>
      <c r="E1155" s="2"/>
      <c r="F1155" s="2"/>
      <c r="G1155" s="2"/>
      <c r="H1155" s="3"/>
      <c r="I1155" s="2"/>
      <c r="J1155" s="2"/>
      <c r="K1155" s="4"/>
      <c r="L1155" s="4"/>
      <c r="M1155" s="2"/>
      <c r="N1155" s="2"/>
      <c r="O1155" s="2"/>
      <c r="P1155" s="2"/>
      <c r="Q1155" s="5"/>
      <c r="R1155" s="5"/>
      <c r="S1155" s="2"/>
      <c r="T1155" s="2"/>
      <c r="U1155" s="5"/>
      <c r="V1155" s="5"/>
      <c r="W1155" s="2"/>
      <c r="X1155" s="5"/>
      <c r="Y1155" s="1"/>
      <c r="Z1155" s="1"/>
      <c r="AA1155" s="1"/>
    </row>
    <row r="1156">
      <c r="A1156" s="1"/>
      <c r="B1156" s="14"/>
      <c r="C1156" s="2"/>
      <c r="D1156" s="2"/>
      <c r="E1156" s="2"/>
      <c r="F1156" s="2"/>
      <c r="G1156" s="2"/>
      <c r="H1156" s="3"/>
      <c r="I1156" s="2"/>
      <c r="J1156" s="2"/>
      <c r="K1156" s="4"/>
      <c r="L1156" s="4"/>
      <c r="M1156" s="2"/>
      <c r="N1156" s="2"/>
      <c r="O1156" s="2"/>
      <c r="P1156" s="2"/>
      <c r="Q1156" s="5"/>
      <c r="R1156" s="5"/>
      <c r="S1156" s="2"/>
      <c r="T1156" s="2"/>
      <c r="U1156" s="5"/>
      <c r="V1156" s="5"/>
      <c r="W1156" s="2"/>
      <c r="X1156" s="5"/>
      <c r="Y1156" s="1"/>
      <c r="Z1156" s="1"/>
      <c r="AA1156" s="1"/>
    </row>
    <row r="1157">
      <c r="A1157" s="1"/>
      <c r="B1157" s="14"/>
      <c r="C1157" s="2"/>
      <c r="D1157" s="2"/>
      <c r="E1157" s="2"/>
      <c r="F1157" s="2"/>
      <c r="G1157" s="2"/>
      <c r="H1157" s="3"/>
      <c r="I1157" s="2"/>
      <c r="J1157" s="2"/>
      <c r="K1157" s="4"/>
      <c r="L1157" s="4"/>
      <c r="M1157" s="2"/>
      <c r="N1157" s="2"/>
      <c r="O1157" s="2"/>
      <c r="P1157" s="2"/>
      <c r="Q1157" s="5"/>
      <c r="R1157" s="5"/>
      <c r="S1157" s="2"/>
      <c r="T1157" s="2"/>
      <c r="U1157" s="5"/>
      <c r="V1157" s="5"/>
      <c r="W1157" s="2"/>
      <c r="X1157" s="5"/>
      <c r="Y1157" s="1"/>
      <c r="Z1157" s="1"/>
      <c r="AA1157" s="1"/>
    </row>
    <row r="1158">
      <c r="A1158" s="1"/>
      <c r="B1158" s="14"/>
      <c r="C1158" s="2"/>
      <c r="D1158" s="2"/>
      <c r="E1158" s="2"/>
      <c r="F1158" s="2"/>
      <c r="G1158" s="2"/>
      <c r="H1158" s="3"/>
      <c r="I1158" s="2"/>
      <c r="J1158" s="2"/>
      <c r="K1158" s="4"/>
      <c r="L1158" s="4"/>
      <c r="M1158" s="2"/>
      <c r="N1158" s="2"/>
      <c r="O1158" s="2"/>
      <c r="P1158" s="2"/>
      <c r="Q1158" s="5"/>
      <c r="R1158" s="5"/>
      <c r="S1158" s="2"/>
      <c r="T1158" s="2"/>
      <c r="U1158" s="5"/>
      <c r="V1158" s="5"/>
      <c r="W1158" s="2"/>
      <c r="X1158" s="5"/>
      <c r="Y1158" s="1"/>
      <c r="Z1158" s="1"/>
      <c r="AA1158" s="1"/>
    </row>
    <row r="1159">
      <c r="A1159" s="1"/>
      <c r="B1159" s="14"/>
      <c r="C1159" s="2"/>
      <c r="D1159" s="2"/>
      <c r="E1159" s="2"/>
      <c r="F1159" s="2"/>
      <c r="G1159" s="2"/>
      <c r="H1159" s="3"/>
      <c r="I1159" s="2"/>
      <c r="J1159" s="2"/>
      <c r="K1159" s="4"/>
      <c r="L1159" s="4"/>
      <c r="M1159" s="2"/>
      <c r="N1159" s="2"/>
      <c r="O1159" s="2"/>
      <c r="P1159" s="2"/>
      <c r="Q1159" s="5"/>
      <c r="R1159" s="5"/>
      <c r="S1159" s="2"/>
      <c r="T1159" s="2"/>
      <c r="U1159" s="5"/>
      <c r="V1159" s="5"/>
      <c r="W1159" s="2"/>
      <c r="X1159" s="5"/>
      <c r="Y1159" s="1"/>
      <c r="Z1159" s="1"/>
      <c r="AA1159" s="1"/>
    </row>
    <row r="1160">
      <c r="A1160" s="1"/>
      <c r="B1160" s="14"/>
      <c r="C1160" s="2"/>
      <c r="D1160" s="2"/>
      <c r="E1160" s="2"/>
      <c r="F1160" s="2"/>
      <c r="G1160" s="2"/>
      <c r="H1160" s="3"/>
      <c r="I1160" s="2"/>
      <c r="J1160" s="2"/>
      <c r="K1160" s="4"/>
      <c r="L1160" s="4"/>
      <c r="M1160" s="2"/>
      <c r="N1160" s="2"/>
      <c r="O1160" s="2"/>
      <c r="P1160" s="2"/>
      <c r="Q1160" s="5"/>
      <c r="R1160" s="5"/>
      <c r="S1160" s="2"/>
      <c r="T1160" s="2"/>
      <c r="U1160" s="5"/>
      <c r="V1160" s="5"/>
      <c r="W1160" s="2"/>
      <c r="X1160" s="5"/>
      <c r="Y1160" s="1"/>
      <c r="Z1160" s="1"/>
      <c r="AA1160" s="1"/>
    </row>
    <row r="1161">
      <c r="A1161" s="1"/>
      <c r="B1161" s="14"/>
      <c r="C1161" s="2"/>
      <c r="D1161" s="2"/>
      <c r="E1161" s="2"/>
      <c r="F1161" s="2"/>
      <c r="G1161" s="2"/>
      <c r="H1161" s="3"/>
      <c r="I1161" s="2"/>
      <c r="J1161" s="2"/>
      <c r="K1161" s="4"/>
      <c r="L1161" s="4"/>
      <c r="M1161" s="2"/>
      <c r="N1161" s="2"/>
      <c r="O1161" s="2"/>
      <c r="P1161" s="2"/>
      <c r="Q1161" s="5"/>
      <c r="R1161" s="5"/>
      <c r="S1161" s="2"/>
      <c r="T1161" s="2"/>
      <c r="U1161" s="5"/>
      <c r="V1161" s="5"/>
      <c r="W1161" s="2"/>
      <c r="X1161" s="5"/>
      <c r="Y1161" s="1"/>
      <c r="Z1161" s="1"/>
      <c r="AA1161" s="1"/>
    </row>
    <row r="1162">
      <c r="A1162" s="1"/>
      <c r="B1162" s="14"/>
      <c r="C1162" s="2"/>
      <c r="D1162" s="2"/>
      <c r="E1162" s="2"/>
      <c r="F1162" s="2"/>
      <c r="G1162" s="2"/>
      <c r="H1162" s="3"/>
      <c r="I1162" s="2"/>
      <c r="J1162" s="2"/>
      <c r="K1162" s="4"/>
      <c r="L1162" s="4"/>
      <c r="M1162" s="2"/>
      <c r="N1162" s="2"/>
      <c r="O1162" s="2"/>
      <c r="P1162" s="2"/>
      <c r="Q1162" s="5"/>
      <c r="R1162" s="5"/>
      <c r="S1162" s="2"/>
      <c r="T1162" s="2"/>
      <c r="U1162" s="5"/>
      <c r="V1162" s="5"/>
      <c r="W1162" s="2"/>
      <c r="X1162" s="5"/>
      <c r="Y1162" s="1"/>
      <c r="Z1162" s="1"/>
      <c r="AA1162" s="1"/>
    </row>
    <row r="1163">
      <c r="A1163" s="1"/>
      <c r="B1163" s="14"/>
      <c r="C1163" s="2"/>
      <c r="D1163" s="2"/>
      <c r="E1163" s="2"/>
      <c r="F1163" s="2"/>
      <c r="G1163" s="2"/>
      <c r="H1163" s="3"/>
      <c r="I1163" s="2"/>
      <c r="J1163" s="2"/>
      <c r="K1163" s="4"/>
      <c r="L1163" s="4"/>
      <c r="M1163" s="2"/>
      <c r="N1163" s="2"/>
      <c r="O1163" s="2"/>
      <c r="P1163" s="2"/>
      <c r="Q1163" s="5"/>
      <c r="R1163" s="5"/>
      <c r="S1163" s="2"/>
      <c r="T1163" s="2"/>
      <c r="U1163" s="5"/>
      <c r="V1163" s="5"/>
      <c r="W1163" s="2"/>
      <c r="X1163" s="5"/>
      <c r="Y1163" s="1"/>
      <c r="Z1163" s="1"/>
      <c r="AA1163" s="1"/>
    </row>
    <row r="1164">
      <c r="A1164" s="1"/>
      <c r="B1164" s="14"/>
      <c r="C1164" s="2"/>
      <c r="D1164" s="2"/>
      <c r="E1164" s="2"/>
      <c r="F1164" s="2"/>
      <c r="G1164" s="2"/>
      <c r="H1164" s="3"/>
      <c r="I1164" s="2"/>
      <c r="J1164" s="2"/>
      <c r="K1164" s="4"/>
      <c r="L1164" s="4"/>
      <c r="M1164" s="2"/>
      <c r="N1164" s="2"/>
      <c r="O1164" s="2"/>
      <c r="P1164" s="2"/>
      <c r="Q1164" s="5"/>
      <c r="R1164" s="5"/>
      <c r="S1164" s="2"/>
      <c r="T1164" s="2"/>
      <c r="U1164" s="5"/>
      <c r="V1164" s="5"/>
      <c r="W1164" s="2"/>
      <c r="X1164" s="5"/>
      <c r="Y1164" s="1"/>
      <c r="Z1164" s="1"/>
      <c r="AA1164" s="1"/>
    </row>
    <row r="1165">
      <c r="A1165" s="1"/>
      <c r="B1165" s="14"/>
      <c r="C1165" s="2"/>
      <c r="D1165" s="2"/>
      <c r="E1165" s="2"/>
      <c r="F1165" s="2"/>
      <c r="G1165" s="2"/>
      <c r="H1165" s="3"/>
      <c r="I1165" s="2"/>
      <c r="J1165" s="2"/>
      <c r="K1165" s="4"/>
      <c r="L1165" s="4"/>
      <c r="M1165" s="2"/>
      <c r="N1165" s="2"/>
      <c r="O1165" s="2"/>
      <c r="P1165" s="2"/>
      <c r="Q1165" s="5"/>
      <c r="R1165" s="5"/>
      <c r="S1165" s="2"/>
      <c r="T1165" s="2"/>
      <c r="U1165" s="5"/>
      <c r="V1165" s="5"/>
      <c r="W1165" s="2"/>
      <c r="X1165" s="5"/>
      <c r="Y1165" s="1"/>
      <c r="Z1165" s="1"/>
      <c r="AA1165" s="1"/>
    </row>
    <row r="1166">
      <c r="A1166" s="1"/>
      <c r="B1166" s="14"/>
      <c r="C1166" s="2"/>
      <c r="D1166" s="2"/>
      <c r="E1166" s="2"/>
      <c r="F1166" s="2"/>
      <c r="G1166" s="2"/>
      <c r="H1166" s="3"/>
      <c r="I1166" s="2"/>
      <c r="J1166" s="2"/>
      <c r="K1166" s="4"/>
      <c r="L1166" s="4"/>
      <c r="M1166" s="2"/>
      <c r="N1166" s="2"/>
      <c r="O1166" s="2"/>
      <c r="P1166" s="2"/>
      <c r="Q1166" s="5"/>
      <c r="R1166" s="5"/>
      <c r="S1166" s="2"/>
      <c r="T1166" s="2"/>
      <c r="U1166" s="5"/>
      <c r="V1166" s="5"/>
      <c r="W1166" s="2"/>
      <c r="X1166" s="5"/>
      <c r="Y1166" s="1"/>
      <c r="Z1166" s="1"/>
      <c r="AA1166" s="1"/>
    </row>
    <row r="1167">
      <c r="A1167" s="1"/>
      <c r="B1167" s="14"/>
      <c r="C1167" s="2"/>
      <c r="D1167" s="2"/>
      <c r="E1167" s="2"/>
      <c r="F1167" s="2"/>
      <c r="G1167" s="2"/>
      <c r="H1167" s="3"/>
      <c r="I1167" s="2"/>
      <c r="J1167" s="2"/>
      <c r="K1167" s="4"/>
      <c r="L1167" s="4"/>
      <c r="M1167" s="2"/>
      <c r="N1167" s="2"/>
      <c r="O1167" s="2"/>
      <c r="P1167" s="2"/>
      <c r="Q1167" s="5"/>
      <c r="R1167" s="5"/>
      <c r="S1167" s="2"/>
      <c r="T1167" s="2"/>
      <c r="U1167" s="5"/>
      <c r="V1167" s="5"/>
      <c r="W1167" s="2"/>
      <c r="X1167" s="5"/>
      <c r="Y1167" s="1"/>
      <c r="Z1167" s="1"/>
      <c r="AA1167" s="1"/>
    </row>
    <row r="1168">
      <c r="A1168" s="1"/>
      <c r="B1168" s="14"/>
      <c r="C1168" s="2"/>
      <c r="D1168" s="2"/>
      <c r="E1168" s="2"/>
      <c r="F1168" s="2"/>
      <c r="G1168" s="2"/>
      <c r="H1168" s="3"/>
      <c r="I1168" s="2"/>
      <c r="J1168" s="2"/>
      <c r="K1168" s="4"/>
      <c r="L1168" s="4"/>
      <c r="M1168" s="2"/>
      <c r="N1168" s="2"/>
      <c r="O1168" s="2"/>
      <c r="P1168" s="2"/>
      <c r="Q1168" s="5"/>
      <c r="R1168" s="5"/>
      <c r="S1168" s="2"/>
      <c r="T1168" s="2"/>
      <c r="U1168" s="5"/>
      <c r="V1168" s="5"/>
      <c r="W1168" s="2"/>
      <c r="X1168" s="5"/>
      <c r="Y1168" s="1"/>
      <c r="Z1168" s="1"/>
      <c r="AA1168" s="1"/>
    </row>
    <row r="1169">
      <c r="A1169" s="1"/>
      <c r="B1169" s="14"/>
      <c r="C1169" s="2"/>
      <c r="D1169" s="2"/>
      <c r="E1169" s="2"/>
      <c r="F1169" s="2"/>
      <c r="G1169" s="2"/>
      <c r="H1169" s="3"/>
      <c r="I1169" s="2"/>
      <c r="J1169" s="2"/>
      <c r="K1169" s="4"/>
      <c r="L1169" s="4"/>
      <c r="M1169" s="2"/>
      <c r="N1169" s="2"/>
      <c r="O1169" s="2"/>
      <c r="P1169" s="2"/>
      <c r="Q1169" s="5"/>
      <c r="R1169" s="5"/>
      <c r="S1169" s="2"/>
      <c r="T1169" s="2"/>
      <c r="U1169" s="5"/>
      <c r="V1169" s="5"/>
      <c r="W1169" s="2"/>
      <c r="X1169" s="5"/>
      <c r="Y1169" s="1"/>
      <c r="Z1169" s="1"/>
      <c r="AA1169" s="1"/>
    </row>
    <row r="1170">
      <c r="A1170" s="1"/>
      <c r="B1170" s="14"/>
      <c r="C1170" s="2"/>
      <c r="D1170" s="2"/>
      <c r="E1170" s="2"/>
      <c r="F1170" s="2"/>
      <c r="G1170" s="2"/>
      <c r="H1170" s="3"/>
      <c r="I1170" s="2"/>
      <c r="J1170" s="2"/>
      <c r="K1170" s="4"/>
      <c r="L1170" s="4"/>
      <c r="M1170" s="2"/>
      <c r="N1170" s="2"/>
      <c r="O1170" s="2"/>
      <c r="P1170" s="2"/>
      <c r="Q1170" s="5"/>
      <c r="R1170" s="5"/>
      <c r="S1170" s="2"/>
      <c r="T1170" s="2"/>
      <c r="U1170" s="5"/>
      <c r="V1170" s="5"/>
      <c r="W1170" s="2"/>
      <c r="X1170" s="5"/>
      <c r="Y1170" s="1"/>
      <c r="Z1170" s="1"/>
      <c r="AA1170" s="1"/>
    </row>
    <row r="1171">
      <c r="A1171" s="1"/>
      <c r="B1171" s="14"/>
      <c r="C1171" s="2"/>
      <c r="D1171" s="2"/>
      <c r="E1171" s="2"/>
      <c r="F1171" s="2"/>
      <c r="G1171" s="2"/>
      <c r="H1171" s="3"/>
      <c r="I1171" s="2"/>
      <c r="J1171" s="2"/>
      <c r="K1171" s="4"/>
      <c r="L1171" s="4"/>
      <c r="M1171" s="2"/>
      <c r="N1171" s="2"/>
      <c r="O1171" s="2"/>
      <c r="P1171" s="2"/>
      <c r="Q1171" s="5"/>
      <c r="R1171" s="5"/>
      <c r="S1171" s="2"/>
      <c r="T1171" s="2"/>
      <c r="U1171" s="5"/>
      <c r="V1171" s="5"/>
      <c r="W1171" s="2"/>
      <c r="X1171" s="5"/>
      <c r="Y1171" s="1"/>
      <c r="Z1171" s="1"/>
      <c r="AA1171" s="1"/>
    </row>
    <row r="1172">
      <c r="A1172" s="1"/>
      <c r="B1172" s="14"/>
      <c r="C1172" s="2"/>
      <c r="D1172" s="2"/>
      <c r="E1172" s="2"/>
      <c r="F1172" s="2"/>
      <c r="G1172" s="2"/>
      <c r="H1172" s="3"/>
      <c r="I1172" s="2"/>
      <c r="J1172" s="2"/>
      <c r="K1172" s="4"/>
      <c r="L1172" s="4"/>
      <c r="M1172" s="2"/>
      <c r="N1172" s="2"/>
      <c r="O1172" s="2"/>
      <c r="P1172" s="2"/>
      <c r="Q1172" s="5"/>
      <c r="R1172" s="5"/>
      <c r="S1172" s="2"/>
      <c r="T1172" s="2"/>
      <c r="U1172" s="5"/>
      <c r="V1172" s="5"/>
      <c r="W1172" s="2"/>
      <c r="X1172" s="5"/>
      <c r="Y1172" s="1"/>
      <c r="Z1172" s="1"/>
      <c r="AA1172" s="1"/>
    </row>
    <row r="1173">
      <c r="A1173" s="1"/>
      <c r="B1173" s="14"/>
      <c r="C1173" s="2"/>
      <c r="D1173" s="2"/>
      <c r="E1173" s="2"/>
      <c r="F1173" s="2"/>
      <c r="G1173" s="2"/>
      <c r="H1173" s="3"/>
      <c r="I1173" s="2"/>
      <c r="J1173" s="2"/>
      <c r="K1173" s="4"/>
      <c r="L1173" s="4"/>
      <c r="M1173" s="2"/>
      <c r="N1173" s="2"/>
      <c r="O1173" s="2"/>
      <c r="P1173" s="2"/>
      <c r="Q1173" s="5"/>
      <c r="R1173" s="5"/>
      <c r="S1173" s="2"/>
      <c r="T1173" s="2"/>
      <c r="U1173" s="5"/>
      <c r="V1173" s="5"/>
      <c r="W1173" s="2"/>
      <c r="X1173" s="5"/>
      <c r="Y1173" s="1"/>
      <c r="Z1173" s="1"/>
      <c r="AA1173" s="1"/>
    </row>
    <row r="1174">
      <c r="A1174" s="1"/>
      <c r="B1174" s="14"/>
      <c r="C1174" s="2"/>
      <c r="D1174" s="2"/>
      <c r="E1174" s="2"/>
      <c r="F1174" s="2"/>
      <c r="G1174" s="2"/>
      <c r="H1174" s="3"/>
      <c r="I1174" s="2"/>
      <c r="J1174" s="2"/>
      <c r="K1174" s="4"/>
      <c r="L1174" s="4"/>
      <c r="M1174" s="2"/>
      <c r="N1174" s="2"/>
      <c r="O1174" s="2"/>
      <c r="P1174" s="2"/>
      <c r="Q1174" s="5"/>
      <c r="R1174" s="5"/>
      <c r="S1174" s="2"/>
      <c r="T1174" s="2"/>
      <c r="U1174" s="5"/>
      <c r="V1174" s="5"/>
      <c r="W1174" s="2"/>
      <c r="X1174" s="5"/>
      <c r="Y1174" s="1"/>
      <c r="Z1174" s="1"/>
      <c r="AA1174" s="1"/>
    </row>
    <row r="1175">
      <c r="A1175" s="1"/>
      <c r="B1175" s="14"/>
      <c r="C1175" s="2"/>
      <c r="D1175" s="2"/>
      <c r="E1175" s="2"/>
      <c r="F1175" s="2"/>
      <c r="G1175" s="2"/>
      <c r="H1175" s="3"/>
      <c r="I1175" s="2"/>
      <c r="J1175" s="2"/>
      <c r="K1175" s="4"/>
      <c r="L1175" s="4"/>
      <c r="M1175" s="2"/>
      <c r="N1175" s="2"/>
      <c r="O1175" s="2"/>
      <c r="P1175" s="2"/>
      <c r="Q1175" s="5"/>
      <c r="R1175" s="5"/>
      <c r="S1175" s="2"/>
      <c r="T1175" s="2"/>
      <c r="U1175" s="5"/>
      <c r="V1175" s="5"/>
      <c r="W1175" s="2"/>
      <c r="X1175" s="5"/>
      <c r="Y1175" s="1"/>
      <c r="Z1175" s="1"/>
      <c r="AA1175" s="1"/>
    </row>
    <row r="1176">
      <c r="A1176" s="1"/>
      <c r="B1176" s="14"/>
      <c r="C1176" s="2"/>
      <c r="D1176" s="2"/>
      <c r="E1176" s="2"/>
      <c r="F1176" s="2"/>
      <c r="G1176" s="2"/>
      <c r="H1176" s="3"/>
      <c r="I1176" s="2"/>
      <c r="J1176" s="2"/>
      <c r="K1176" s="4"/>
      <c r="L1176" s="4"/>
      <c r="M1176" s="2"/>
      <c r="N1176" s="2"/>
      <c r="O1176" s="2"/>
      <c r="P1176" s="2"/>
      <c r="Q1176" s="5"/>
      <c r="R1176" s="5"/>
      <c r="S1176" s="2"/>
      <c r="T1176" s="2"/>
      <c r="U1176" s="5"/>
      <c r="V1176" s="5"/>
      <c r="W1176" s="2"/>
      <c r="X1176" s="5"/>
      <c r="Y1176" s="1"/>
      <c r="Z1176" s="1"/>
      <c r="AA1176" s="1"/>
    </row>
    <row r="1177">
      <c r="A1177" s="1"/>
      <c r="B1177" s="14"/>
      <c r="C1177" s="2"/>
      <c r="D1177" s="2"/>
      <c r="E1177" s="2"/>
      <c r="F1177" s="2"/>
      <c r="G1177" s="2"/>
      <c r="H1177" s="3"/>
      <c r="I1177" s="2"/>
      <c r="J1177" s="2"/>
      <c r="K1177" s="4"/>
      <c r="L1177" s="4"/>
      <c r="M1177" s="2"/>
      <c r="N1177" s="2"/>
      <c r="O1177" s="2"/>
      <c r="P1177" s="2"/>
      <c r="Q1177" s="5"/>
      <c r="R1177" s="5"/>
      <c r="S1177" s="2"/>
      <c r="T1177" s="2"/>
      <c r="U1177" s="5"/>
      <c r="V1177" s="5"/>
      <c r="W1177" s="2"/>
      <c r="X1177" s="5"/>
      <c r="Y1177" s="1"/>
      <c r="Z1177" s="1"/>
      <c r="AA1177" s="1"/>
    </row>
    <row r="1178">
      <c r="A1178" s="1"/>
      <c r="B1178" s="14"/>
      <c r="C1178" s="2"/>
      <c r="D1178" s="2"/>
      <c r="E1178" s="2"/>
      <c r="F1178" s="2"/>
      <c r="G1178" s="2"/>
      <c r="H1178" s="3"/>
      <c r="I1178" s="2"/>
      <c r="J1178" s="2"/>
      <c r="K1178" s="4"/>
      <c r="L1178" s="4"/>
      <c r="M1178" s="2"/>
      <c r="N1178" s="2"/>
      <c r="O1178" s="2"/>
      <c r="P1178" s="2"/>
      <c r="Q1178" s="5"/>
      <c r="R1178" s="5"/>
      <c r="S1178" s="2"/>
      <c r="T1178" s="2"/>
      <c r="U1178" s="5"/>
      <c r="V1178" s="5"/>
      <c r="W1178" s="2"/>
      <c r="X1178" s="5"/>
      <c r="Y1178" s="1"/>
      <c r="Z1178" s="1"/>
      <c r="AA1178" s="1"/>
    </row>
    <row r="1179">
      <c r="A1179" s="1"/>
      <c r="B1179" s="14"/>
      <c r="C1179" s="2"/>
      <c r="D1179" s="2"/>
      <c r="E1179" s="2"/>
      <c r="F1179" s="2"/>
      <c r="G1179" s="2"/>
      <c r="H1179" s="3"/>
      <c r="I1179" s="2"/>
      <c r="J1179" s="2"/>
      <c r="K1179" s="4"/>
      <c r="L1179" s="4"/>
      <c r="M1179" s="2"/>
      <c r="N1179" s="2"/>
      <c r="O1179" s="2"/>
      <c r="P1179" s="2"/>
      <c r="Q1179" s="5"/>
      <c r="R1179" s="5"/>
      <c r="S1179" s="2"/>
      <c r="T1179" s="2"/>
      <c r="U1179" s="5"/>
      <c r="V1179" s="5"/>
      <c r="W1179" s="2"/>
      <c r="X1179" s="5"/>
      <c r="Y1179" s="1"/>
      <c r="Z1179" s="1"/>
      <c r="AA1179" s="1"/>
    </row>
    <row r="1180">
      <c r="A1180" s="1"/>
      <c r="B1180" s="14"/>
      <c r="C1180" s="2"/>
      <c r="D1180" s="2"/>
      <c r="E1180" s="2"/>
      <c r="F1180" s="2"/>
      <c r="G1180" s="2"/>
      <c r="H1180" s="3"/>
      <c r="I1180" s="2"/>
      <c r="J1180" s="2"/>
      <c r="K1180" s="4"/>
      <c r="L1180" s="4"/>
      <c r="M1180" s="2"/>
      <c r="N1180" s="2"/>
      <c r="O1180" s="2"/>
      <c r="P1180" s="2"/>
      <c r="Q1180" s="5"/>
      <c r="R1180" s="5"/>
      <c r="S1180" s="2"/>
      <c r="T1180" s="2"/>
      <c r="U1180" s="5"/>
      <c r="V1180" s="5"/>
      <c r="W1180" s="2"/>
      <c r="X1180" s="5"/>
      <c r="Y1180" s="1"/>
      <c r="Z1180" s="1"/>
      <c r="AA1180" s="1"/>
    </row>
    <row r="1181">
      <c r="A1181" s="1"/>
      <c r="B1181" s="14"/>
      <c r="C1181" s="2"/>
      <c r="D1181" s="2"/>
      <c r="E1181" s="2"/>
      <c r="F1181" s="2"/>
      <c r="G1181" s="2"/>
      <c r="H1181" s="3"/>
      <c r="I1181" s="2"/>
      <c r="J1181" s="2"/>
      <c r="K1181" s="4"/>
      <c r="L1181" s="4"/>
      <c r="M1181" s="2"/>
      <c r="N1181" s="2"/>
      <c r="O1181" s="2"/>
      <c r="P1181" s="2"/>
      <c r="Q1181" s="5"/>
      <c r="R1181" s="5"/>
      <c r="S1181" s="2"/>
      <c r="T1181" s="2"/>
      <c r="U1181" s="5"/>
      <c r="V1181" s="5"/>
      <c r="W1181" s="2"/>
      <c r="X1181" s="5"/>
      <c r="Y1181" s="1"/>
      <c r="Z1181" s="1"/>
      <c r="AA1181" s="1"/>
    </row>
    <row r="1182">
      <c r="A1182" s="1"/>
      <c r="B1182" s="14"/>
      <c r="C1182" s="2"/>
      <c r="D1182" s="2"/>
      <c r="E1182" s="2"/>
      <c r="F1182" s="2"/>
      <c r="G1182" s="2"/>
      <c r="H1182" s="3"/>
      <c r="I1182" s="2"/>
      <c r="J1182" s="2"/>
      <c r="K1182" s="4"/>
      <c r="L1182" s="4"/>
      <c r="M1182" s="2"/>
      <c r="N1182" s="2"/>
      <c r="O1182" s="2"/>
      <c r="P1182" s="2"/>
      <c r="Q1182" s="5"/>
      <c r="R1182" s="5"/>
      <c r="S1182" s="2"/>
      <c r="T1182" s="2"/>
      <c r="U1182" s="5"/>
      <c r="V1182" s="5"/>
      <c r="W1182" s="2"/>
      <c r="X1182" s="5"/>
      <c r="Y1182" s="1"/>
      <c r="Z1182" s="1"/>
      <c r="AA1182" s="1"/>
    </row>
    <row r="1183">
      <c r="A1183" s="1"/>
      <c r="B1183" s="14"/>
      <c r="C1183" s="2"/>
      <c r="D1183" s="2"/>
      <c r="E1183" s="2"/>
      <c r="F1183" s="2"/>
      <c r="G1183" s="2"/>
      <c r="H1183" s="3"/>
      <c r="I1183" s="2"/>
      <c r="J1183" s="2"/>
      <c r="K1183" s="4"/>
      <c r="L1183" s="4"/>
      <c r="M1183" s="2"/>
      <c r="N1183" s="2"/>
      <c r="O1183" s="2"/>
      <c r="P1183" s="2"/>
      <c r="Q1183" s="5"/>
      <c r="R1183" s="5"/>
      <c r="S1183" s="2"/>
      <c r="T1183" s="2"/>
      <c r="U1183" s="5"/>
      <c r="V1183" s="5"/>
      <c r="W1183" s="2"/>
      <c r="X1183" s="5"/>
      <c r="Y1183" s="1"/>
      <c r="Z1183" s="1"/>
      <c r="AA1183" s="1"/>
    </row>
    <row r="1184">
      <c r="A1184" s="1"/>
      <c r="B1184" s="14"/>
      <c r="C1184" s="2"/>
      <c r="D1184" s="2"/>
      <c r="E1184" s="2"/>
      <c r="F1184" s="2"/>
      <c r="G1184" s="2"/>
      <c r="H1184" s="3"/>
      <c r="I1184" s="2"/>
      <c r="J1184" s="2"/>
      <c r="K1184" s="4"/>
      <c r="L1184" s="4"/>
      <c r="M1184" s="2"/>
      <c r="N1184" s="2"/>
      <c r="O1184" s="2"/>
      <c r="P1184" s="2"/>
      <c r="Q1184" s="5"/>
      <c r="R1184" s="5"/>
      <c r="S1184" s="2"/>
      <c r="T1184" s="2"/>
      <c r="U1184" s="5"/>
      <c r="V1184" s="5"/>
      <c r="W1184" s="2"/>
      <c r="X1184" s="5"/>
      <c r="Y1184" s="1"/>
      <c r="Z1184" s="1"/>
      <c r="AA1184" s="1"/>
    </row>
    <row r="1185">
      <c r="A1185" s="1"/>
      <c r="B1185" s="14"/>
      <c r="C1185" s="2"/>
      <c r="D1185" s="2"/>
      <c r="E1185" s="2"/>
      <c r="F1185" s="2"/>
      <c r="G1185" s="2"/>
      <c r="H1185" s="3"/>
      <c r="I1185" s="2"/>
      <c r="J1185" s="2"/>
      <c r="K1185" s="4"/>
      <c r="L1185" s="4"/>
      <c r="M1185" s="2"/>
      <c r="N1185" s="2"/>
      <c r="O1185" s="2"/>
      <c r="P1185" s="2"/>
      <c r="Q1185" s="5"/>
      <c r="R1185" s="5"/>
      <c r="S1185" s="2"/>
      <c r="T1185" s="2"/>
      <c r="U1185" s="5"/>
      <c r="V1185" s="5"/>
      <c r="W1185" s="2"/>
      <c r="X1185" s="5"/>
      <c r="Y1185" s="1"/>
      <c r="Z1185" s="1"/>
      <c r="AA1185" s="1"/>
    </row>
    <row r="1186">
      <c r="A1186" s="1"/>
      <c r="B1186" s="14"/>
      <c r="C1186" s="2"/>
      <c r="D1186" s="2"/>
      <c r="E1186" s="2"/>
      <c r="F1186" s="2"/>
      <c r="G1186" s="2"/>
      <c r="H1186" s="3"/>
      <c r="I1186" s="2"/>
      <c r="J1186" s="2"/>
      <c r="K1186" s="4"/>
      <c r="L1186" s="4"/>
      <c r="M1186" s="2"/>
      <c r="N1186" s="2"/>
      <c r="O1186" s="2"/>
      <c r="P1186" s="2"/>
      <c r="Q1186" s="5"/>
      <c r="R1186" s="5"/>
      <c r="S1186" s="2"/>
      <c r="T1186" s="2"/>
      <c r="U1186" s="5"/>
      <c r="V1186" s="5"/>
      <c r="W1186" s="2"/>
      <c r="X1186" s="5"/>
      <c r="Y1186" s="1"/>
      <c r="Z1186" s="1"/>
      <c r="AA1186" s="1"/>
    </row>
    <row r="1187">
      <c r="A1187" s="1"/>
      <c r="B1187" s="14"/>
      <c r="C1187" s="2"/>
      <c r="D1187" s="2"/>
      <c r="E1187" s="2"/>
      <c r="F1187" s="2"/>
      <c r="G1187" s="2"/>
      <c r="H1187" s="3"/>
      <c r="I1187" s="2"/>
      <c r="J1187" s="2"/>
      <c r="K1187" s="4"/>
      <c r="L1187" s="4"/>
      <c r="M1187" s="2"/>
      <c r="N1187" s="2"/>
      <c r="O1187" s="2"/>
      <c r="P1187" s="2"/>
      <c r="Q1187" s="5"/>
      <c r="R1187" s="5"/>
      <c r="S1187" s="2"/>
      <c r="T1187" s="2"/>
      <c r="U1187" s="5"/>
      <c r="V1187" s="5"/>
      <c r="W1187" s="2"/>
      <c r="X1187" s="5"/>
      <c r="Y1187" s="1"/>
      <c r="Z1187" s="1"/>
      <c r="AA1187" s="1"/>
    </row>
    <row r="1188">
      <c r="A1188" s="1"/>
      <c r="B1188" s="14"/>
      <c r="C1188" s="2"/>
      <c r="D1188" s="2"/>
      <c r="E1188" s="2"/>
      <c r="F1188" s="2"/>
      <c r="G1188" s="2"/>
      <c r="H1188" s="3"/>
      <c r="I1188" s="2"/>
      <c r="J1188" s="2"/>
      <c r="K1188" s="4"/>
      <c r="L1188" s="4"/>
      <c r="M1188" s="2"/>
      <c r="N1188" s="2"/>
      <c r="O1188" s="2"/>
      <c r="P1188" s="2"/>
      <c r="Q1188" s="5"/>
      <c r="R1188" s="5"/>
      <c r="S1188" s="2"/>
      <c r="T1188" s="2"/>
      <c r="U1188" s="5"/>
      <c r="V1188" s="5"/>
      <c r="W1188" s="2"/>
      <c r="X1188" s="5"/>
      <c r="Y1188" s="1"/>
      <c r="Z1188" s="1"/>
      <c r="AA1188" s="1"/>
    </row>
    <row r="1189">
      <c r="A1189" s="1"/>
      <c r="B1189" s="14"/>
      <c r="C1189" s="2"/>
      <c r="D1189" s="2"/>
      <c r="E1189" s="2"/>
      <c r="F1189" s="2"/>
      <c r="G1189" s="2"/>
      <c r="H1189" s="3"/>
      <c r="I1189" s="2"/>
      <c r="J1189" s="2"/>
      <c r="K1189" s="4"/>
      <c r="L1189" s="4"/>
      <c r="M1189" s="2"/>
      <c r="N1189" s="2"/>
      <c r="O1189" s="2"/>
      <c r="P1189" s="2"/>
      <c r="Q1189" s="5"/>
      <c r="R1189" s="5"/>
      <c r="S1189" s="2"/>
      <c r="T1189" s="2"/>
      <c r="U1189" s="5"/>
      <c r="V1189" s="5"/>
      <c r="W1189" s="2"/>
      <c r="X1189" s="5"/>
      <c r="Y1189" s="1"/>
      <c r="Z1189" s="1"/>
      <c r="AA1189" s="1"/>
    </row>
    <row r="1190">
      <c r="A1190" s="1"/>
      <c r="B1190" s="14"/>
      <c r="C1190" s="2"/>
      <c r="D1190" s="2"/>
      <c r="E1190" s="2"/>
      <c r="F1190" s="2"/>
      <c r="G1190" s="2"/>
      <c r="H1190" s="3"/>
      <c r="I1190" s="2"/>
      <c r="J1190" s="2"/>
      <c r="K1190" s="4"/>
      <c r="L1190" s="4"/>
      <c r="M1190" s="2"/>
      <c r="N1190" s="2"/>
      <c r="O1190" s="2"/>
      <c r="P1190" s="2"/>
      <c r="Q1190" s="5"/>
      <c r="R1190" s="5"/>
      <c r="S1190" s="2"/>
      <c r="T1190" s="2"/>
      <c r="U1190" s="5"/>
      <c r="V1190" s="5"/>
      <c r="W1190" s="2"/>
      <c r="X1190" s="5"/>
      <c r="Y1190" s="1"/>
      <c r="Z1190" s="1"/>
      <c r="AA1190" s="1"/>
    </row>
    <row r="1191">
      <c r="A1191" s="1"/>
      <c r="B1191" s="14"/>
      <c r="C1191" s="2"/>
      <c r="D1191" s="2"/>
      <c r="E1191" s="2"/>
      <c r="F1191" s="2"/>
      <c r="G1191" s="2"/>
      <c r="H1191" s="3"/>
      <c r="I1191" s="2"/>
      <c r="J1191" s="2"/>
      <c r="K1191" s="4"/>
      <c r="L1191" s="4"/>
      <c r="M1191" s="2"/>
      <c r="N1191" s="2"/>
      <c r="O1191" s="2"/>
      <c r="P1191" s="2"/>
      <c r="Q1191" s="5"/>
      <c r="R1191" s="5"/>
      <c r="S1191" s="2"/>
      <c r="T1191" s="2"/>
      <c r="U1191" s="5"/>
      <c r="V1191" s="5"/>
      <c r="W1191" s="2"/>
      <c r="X1191" s="5"/>
      <c r="Y1191" s="1"/>
      <c r="Z1191" s="1"/>
      <c r="AA1191" s="1"/>
    </row>
    <row r="1192">
      <c r="A1192" s="1"/>
      <c r="B1192" s="14"/>
      <c r="C1192" s="2"/>
      <c r="D1192" s="2"/>
      <c r="E1192" s="2"/>
      <c r="F1192" s="2"/>
      <c r="G1192" s="2"/>
      <c r="H1192" s="3"/>
      <c r="I1192" s="2"/>
      <c r="J1192" s="2"/>
      <c r="K1192" s="4"/>
      <c r="L1192" s="4"/>
      <c r="M1192" s="2"/>
      <c r="N1192" s="2"/>
      <c r="O1192" s="2"/>
      <c r="P1192" s="2"/>
      <c r="Q1192" s="5"/>
      <c r="R1192" s="5"/>
      <c r="S1192" s="2"/>
      <c r="T1192" s="2"/>
      <c r="U1192" s="5"/>
      <c r="V1192" s="5"/>
      <c r="W1192" s="2"/>
      <c r="X1192" s="5"/>
      <c r="Y1192" s="1"/>
      <c r="Z1192" s="1"/>
      <c r="AA1192" s="1"/>
    </row>
    <row r="1193">
      <c r="A1193" s="1"/>
      <c r="B1193" s="14"/>
      <c r="C1193" s="2"/>
      <c r="D1193" s="2"/>
      <c r="E1193" s="2"/>
      <c r="F1193" s="2"/>
      <c r="G1193" s="2"/>
      <c r="H1193" s="3"/>
      <c r="I1193" s="2"/>
      <c r="J1193" s="2"/>
      <c r="K1193" s="4"/>
      <c r="L1193" s="4"/>
      <c r="M1193" s="2"/>
      <c r="N1193" s="2"/>
      <c r="O1193" s="2"/>
      <c r="P1193" s="2"/>
      <c r="Q1193" s="5"/>
      <c r="R1193" s="5"/>
      <c r="S1193" s="2"/>
      <c r="T1193" s="2"/>
      <c r="U1193" s="5"/>
      <c r="V1193" s="5"/>
      <c r="W1193" s="2"/>
      <c r="X1193" s="5"/>
      <c r="Y1193" s="1"/>
      <c r="Z1193" s="1"/>
      <c r="AA1193" s="1"/>
    </row>
    <row r="1194">
      <c r="A1194" s="1"/>
      <c r="B1194" s="14"/>
      <c r="C1194" s="2"/>
      <c r="D1194" s="2"/>
      <c r="E1194" s="2"/>
      <c r="F1194" s="2"/>
      <c r="G1194" s="2"/>
      <c r="H1194" s="3"/>
      <c r="I1194" s="2"/>
      <c r="J1194" s="2"/>
      <c r="K1194" s="4"/>
      <c r="L1194" s="4"/>
      <c r="M1194" s="2"/>
      <c r="N1194" s="2"/>
      <c r="O1194" s="2"/>
      <c r="P1194" s="2"/>
      <c r="Q1194" s="5"/>
      <c r="R1194" s="5"/>
      <c r="S1194" s="2"/>
      <c r="T1194" s="2"/>
      <c r="U1194" s="5"/>
      <c r="V1194" s="5"/>
      <c r="W1194" s="2"/>
      <c r="X1194" s="5"/>
      <c r="Y1194" s="1"/>
      <c r="Z1194" s="1"/>
      <c r="AA1194" s="1"/>
    </row>
    <row r="1195">
      <c r="A1195" s="1"/>
      <c r="B1195" s="14"/>
      <c r="C1195" s="2"/>
      <c r="D1195" s="2"/>
      <c r="E1195" s="2"/>
      <c r="F1195" s="2"/>
      <c r="G1195" s="2"/>
      <c r="H1195" s="3"/>
      <c r="I1195" s="2"/>
      <c r="J1195" s="2"/>
      <c r="K1195" s="4"/>
      <c r="L1195" s="4"/>
      <c r="M1195" s="2"/>
      <c r="N1195" s="2"/>
      <c r="O1195" s="2"/>
      <c r="P1195" s="2"/>
      <c r="Q1195" s="5"/>
      <c r="R1195" s="5"/>
      <c r="S1195" s="2"/>
      <c r="T1195" s="2"/>
      <c r="U1195" s="5"/>
      <c r="V1195" s="5"/>
      <c r="W1195" s="2"/>
      <c r="X1195" s="5"/>
      <c r="Y1195" s="1"/>
      <c r="Z1195" s="1"/>
      <c r="AA1195" s="1"/>
    </row>
    <row r="1196">
      <c r="A1196" s="1"/>
      <c r="B1196" s="14"/>
      <c r="C1196" s="2"/>
      <c r="D1196" s="2"/>
      <c r="E1196" s="2"/>
      <c r="F1196" s="2"/>
      <c r="G1196" s="2"/>
      <c r="H1196" s="3"/>
      <c r="I1196" s="2"/>
      <c r="J1196" s="2"/>
      <c r="K1196" s="4"/>
      <c r="L1196" s="4"/>
      <c r="M1196" s="2"/>
      <c r="N1196" s="2"/>
      <c r="O1196" s="2"/>
      <c r="P1196" s="2"/>
      <c r="Q1196" s="5"/>
      <c r="R1196" s="5"/>
      <c r="S1196" s="2"/>
      <c r="T1196" s="2"/>
      <c r="U1196" s="5"/>
      <c r="V1196" s="5"/>
      <c r="W1196" s="2"/>
      <c r="X1196" s="5"/>
      <c r="Y1196" s="1"/>
      <c r="Z1196" s="1"/>
      <c r="AA1196" s="1"/>
    </row>
    <row r="1197">
      <c r="A1197" s="1"/>
      <c r="B1197" s="14"/>
      <c r="C1197" s="2"/>
      <c r="D1197" s="2"/>
      <c r="E1197" s="2"/>
      <c r="F1197" s="2"/>
      <c r="G1197" s="2"/>
      <c r="H1197" s="3"/>
      <c r="I1197" s="2"/>
      <c r="J1197" s="2"/>
      <c r="K1197" s="4"/>
      <c r="L1197" s="4"/>
      <c r="M1197" s="2"/>
      <c r="N1197" s="2"/>
      <c r="O1197" s="2"/>
      <c r="P1197" s="2"/>
      <c r="Q1197" s="5"/>
      <c r="R1197" s="5"/>
      <c r="S1197" s="2"/>
      <c r="T1197" s="2"/>
      <c r="U1197" s="5"/>
      <c r="V1197" s="5"/>
      <c r="W1197" s="2"/>
      <c r="X1197" s="5"/>
      <c r="Y1197" s="1"/>
      <c r="Z1197" s="1"/>
      <c r="AA1197" s="1"/>
    </row>
    <row r="1198">
      <c r="A1198" s="1"/>
      <c r="B1198" s="14"/>
      <c r="C1198" s="2"/>
      <c r="D1198" s="2"/>
      <c r="E1198" s="2"/>
      <c r="F1198" s="2"/>
      <c r="G1198" s="2"/>
      <c r="H1198" s="3"/>
      <c r="I1198" s="2"/>
      <c r="J1198" s="2"/>
      <c r="K1198" s="4"/>
      <c r="L1198" s="4"/>
      <c r="M1198" s="2"/>
      <c r="N1198" s="2"/>
      <c r="O1198" s="2"/>
      <c r="P1198" s="2"/>
      <c r="Q1198" s="5"/>
      <c r="R1198" s="5"/>
      <c r="S1198" s="2"/>
      <c r="T1198" s="2"/>
      <c r="U1198" s="5"/>
      <c r="V1198" s="5"/>
      <c r="W1198" s="2"/>
      <c r="X1198" s="5"/>
      <c r="Y1198" s="1"/>
      <c r="Z1198" s="1"/>
      <c r="AA1198" s="1"/>
    </row>
    <row r="1199">
      <c r="A1199" s="1"/>
      <c r="B1199" s="14"/>
      <c r="C1199" s="2"/>
      <c r="D1199" s="2"/>
      <c r="E1199" s="2"/>
      <c r="F1199" s="2"/>
      <c r="G1199" s="2"/>
      <c r="H1199" s="3"/>
      <c r="I1199" s="2"/>
      <c r="J1199" s="2"/>
      <c r="K1199" s="4"/>
      <c r="L1199" s="4"/>
      <c r="M1199" s="2"/>
      <c r="N1199" s="2"/>
      <c r="O1199" s="2"/>
      <c r="P1199" s="2"/>
      <c r="Q1199" s="5"/>
      <c r="R1199" s="5"/>
      <c r="S1199" s="2"/>
      <c r="T1199" s="2"/>
      <c r="U1199" s="5"/>
      <c r="V1199" s="5"/>
      <c r="W1199" s="2"/>
      <c r="X1199" s="5"/>
      <c r="Y1199" s="1"/>
      <c r="Z1199" s="1"/>
      <c r="AA1199" s="1"/>
    </row>
    <row r="1200">
      <c r="A1200" s="1"/>
      <c r="B1200" s="14"/>
      <c r="C1200" s="2"/>
      <c r="D1200" s="2"/>
      <c r="E1200" s="2"/>
      <c r="F1200" s="2"/>
      <c r="G1200" s="2"/>
      <c r="H1200" s="3"/>
      <c r="I1200" s="2"/>
      <c r="J1200" s="2"/>
      <c r="K1200" s="4"/>
      <c r="L1200" s="4"/>
      <c r="M1200" s="2"/>
      <c r="N1200" s="2"/>
      <c r="O1200" s="2"/>
      <c r="P1200" s="2"/>
      <c r="Q1200" s="5"/>
      <c r="R1200" s="5"/>
      <c r="S1200" s="2"/>
      <c r="T1200" s="2"/>
      <c r="U1200" s="5"/>
      <c r="V1200" s="5"/>
      <c r="W1200" s="2"/>
      <c r="X1200" s="5"/>
      <c r="Y1200" s="1"/>
      <c r="Z1200" s="1"/>
      <c r="AA1200" s="1"/>
    </row>
    <row r="1201">
      <c r="A1201" s="1"/>
      <c r="B1201" s="14"/>
      <c r="C1201" s="2"/>
      <c r="D1201" s="2"/>
      <c r="E1201" s="2"/>
      <c r="F1201" s="2"/>
      <c r="G1201" s="2"/>
      <c r="H1201" s="3"/>
      <c r="I1201" s="2"/>
      <c r="J1201" s="2"/>
      <c r="K1201" s="4"/>
      <c r="L1201" s="4"/>
      <c r="M1201" s="2"/>
      <c r="N1201" s="2"/>
      <c r="O1201" s="2"/>
      <c r="P1201" s="2"/>
      <c r="Q1201" s="5"/>
      <c r="R1201" s="5"/>
      <c r="S1201" s="2"/>
      <c r="T1201" s="2"/>
      <c r="U1201" s="5"/>
      <c r="V1201" s="5"/>
      <c r="W1201" s="2"/>
      <c r="X1201" s="5"/>
      <c r="Y1201" s="1"/>
      <c r="Z1201" s="1"/>
      <c r="AA1201" s="1"/>
    </row>
    <row r="1202">
      <c r="A1202" s="1"/>
      <c r="B1202" s="14"/>
      <c r="C1202" s="2"/>
      <c r="D1202" s="2"/>
      <c r="E1202" s="2"/>
      <c r="F1202" s="2"/>
      <c r="G1202" s="2"/>
      <c r="H1202" s="3"/>
      <c r="I1202" s="2"/>
      <c r="J1202" s="2"/>
      <c r="K1202" s="4"/>
      <c r="L1202" s="4"/>
      <c r="M1202" s="2"/>
      <c r="N1202" s="2"/>
      <c r="O1202" s="2"/>
      <c r="P1202" s="2"/>
      <c r="Q1202" s="5"/>
      <c r="R1202" s="5"/>
      <c r="S1202" s="2"/>
      <c r="T1202" s="2"/>
      <c r="U1202" s="5"/>
      <c r="V1202" s="5"/>
      <c r="W1202" s="2"/>
      <c r="X1202" s="5"/>
      <c r="Y1202" s="1"/>
      <c r="Z1202" s="1"/>
      <c r="AA1202" s="1"/>
    </row>
    <row r="1203">
      <c r="A1203" s="1"/>
      <c r="B1203" s="14"/>
      <c r="C1203" s="2"/>
      <c r="D1203" s="2"/>
      <c r="E1203" s="2"/>
      <c r="F1203" s="2"/>
      <c r="G1203" s="2"/>
      <c r="H1203" s="3"/>
      <c r="I1203" s="2"/>
      <c r="J1203" s="2"/>
      <c r="K1203" s="4"/>
      <c r="L1203" s="4"/>
      <c r="M1203" s="2"/>
      <c r="N1203" s="2"/>
      <c r="O1203" s="2"/>
      <c r="P1203" s="2"/>
      <c r="Q1203" s="5"/>
      <c r="R1203" s="5"/>
      <c r="S1203" s="2"/>
      <c r="T1203" s="2"/>
      <c r="U1203" s="5"/>
      <c r="V1203" s="5"/>
      <c r="W1203" s="2"/>
      <c r="X1203" s="5"/>
      <c r="Y1203" s="1"/>
      <c r="Z1203" s="1"/>
      <c r="AA1203" s="1"/>
    </row>
    <row r="1204">
      <c r="A1204" s="1"/>
      <c r="B1204" s="14"/>
      <c r="C1204" s="2"/>
      <c r="D1204" s="2"/>
      <c r="E1204" s="2"/>
      <c r="F1204" s="2"/>
      <c r="G1204" s="2"/>
      <c r="H1204" s="3"/>
      <c r="I1204" s="2"/>
      <c r="J1204" s="2"/>
      <c r="K1204" s="4"/>
      <c r="L1204" s="4"/>
      <c r="M1204" s="2"/>
      <c r="N1204" s="2"/>
      <c r="O1204" s="2"/>
      <c r="P1204" s="2"/>
      <c r="Q1204" s="5"/>
      <c r="R1204" s="5"/>
      <c r="S1204" s="2"/>
      <c r="T1204" s="2"/>
      <c r="U1204" s="5"/>
      <c r="V1204" s="5"/>
      <c r="W1204" s="2"/>
      <c r="X1204" s="5"/>
      <c r="Y1204" s="1"/>
      <c r="Z1204" s="1"/>
      <c r="AA1204" s="1"/>
    </row>
    <row r="1205">
      <c r="A1205" s="1"/>
      <c r="B1205" s="14"/>
      <c r="C1205" s="2"/>
      <c r="D1205" s="2"/>
      <c r="E1205" s="2"/>
      <c r="F1205" s="2"/>
      <c r="G1205" s="2"/>
      <c r="H1205" s="3"/>
      <c r="I1205" s="2"/>
      <c r="J1205" s="2"/>
      <c r="K1205" s="4"/>
      <c r="L1205" s="4"/>
      <c r="M1205" s="2"/>
      <c r="N1205" s="2"/>
      <c r="O1205" s="2"/>
      <c r="P1205" s="2"/>
      <c r="Q1205" s="5"/>
      <c r="R1205" s="5"/>
      <c r="S1205" s="2"/>
      <c r="T1205" s="2"/>
      <c r="U1205" s="5"/>
      <c r="V1205" s="5"/>
      <c r="W1205" s="2"/>
      <c r="X1205" s="5"/>
      <c r="Y1205" s="1"/>
      <c r="Z1205" s="1"/>
      <c r="AA1205" s="1"/>
    </row>
    <row r="1206">
      <c r="A1206" s="1"/>
      <c r="B1206" s="14"/>
      <c r="C1206" s="2"/>
      <c r="D1206" s="2"/>
      <c r="E1206" s="2"/>
      <c r="F1206" s="2"/>
      <c r="G1206" s="2"/>
      <c r="H1206" s="3"/>
      <c r="I1206" s="2"/>
      <c r="J1206" s="2"/>
      <c r="K1206" s="4"/>
      <c r="L1206" s="4"/>
      <c r="M1206" s="2"/>
      <c r="N1206" s="2"/>
      <c r="O1206" s="2"/>
      <c r="P1206" s="2"/>
      <c r="Q1206" s="5"/>
      <c r="R1206" s="5"/>
      <c r="S1206" s="2"/>
      <c r="T1206" s="2"/>
      <c r="U1206" s="5"/>
      <c r="V1206" s="5"/>
      <c r="W1206" s="2"/>
      <c r="X1206" s="5"/>
      <c r="Y1206" s="1"/>
      <c r="Z1206" s="1"/>
      <c r="AA1206" s="1"/>
    </row>
    <row r="1207">
      <c r="A1207" s="1"/>
      <c r="B1207" s="14"/>
      <c r="C1207" s="2"/>
      <c r="D1207" s="2"/>
      <c r="E1207" s="2"/>
      <c r="F1207" s="2"/>
      <c r="G1207" s="2"/>
      <c r="H1207" s="3"/>
      <c r="I1207" s="2"/>
      <c r="J1207" s="2"/>
      <c r="K1207" s="4"/>
      <c r="L1207" s="4"/>
      <c r="M1207" s="2"/>
      <c r="N1207" s="2"/>
      <c r="O1207" s="2"/>
      <c r="P1207" s="2"/>
      <c r="Q1207" s="5"/>
      <c r="R1207" s="5"/>
      <c r="S1207" s="2"/>
      <c r="T1207" s="2"/>
      <c r="U1207" s="5"/>
      <c r="V1207" s="5"/>
      <c r="W1207" s="2"/>
      <c r="X1207" s="5"/>
      <c r="Y1207" s="1"/>
      <c r="Z1207" s="1"/>
      <c r="AA1207" s="1"/>
    </row>
    <row r="1208">
      <c r="A1208" s="1"/>
      <c r="B1208" s="14"/>
      <c r="C1208" s="2"/>
      <c r="D1208" s="2"/>
      <c r="E1208" s="2"/>
      <c r="F1208" s="2"/>
      <c r="G1208" s="2"/>
      <c r="H1208" s="3"/>
      <c r="I1208" s="2"/>
      <c r="J1208" s="2"/>
      <c r="K1208" s="4"/>
      <c r="L1208" s="4"/>
      <c r="M1208" s="2"/>
      <c r="N1208" s="2"/>
      <c r="O1208" s="2"/>
      <c r="P1208" s="2"/>
      <c r="Q1208" s="5"/>
      <c r="R1208" s="5"/>
      <c r="S1208" s="2"/>
      <c r="T1208" s="2"/>
      <c r="U1208" s="5"/>
      <c r="V1208" s="5"/>
      <c r="W1208" s="2"/>
      <c r="X1208" s="5"/>
      <c r="Y1208" s="1"/>
      <c r="Z1208" s="1"/>
      <c r="AA1208" s="1"/>
    </row>
    <row r="1209">
      <c r="A1209" s="1"/>
      <c r="B1209" s="14"/>
      <c r="C1209" s="2"/>
      <c r="D1209" s="2"/>
      <c r="E1209" s="2"/>
      <c r="F1209" s="2"/>
      <c r="G1209" s="2"/>
      <c r="H1209" s="3"/>
      <c r="I1209" s="2"/>
      <c r="J1209" s="2"/>
      <c r="K1209" s="4"/>
      <c r="L1209" s="4"/>
      <c r="M1209" s="2"/>
      <c r="N1209" s="2"/>
      <c r="O1209" s="2"/>
      <c r="P1209" s="2"/>
      <c r="Q1209" s="5"/>
      <c r="R1209" s="5"/>
      <c r="S1209" s="2"/>
      <c r="T1209" s="2"/>
      <c r="U1209" s="5"/>
      <c r="V1209" s="5"/>
      <c r="W1209" s="2"/>
      <c r="X1209" s="5"/>
      <c r="Y1209" s="1"/>
      <c r="Z1209" s="1"/>
      <c r="AA1209" s="1"/>
    </row>
    <row r="1210">
      <c r="A1210" s="1"/>
      <c r="B1210" s="14"/>
      <c r="C1210" s="2"/>
      <c r="D1210" s="2"/>
      <c r="E1210" s="2"/>
      <c r="F1210" s="2"/>
      <c r="G1210" s="2"/>
      <c r="H1210" s="3"/>
      <c r="I1210" s="2"/>
      <c r="J1210" s="2"/>
      <c r="K1210" s="4"/>
      <c r="L1210" s="4"/>
      <c r="M1210" s="2"/>
      <c r="N1210" s="2"/>
      <c r="O1210" s="2"/>
      <c r="P1210" s="2"/>
      <c r="Q1210" s="5"/>
      <c r="R1210" s="5"/>
      <c r="S1210" s="2"/>
      <c r="T1210" s="2"/>
      <c r="U1210" s="5"/>
      <c r="V1210" s="5"/>
      <c r="W1210" s="2"/>
      <c r="X1210" s="5"/>
      <c r="Y1210" s="1"/>
      <c r="Z1210" s="1"/>
      <c r="AA1210" s="1"/>
    </row>
    <row r="1211">
      <c r="A1211" s="1"/>
      <c r="B1211" s="14"/>
      <c r="C1211" s="2"/>
      <c r="D1211" s="2"/>
      <c r="E1211" s="2"/>
      <c r="F1211" s="2"/>
      <c r="G1211" s="2"/>
      <c r="H1211" s="3"/>
      <c r="I1211" s="2"/>
      <c r="J1211" s="2"/>
      <c r="K1211" s="4"/>
      <c r="L1211" s="4"/>
      <c r="M1211" s="2"/>
      <c r="N1211" s="2"/>
      <c r="O1211" s="2"/>
      <c r="P1211" s="2"/>
      <c r="Q1211" s="5"/>
      <c r="R1211" s="5"/>
      <c r="S1211" s="2"/>
      <c r="T1211" s="2"/>
      <c r="U1211" s="5"/>
      <c r="V1211" s="5"/>
      <c r="W1211" s="2"/>
      <c r="X1211" s="5"/>
      <c r="Y1211" s="1"/>
      <c r="Z1211" s="1"/>
      <c r="AA1211" s="1"/>
    </row>
    <row r="1212">
      <c r="A1212" s="1"/>
      <c r="B1212" s="14"/>
      <c r="C1212" s="2"/>
      <c r="D1212" s="2"/>
      <c r="E1212" s="2"/>
      <c r="F1212" s="2"/>
      <c r="G1212" s="2"/>
      <c r="H1212" s="3"/>
      <c r="I1212" s="2"/>
      <c r="J1212" s="2"/>
      <c r="K1212" s="4"/>
      <c r="L1212" s="4"/>
      <c r="M1212" s="2"/>
      <c r="N1212" s="2"/>
      <c r="O1212" s="2"/>
      <c r="P1212" s="2"/>
      <c r="Q1212" s="5"/>
      <c r="R1212" s="5"/>
      <c r="S1212" s="2"/>
      <c r="T1212" s="2"/>
      <c r="U1212" s="5"/>
      <c r="V1212" s="5"/>
      <c r="W1212" s="2"/>
      <c r="X1212" s="5"/>
      <c r="Y1212" s="1"/>
      <c r="Z1212" s="1"/>
      <c r="AA1212" s="1"/>
    </row>
    <row r="1213">
      <c r="A1213" s="1"/>
      <c r="B1213" s="14"/>
      <c r="C1213" s="2"/>
      <c r="D1213" s="2"/>
      <c r="E1213" s="2"/>
      <c r="F1213" s="2"/>
      <c r="G1213" s="2"/>
      <c r="H1213" s="3"/>
      <c r="I1213" s="2"/>
      <c r="J1213" s="2"/>
      <c r="K1213" s="4"/>
      <c r="L1213" s="4"/>
      <c r="M1213" s="2"/>
      <c r="N1213" s="2"/>
      <c r="O1213" s="2"/>
      <c r="P1213" s="2"/>
      <c r="Q1213" s="5"/>
      <c r="R1213" s="5"/>
      <c r="S1213" s="2"/>
      <c r="T1213" s="2"/>
      <c r="U1213" s="5"/>
      <c r="V1213" s="5"/>
      <c r="W1213" s="2"/>
      <c r="X1213" s="5"/>
      <c r="Y1213" s="1"/>
      <c r="Z1213" s="1"/>
      <c r="AA1213" s="1"/>
    </row>
    <row r="1214">
      <c r="A1214" s="1"/>
      <c r="B1214" s="14"/>
      <c r="C1214" s="2"/>
      <c r="D1214" s="2"/>
      <c r="E1214" s="2"/>
      <c r="F1214" s="2"/>
      <c r="G1214" s="2"/>
      <c r="H1214" s="3"/>
      <c r="I1214" s="2"/>
      <c r="J1214" s="2"/>
      <c r="K1214" s="4"/>
      <c r="L1214" s="4"/>
      <c r="M1214" s="2"/>
      <c r="N1214" s="2"/>
      <c r="O1214" s="2"/>
      <c r="P1214" s="2"/>
      <c r="Q1214" s="5"/>
      <c r="R1214" s="5"/>
      <c r="S1214" s="2"/>
      <c r="T1214" s="2"/>
      <c r="U1214" s="5"/>
      <c r="V1214" s="5"/>
      <c r="W1214" s="2"/>
      <c r="X1214" s="5"/>
      <c r="Y1214" s="1"/>
      <c r="Z1214" s="1"/>
      <c r="AA1214" s="1"/>
    </row>
    <row r="1215">
      <c r="A1215" s="1"/>
      <c r="B1215" s="14"/>
      <c r="C1215" s="2"/>
      <c r="D1215" s="2"/>
      <c r="E1215" s="2"/>
      <c r="F1215" s="2"/>
      <c r="G1215" s="2"/>
      <c r="H1215" s="3"/>
      <c r="I1215" s="2"/>
      <c r="J1215" s="2"/>
      <c r="K1215" s="4"/>
      <c r="L1215" s="4"/>
      <c r="M1215" s="2"/>
      <c r="N1215" s="2"/>
      <c r="O1215" s="2"/>
      <c r="P1215" s="2"/>
      <c r="Q1215" s="5"/>
      <c r="R1215" s="5"/>
      <c r="S1215" s="2"/>
      <c r="T1215" s="2"/>
      <c r="U1215" s="5"/>
      <c r="V1215" s="5"/>
      <c r="W1215" s="2"/>
      <c r="X1215" s="5"/>
      <c r="Y1215" s="1"/>
      <c r="Z1215" s="1"/>
      <c r="AA1215" s="1"/>
    </row>
    <row r="1216">
      <c r="A1216" s="1"/>
      <c r="B1216" s="14"/>
      <c r="C1216" s="2"/>
      <c r="D1216" s="2"/>
      <c r="E1216" s="2"/>
      <c r="F1216" s="2"/>
      <c r="G1216" s="2"/>
      <c r="H1216" s="3"/>
      <c r="I1216" s="2"/>
      <c r="J1216" s="2"/>
      <c r="K1216" s="4"/>
      <c r="L1216" s="4"/>
      <c r="M1216" s="2"/>
      <c r="N1216" s="2"/>
      <c r="O1216" s="2"/>
      <c r="P1216" s="2"/>
      <c r="Q1216" s="5"/>
      <c r="R1216" s="5"/>
      <c r="S1216" s="2"/>
      <c r="T1216" s="2"/>
      <c r="U1216" s="5"/>
      <c r="V1216" s="5"/>
      <c r="W1216" s="2"/>
      <c r="X1216" s="5"/>
      <c r="Y1216" s="1"/>
      <c r="Z1216" s="1"/>
      <c r="AA1216" s="1"/>
    </row>
    <row r="1217">
      <c r="A1217" s="1"/>
      <c r="B1217" s="14"/>
      <c r="C1217" s="2"/>
      <c r="D1217" s="2"/>
      <c r="E1217" s="2"/>
      <c r="F1217" s="2"/>
      <c r="G1217" s="2"/>
      <c r="H1217" s="3"/>
      <c r="I1217" s="2"/>
      <c r="J1217" s="2"/>
      <c r="K1217" s="4"/>
      <c r="L1217" s="4"/>
      <c r="M1217" s="2"/>
      <c r="N1217" s="2"/>
      <c r="O1217" s="2"/>
      <c r="P1217" s="2"/>
      <c r="Q1217" s="5"/>
      <c r="R1217" s="5"/>
      <c r="S1217" s="2"/>
      <c r="T1217" s="2"/>
      <c r="U1217" s="5"/>
      <c r="V1217" s="5"/>
      <c r="W1217" s="2"/>
      <c r="X1217" s="5"/>
      <c r="Y1217" s="1"/>
      <c r="Z1217" s="1"/>
      <c r="AA1217" s="1"/>
    </row>
    <row r="1218">
      <c r="A1218" s="1"/>
      <c r="B1218" s="14"/>
      <c r="C1218" s="2"/>
      <c r="D1218" s="2"/>
      <c r="E1218" s="2"/>
      <c r="F1218" s="2"/>
      <c r="G1218" s="2"/>
      <c r="H1218" s="3"/>
      <c r="I1218" s="2"/>
      <c r="J1218" s="2"/>
      <c r="K1218" s="4"/>
      <c r="L1218" s="4"/>
      <c r="M1218" s="2"/>
      <c r="N1218" s="2"/>
      <c r="O1218" s="2"/>
      <c r="P1218" s="2"/>
      <c r="Q1218" s="5"/>
      <c r="R1218" s="5"/>
      <c r="S1218" s="2"/>
      <c r="T1218" s="2"/>
      <c r="U1218" s="5"/>
      <c r="V1218" s="5"/>
      <c r="W1218" s="2"/>
      <c r="X1218" s="5"/>
      <c r="Y1218" s="1"/>
      <c r="Z1218" s="1"/>
      <c r="AA1218" s="1"/>
    </row>
    <row r="1219">
      <c r="A1219" s="1"/>
      <c r="B1219" s="14"/>
      <c r="C1219" s="2"/>
      <c r="D1219" s="2"/>
      <c r="E1219" s="2"/>
      <c r="F1219" s="2"/>
      <c r="G1219" s="2"/>
      <c r="H1219" s="3"/>
      <c r="I1219" s="2"/>
      <c r="J1219" s="2"/>
      <c r="K1219" s="4"/>
      <c r="L1219" s="4"/>
      <c r="M1219" s="2"/>
      <c r="N1219" s="2"/>
      <c r="O1219" s="2"/>
      <c r="P1219" s="2"/>
      <c r="Q1219" s="5"/>
      <c r="R1219" s="5"/>
      <c r="S1219" s="2"/>
      <c r="T1219" s="2"/>
      <c r="U1219" s="5"/>
      <c r="V1219" s="5"/>
      <c r="W1219" s="2"/>
      <c r="X1219" s="5"/>
      <c r="Y1219" s="1"/>
      <c r="Z1219" s="1"/>
      <c r="AA1219" s="1"/>
    </row>
    <row r="1220">
      <c r="A1220" s="1"/>
      <c r="B1220" s="14"/>
      <c r="C1220" s="2"/>
      <c r="D1220" s="2"/>
      <c r="E1220" s="2"/>
      <c r="F1220" s="2"/>
      <c r="G1220" s="2"/>
      <c r="H1220" s="3"/>
      <c r="I1220" s="2"/>
      <c r="J1220" s="2"/>
      <c r="K1220" s="4"/>
      <c r="L1220" s="4"/>
      <c r="M1220" s="2"/>
      <c r="N1220" s="2"/>
      <c r="O1220" s="2"/>
      <c r="P1220" s="2"/>
      <c r="Q1220" s="5"/>
      <c r="R1220" s="5"/>
      <c r="S1220" s="2"/>
      <c r="T1220" s="2"/>
      <c r="U1220" s="5"/>
      <c r="V1220" s="5"/>
      <c r="W1220" s="2"/>
      <c r="X1220" s="5"/>
      <c r="Y1220" s="1"/>
      <c r="Z1220" s="1"/>
      <c r="AA1220" s="1"/>
    </row>
    <row r="1221">
      <c r="A1221" s="1"/>
      <c r="B1221" s="14"/>
      <c r="C1221" s="2"/>
      <c r="D1221" s="2"/>
      <c r="E1221" s="2"/>
      <c r="F1221" s="2"/>
      <c r="G1221" s="2"/>
      <c r="H1221" s="3"/>
      <c r="I1221" s="2"/>
      <c r="J1221" s="2"/>
      <c r="K1221" s="4"/>
      <c r="L1221" s="4"/>
      <c r="M1221" s="2"/>
      <c r="N1221" s="2"/>
      <c r="O1221" s="2"/>
      <c r="P1221" s="2"/>
      <c r="Q1221" s="5"/>
      <c r="R1221" s="5"/>
      <c r="S1221" s="2"/>
      <c r="T1221" s="2"/>
      <c r="U1221" s="5"/>
      <c r="V1221" s="5"/>
      <c r="W1221" s="2"/>
      <c r="X1221" s="5"/>
      <c r="Y1221" s="1"/>
      <c r="Z1221" s="1"/>
      <c r="AA1221" s="1"/>
    </row>
    <row r="1222">
      <c r="A1222" s="1"/>
      <c r="B1222" s="14"/>
      <c r="C1222" s="2"/>
      <c r="D1222" s="2"/>
      <c r="E1222" s="2"/>
      <c r="F1222" s="2"/>
      <c r="G1222" s="2"/>
      <c r="H1222" s="3"/>
      <c r="I1222" s="2"/>
      <c r="J1222" s="2"/>
      <c r="K1222" s="4"/>
      <c r="L1222" s="4"/>
      <c r="M1222" s="2"/>
      <c r="N1222" s="2"/>
      <c r="O1222" s="2"/>
      <c r="P1222" s="2"/>
      <c r="Q1222" s="5"/>
      <c r="R1222" s="5"/>
      <c r="S1222" s="2"/>
      <c r="T1222" s="2"/>
      <c r="U1222" s="5"/>
      <c r="V1222" s="5"/>
      <c r="W1222" s="2"/>
      <c r="X1222" s="5"/>
      <c r="Y1222" s="1"/>
      <c r="Z1222" s="1"/>
      <c r="AA1222" s="1"/>
    </row>
    <row r="1223">
      <c r="A1223" s="1"/>
      <c r="B1223" s="14"/>
      <c r="C1223" s="2"/>
      <c r="D1223" s="2"/>
      <c r="E1223" s="2"/>
      <c r="F1223" s="2"/>
      <c r="G1223" s="2"/>
      <c r="H1223" s="3"/>
      <c r="I1223" s="2"/>
      <c r="J1223" s="2"/>
      <c r="K1223" s="4"/>
      <c r="L1223" s="4"/>
      <c r="M1223" s="2"/>
      <c r="N1223" s="2"/>
      <c r="O1223" s="2"/>
      <c r="P1223" s="2"/>
      <c r="Q1223" s="5"/>
      <c r="R1223" s="5"/>
      <c r="S1223" s="2"/>
      <c r="T1223" s="2"/>
      <c r="U1223" s="5"/>
      <c r="V1223" s="5"/>
      <c r="W1223" s="2"/>
      <c r="X1223" s="5"/>
      <c r="Y1223" s="1"/>
      <c r="Z1223" s="1"/>
      <c r="AA1223" s="1"/>
    </row>
    <row r="1224">
      <c r="A1224" s="1"/>
      <c r="B1224" s="14"/>
      <c r="C1224" s="2"/>
      <c r="D1224" s="2"/>
      <c r="E1224" s="2"/>
      <c r="F1224" s="2"/>
      <c r="G1224" s="2"/>
      <c r="H1224" s="3"/>
      <c r="I1224" s="2"/>
      <c r="J1224" s="2"/>
      <c r="K1224" s="4"/>
      <c r="L1224" s="4"/>
      <c r="M1224" s="2"/>
      <c r="N1224" s="2"/>
      <c r="O1224" s="2"/>
      <c r="P1224" s="2"/>
      <c r="Q1224" s="5"/>
      <c r="R1224" s="5"/>
      <c r="S1224" s="2"/>
      <c r="T1224" s="2"/>
      <c r="U1224" s="5"/>
      <c r="V1224" s="5"/>
      <c r="W1224" s="2"/>
      <c r="X1224" s="5"/>
      <c r="Y1224" s="1"/>
      <c r="Z1224" s="1"/>
      <c r="AA1224" s="1"/>
    </row>
    <row r="1225">
      <c r="A1225" s="1"/>
      <c r="B1225" s="14"/>
      <c r="C1225" s="2"/>
      <c r="D1225" s="2"/>
      <c r="E1225" s="2"/>
      <c r="F1225" s="2"/>
      <c r="G1225" s="2"/>
      <c r="H1225" s="3"/>
      <c r="I1225" s="2"/>
      <c r="J1225" s="2"/>
      <c r="K1225" s="4"/>
      <c r="L1225" s="4"/>
      <c r="M1225" s="2"/>
      <c r="N1225" s="2"/>
      <c r="O1225" s="2"/>
      <c r="P1225" s="2"/>
      <c r="Q1225" s="5"/>
      <c r="R1225" s="5"/>
      <c r="S1225" s="2"/>
      <c r="T1225" s="2"/>
      <c r="U1225" s="5"/>
      <c r="V1225" s="5"/>
      <c r="W1225" s="2"/>
      <c r="X1225" s="5"/>
      <c r="Y1225" s="1"/>
      <c r="Z1225" s="1"/>
      <c r="AA1225" s="1"/>
    </row>
    <row r="1226">
      <c r="A1226" s="1"/>
      <c r="B1226" s="14"/>
      <c r="C1226" s="2"/>
      <c r="D1226" s="2"/>
      <c r="E1226" s="2"/>
      <c r="F1226" s="2"/>
      <c r="G1226" s="2"/>
      <c r="H1226" s="3"/>
      <c r="I1226" s="2"/>
      <c r="J1226" s="2"/>
      <c r="K1226" s="4"/>
      <c r="L1226" s="4"/>
      <c r="M1226" s="2"/>
      <c r="N1226" s="2"/>
      <c r="O1226" s="2"/>
      <c r="P1226" s="2"/>
      <c r="Q1226" s="5"/>
      <c r="R1226" s="5"/>
      <c r="S1226" s="2"/>
      <c r="T1226" s="2"/>
      <c r="U1226" s="5"/>
      <c r="V1226" s="5"/>
      <c r="W1226" s="2"/>
      <c r="X1226" s="5"/>
      <c r="Y1226" s="1"/>
      <c r="Z1226" s="1"/>
      <c r="AA1226" s="1"/>
    </row>
    <row r="1227">
      <c r="A1227" s="1"/>
      <c r="B1227" s="14"/>
      <c r="C1227" s="2"/>
      <c r="D1227" s="2"/>
      <c r="E1227" s="2"/>
      <c r="F1227" s="2"/>
      <c r="G1227" s="2"/>
      <c r="H1227" s="3"/>
      <c r="I1227" s="2"/>
      <c r="J1227" s="2"/>
      <c r="K1227" s="4"/>
      <c r="L1227" s="4"/>
      <c r="M1227" s="2"/>
      <c r="N1227" s="2"/>
      <c r="O1227" s="2"/>
      <c r="P1227" s="2"/>
      <c r="Q1227" s="5"/>
      <c r="R1227" s="5"/>
      <c r="S1227" s="2"/>
      <c r="T1227" s="2"/>
      <c r="U1227" s="5"/>
      <c r="V1227" s="5"/>
      <c r="W1227" s="2"/>
      <c r="X1227" s="5"/>
      <c r="Y1227" s="1"/>
      <c r="Z1227" s="1"/>
      <c r="AA1227" s="1"/>
    </row>
    <row r="1228">
      <c r="A1228" s="1"/>
      <c r="B1228" s="14"/>
      <c r="C1228" s="2"/>
      <c r="D1228" s="2"/>
      <c r="E1228" s="2"/>
      <c r="F1228" s="2"/>
      <c r="G1228" s="2"/>
      <c r="H1228" s="3"/>
      <c r="I1228" s="2"/>
      <c r="J1228" s="2"/>
      <c r="K1228" s="4"/>
      <c r="L1228" s="4"/>
      <c r="M1228" s="2"/>
      <c r="N1228" s="2"/>
      <c r="O1228" s="2"/>
      <c r="P1228" s="2"/>
      <c r="Q1228" s="5"/>
      <c r="R1228" s="5"/>
      <c r="S1228" s="2"/>
      <c r="T1228" s="2"/>
      <c r="U1228" s="5"/>
      <c r="V1228" s="5"/>
      <c r="W1228" s="2"/>
      <c r="X1228" s="5"/>
      <c r="Y1228" s="1"/>
      <c r="Z1228" s="1"/>
      <c r="AA1228" s="1"/>
    </row>
    <row r="1229">
      <c r="A1229" s="1"/>
      <c r="B1229" s="14"/>
      <c r="C1229" s="2"/>
      <c r="D1229" s="2"/>
      <c r="E1229" s="2"/>
      <c r="F1229" s="2"/>
      <c r="G1229" s="2"/>
      <c r="H1229" s="3"/>
      <c r="I1229" s="2"/>
      <c r="J1229" s="2"/>
      <c r="K1229" s="4"/>
      <c r="L1229" s="4"/>
      <c r="M1229" s="2"/>
      <c r="N1229" s="2"/>
      <c r="O1229" s="2"/>
      <c r="P1229" s="2"/>
      <c r="Q1229" s="5"/>
      <c r="R1229" s="5"/>
      <c r="S1229" s="2"/>
      <c r="T1229" s="2"/>
      <c r="U1229" s="5"/>
      <c r="V1229" s="5"/>
      <c r="W1229" s="2"/>
      <c r="X1229" s="5"/>
      <c r="Y1229" s="1"/>
      <c r="Z1229" s="1"/>
      <c r="AA1229" s="1"/>
    </row>
    <row r="1230">
      <c r="A1230" s="1"/>
      <c r="B1230" s="14"/>
      <c r="C1230" s="2"/>
      <c r="D1230" s="2"/>
      <c r="E1230" s="2"/>
      <c r="F1230" s="2"/>
      <c r="G1230" s="2"/>
      <c r="H1230" s="3"/>
      <c r="I1230" s="2"/>
      <c r="J1230" s="2"/>
      <c r="K1230" s="4"/>
      <c r="L1230" s="4"/>
      <c r="M1230" s="2"/>
      <c r="N1230" s="2"/>
      <c r="O1230" s="2"/>
      <c r="P1230" s="2"/>
      <c r="Q1230" s="5"/>
      <c r="R1230" s="5"/>
      <c r="S1230" s="2"/>
      <c r="T1230" s="2"/>
      <c r="U1230" s="5"/>
      <c r="V1230" s="5"/>
      <c r="W1230" s="2"/>
      <c r="X1230" s="5"/>
      <c r="Y1230" s="1"/>
      <c r="Z1230" s="1"/>
      <c r="AA1230" s="1"/>
    </row>
    <row r="1231">
      <c r="A1231" s="1"/>
      <c r="B1231" s="14"/>
      <c r="C1231" s="2"/>
      <c r="D1231" s="2"/>
      <c r="E1231" s="2"/>
      <c r="F1231" s="2"/>
      <c r="G1231" s="2"/>
      <c r="H1231" s="3"/>
      <c r="I1231" s="2"/>
      <c r="J1231" s="2"/>
      <c r="K1231" s="4"/>
      <c r="L1231" s="4"/>
      <c r="M1231" s="2"/>
      <c r="N1231" s="2"/>
      <c r="O1231" s="2"/>
      <c r="P1231" s="2"/>
      <c r="Q1231" s="5"/>
      <c r="R1231" s="5"/>
      <c r="S1231" s="2"/>
      <c r="T1231" s="2"/>
      <c r="U1231" s="5"/>
      <c r="V1231" s="5"/>
      <c r="W1231" s="2"/>
      <c r="X1231" s="5"/>
      <c r="Y1231" s="1"/>
      <c r="Z1231" s="1"/>
      <c r="AA1231" s="1"/>
    </row>
    <row r="1232">
      <c r="A1232" s="1"/>
      <c r="B1232" s="14"/>
      <c r="C1232" s="2"/>
      <c r="D1232" s="2"/>
      <c r="E1232" s="2"/>
      <c r="F1232" s="2"/>
      <c r="G1232" s="2"/>
      <c r="H1232" s="3"/>
      <c r="I1232" s="2"/>
      <c r="J1232" s="2"/>
      <c r="K1232" s="4"/>
      <c r="L1232" s="4"/>
      <c r="M1232" s="2"/>
      <c r="N1232" s="2"/>
      <c r="O1232" s="2"/>
      <c r="P1232" s="2"/>
      <c r="Q1232" s="5"/>
      <c r="R1232" s="5"/>
      <c r="S1232" s="2"/>
      <c r="T1232" s="2"/>
      <c r="U1232" s="5"/>
      <c r="V1232" s="5"/>
      <c r="W1232" s="2"/>
      <c r="X1232" s="5"/>
      <c r="Y1232" s="1"/>
      <c r="Z1232" s="1"/>
      <c r="AA1232" s="1"/>
    </row>
    <row r="1233">
      <c r="A1233" s="1"/>
      <c r="B1233" s="14"/>
      <c r="C1233" s="2"/>
      <c r="D1233" s="2"/>
      <c r="E1233" s="2"/>
      <c r="F1233" s="2"/>
      <c r="G1233" s="2"/>
      <c r="H1233" s="3"/>
      <c r="I1233" s="2"/>
      <c r="J1233" s="2"/>
      <c r="K1233" s="4"/>
      <c r="L1233" s="4"/>
      <c r="M1233" s="2"/>
      <c r="N1233" s="2"/>
      <c r="O1233" s="2"/>
      <c r="P1233" s="2"/>
      <c r="Q1233" s="5"/>
      <c r="R1233" s="5"/>
      <c r="S1233" s="2"/>
      <c r="T1233" s="2"/>
      <c r="U1233" s="5"/>
      <c r="V1233" s="5"/>
      <c r="W1233" s="2"/>
      <c r="X1233" s="5"/>
      <c r="Y1233" s="1"/>
      <c r="Z1233" s="1"/>
      <c r="AA1233" s="1"/>
    </row>
    <row r="1234">
      <c r="A1234" s="1"/>
      <c r="B1234" s="14"/>
      <c r="C1234" s="2"/>
      <c r="D1234" s="2"/>
      <c r="E1234" s="2"/>
      <c r="F1234" s="2"/>
      <c r="G1234" s="2"/>
      <c r="H1234" s="3"/>
      <c r="I1234" s="2"/>
      <c r="J1234" s="2"/>
      <c r="K1234" s="4"/>
      <c r="L1234" s="4"/>
      <c r="M1234" s="2"/>
      <c r="N1234" s="2"/>
      <c r="O1234" s="2"/>
      <c r="P1234" s="2"/>
      <c r="Q1234" s="5"/>
      <c r="R1234" s="5"/>
      <c r="S1234" s="2"/>
      <c r="T1234" s="2"/>
      <c r="U1234" s="5"/>
      <c r="V1234" s="5"/>
      <c r="W1234" s="2"/>
      <c r="X1234" s="5"/>
      <c r="Y1234" s="1"/>
      <c r="Z1234" s="1"/>
      <c r="AA1234" s="1"/>
    </row>
    <row r="1235">
      <c r="A1235" s="1"/>
      <c r="B1235" s="14"/>
      <c r="C1235" s="2"/>
      <c r="D1235" s="2"/>
      <c r="E1235" s="2"/>
      <c r="F1235" s="2"/>
      <c r="G1235" s="2"/>
      <c r="H1235" s="3"/>
      <c r="I1235" s="2"/>
      <c r="J1235" s="2"/>
      <c r="K1235" s="4"/>
      <c r="L1235" s="4"/>
      <c r="M1235" s="2"/>
      <c r="N1235" s="2"/>
      <c r="O1235" s="2"/>
      <c r="P1235" s="2"/>
      <c r="Q1235" s="5"/>
      <c r="R1235" s="5"/>
      <c r="S1235" s="2"/>
      <c r="T1235" s="2"/>
      <c r="U1235" s="5"/>
      <c r="V1235" s="5"/>
      <c r="W1235" s="2"/>
      <c r="X1235" s="5"/>
      <c r="Y1235" s="1"/>
      <c r="Z1235" s="1"/>
      <c r="AA1235" s="1"/>
    </row>
    <row r="1236">
      <c r="A1236" s="1"/>
      <c r="B1236" s="14"/>
      <c r="C1236" s="2"/>
      <c r="D1236" s="2"/>
      <c r="E1236" s="2"/>
      <c r="F1236" s="2"/>
      <c r="G1236" s="2"/>
      <c r="H1236" s="3"/>
      <c r="I1236" s="2"/>
      <c r="J1236" s="2"/>
      <c r="K1236" s="4"/>
      <c r="L1236" s="4"/>
      <c r="M1236" s="2"/>
      <c r="N1236" s="2"/>
      <c r="O1236" s="2"/>
      <c r="P1236" s="2"/>
      <c r="Q1236" s="5"/>
      <c r="R1236" s="5"/>
      <c r="S1236" s="2"/>
      <c r="T1236" s="2"/>
      <c r="U1236" s="5"/>
      <c r="V1236" s="5"/>
      <c r="W1236" s="2"/>
      <c r="X1236" s="5"/>
      <c r="Y1236" s="1"/>
      <c r="Z1236" s="1"/>
      <c r="AA1236" s="1"/>
    </row>
    <row r="1237">
      <c r="A1237" s="1"/>
      <c r="B1237" s="14"/>
      <c r="C1237" s="2"/>
      <c r="D1237" s="2"/>
      <c r="E1237" s="2"/>
      <c r="F1237" s="2"/>
      <c r="G1237" s="2"/>
      <c r="H1237" s="3"/>
      <c r="I1237" s="2"/>
      <c r="J1237" s="2"/>
      <c r="K1237" s="4"/>
      <c r="L1237" s="4"/>
      <c r="M1237" s="2"/>
      <c r="N1237" s="2"/>
      <c r="O1237" s="2"/>
      <c r="P1237" s="2"/>
      <c r="Q1237" s="5"/>
      <c r="R1237" s="5"/>
      <c r="S1237" s="2"/>
      <c r="T1237" s="2"/>
      <c r="U1237" s="5"/>
      <c r="V1237" s="5"/>
      <c r="W1237" s="2"/>
      <c r="X1237" s="5"/>
      <c r="Y1237" s="1"/>
      <c r="Z1237" s="1"/>
      <c r="AA1237" s="1"/>
    </row>
    <row r="1238">
      <c r="A1238" s="1"/>
      <c r="B1238" s="14"/>
      <c r="C1238" s="2"/>
      <c r="D1238" s="2"/>
      <c r="E1238" s="2"/>
      <c r="F1238" s="2"/>
      <c r="G1238" s="2"/>
      <c r="H1238" s="3"/>
      <c r="I1238" s="2"/>
      <c r="J1238" s="2"/>
      <c r="K1238" s="4"/>
      <c r="L1238" s="4"/>
      <c r="M1238" s="2"/>
      <c r="N1238" s="2"/>
      <c r="O1238" s="2"/>
      <c r="P1238" s="2"/>
      <c r="Q1238" s="5"/>
      <c r="R1238" s="5"/>
      <c r="S1238" s="2"/>
      <c r="T1238" s="2"/>
      <c r="U1238" s="5"/>
      <c r="V1238" s="5"/>
      <c r="W1238" s="2"/>
      <c r="X1238" s="5"/>
      <c r="Y1238" s="1"/>
      <c r="Z1238" s="1"/>
      <c r="AA1238" s="1"/>
    </row>
    <row r="1239">
      <c r="A1239" s="1"/>
      <c r="B1239" s="14"/>
      <c r="C1239" s="2"/>
      <c r="D1239" s="2"/>
      <c r="E1239" s="2"/>
      <c r="F1239" s="2"/>
      <c r="G1239" s="2"/>
      <c r="H1239" s="3"/>
      <c r="I1239" s="2"/>
      <c r="J1239" s="2"/>
      <c r="K1239" s="4"/>
      <c r="L1239" s="4"/>
      <c r="M1239" s="2"/>
      <c r="N1239" s="2"/>
      <c r="O1239" s="2"/>
      <c r="P1239" s="2"/>
      <c r="Q1239" s="5"/>
      <c r="R1239" s="5"/>
      <c r="S1239" s="2"/>
      <c r="T1239" s="2"/>
      <c r="U1239" s="5"/>
      <c r="V1239" s="5"/>
      <c r="W1239" s="2"/>
      <c r="X1239" s="5"/>
      <c r="Y1239" s="1"/>
      <c r="Z1239" s="1"/>
      <c r="AA1239" s="1"/>
    </row>
    <row r="1240">
      <c r="A1240" s="1"/>
      <c r="B1240" s="14"/>
      <c r="C1240" s="2"/>
      <c r="D1240" s="2"/>
      <c r="E1240" s="2"/>
      <c r="F1240" s="2"/>
      <c r="G1240" s="2"/>
      <c r="H1240" s="3"/>
      <c r="I1240" s="2"/>
      <c r="J1240" s="2"/>
      <c r="K1240" s="4"/>
      <c r="L1240" s="4"/>
      <c r="M1240" s="2"/>
      <c r="N1240" s="2"/>
      <c r="O1240" s="2"/>
      <c r="P1240" s="2"/>
      <c r="Q1240" s="5"/>
      <c r="R1240" s="5"/>
      <c r="S1240" s="2"/>
      <c r="T1240" s="2"/>
      <c r="U1240" s="5"/>
      <c r="V1240" s="5"/>
      <c r="W1240" s="2"/>
      <c r="X1240" s="5"/>
      <c r="Y1240" s="1"/>
      <c r="Z1240" s="1"/>
      <c r="AA1240" s="1"/>
    </row>
    <row r="1241">
      <c r="A1241" s="1"/>
      <c r="B1241" s="14"/>
      <c r="C1241" s="2"/>
      <c r="D1241" s="2"/>
      <c r="E1241" s="2"/>
      <c r="F1241" s="2"/>
      <c r="G1241" s="2"/>
      <c r="H1241" s="3"/>
      <c r="I1241" s="2"/>
      <c r="J1241" s="2"/>
      <c r="K1241" s="4"/>
      <c r="L1241" s="4"/>
      <c r="M1241" s="2"/>
      <c r="N1241" s="2"/>
      <c r="O1241" s="2"/>
      <c r="P1241" s="2"/>
      <c r="Q1241" s="5"/>
      <c r="R1241" s="5"/>
      <c r="S1241" s="2"/>
      <c r="T1241" s="2"/>
      <c r="U1241" s="5"/>
      <c r="V1241" s="5"/>
      <c r="W1241" s="2"/>
      <c r="X1241" s="5"/>
      <c r="Y1241" s="1"/>
      <c r="Z1241" s="1"/>
      <c r="AA1241" s="1"/>
    </row>
    <row r="1242">
      <c r="A1242" s="1"/>
      <c r="B1242" s="14"/>
      <c r="C1242" s="2"/>
      <c r="D1242" s="2"/>
      <c r="E1242" s="2"/>
      <c r="F1242" s="2"/>
      <c r="G1242" s="2"/>
      <c r="H1242" s="3"/>
      <c r="I1242" s="2"/>
      <c r="J1242" s="2"/>
      <c r="K1242" s="4"/>
      <c r="L1242" s="4"/>
      <c r="M1242" s="2"/>
      <c r="N1242" s="2"/>
      <c r="O1242" s="2"/>
      <c r="P1242" s="2"/>
      <c r="Q1242" s="5"/>
      <c r="R1242" s="5"/>
      <c r="S1242" s="2"/>
      <c r="T1242" s="2"/>
      <c r="U1242" s="5"/>
      <c r="V1242" s="5"/>
      <c r="W1242" s="2"/>
      <c r="X1242" s="5"/>
      <c r="Y1242" s="1"/>
      <c r="Z1242" s="1"/>
      <c r="AA1242" s="1"/>
    </row>
    <row r="1243">
      <c r="A1243" s="1"/>
      <c r="B1243" s="14"/>
      <c r="C1243" s="2"/>
      <c r="D1243" s="2"/>
      <c r="E1243" s="2"/>
      <c r="F1243" s="2"/>
      <c r="G1243" s="2"/>
      <c r="H1243" s="3"/>
      <c r="I1243" s="2"/>
      <c r="J1243" s="2"/>
      <c r="K1243" s="4"/>
      <c r="L1243" s="4"/>
      <c r="M1243" s="2"/>
      <c r="N1243" s="2"/>
      <c r="O1243" s="2"/>
      <c r="P1243" s="2"/>
      <c r="Q1243" s="5"/>
      <c r="R1243" s="5"/>
      <c r="S1243" s="2"/>
      <c r="T1243" s="2"/>
      <c r="U1243" s="5"/>
      <c r="V1243" s="5"/>
      <c r="W1243" s="2"/>
      <c r="X1243" s="5"/>
      <c r="Y1243" s="1"/>
      <c r="Z1243" s="1"/>
      <c r="AA1243" s="1"/>
    </row>
    <row r="1244">
      <c r="A1244" s="1"/>
      <c r="B1244" s="14"/>
      <c r="C1244" s="2"/>
      <c r="D1244" s="2"/>
      <c r="E1244" s="2"/>
      <c r="F1244" s="2"/>
      <c r="G1244" s="2"/>
      <c r="H1244" s="3"/>
      <c r="I1244" s="2"/>
      <c r="J1244" s="2"/>
      <c r="K1244" s="4"/>
      <c r="L1244" s="4"/>
      <c r="M1244" s="2"/>
      <c r="N1244" s="2"/>
      <c r="O1244" s="2"/>
      <c r="P1244" s="2"/>
      <c r="Q1244" s="5"/>
      <c r="R1244" s="5"/>
      <c r="S1244" s="2"/>
      <c r="T1244" s="2"/>
      <c r="U1244" s="5"/>
      <c r="V1244" s="5"/>
      <c r="W1244" s="2"/>
      <c r="X1244" s="5"/>
      <c r="Y1244" s="1"/>
      <c r="Z1244" s="1"/>
      <c r="AA1244" s="1"/>
    </row>
    <row r="1245">
      <c r="A1245" s="1"/>
      <c r="B1245" s="14"/>
      <c r="C1245" s="2"/>
      <c r="D1245" s="2"/>
      <c r="E1245" s="2"/>
      <c r="F1245" s="2"/>
      <c r="G1245" s="2"/>
      <c r="H1245" s="3"/>
      <c r="I1245" s="2"/>
      <c r="J1245" s="2"/>
      <c r="K1245" s="4"/>
      <c r="L1245" s="4"/>
      <c r="M1245" s="2"/>
      <c r="N1245" s="2"/>
      <c r="O1245" s="2"/>
      <c r="P1245" s="2"/>
      <c r="Q1245" s="5"/>
      <c r="R1245" s="5"/>
      <c r="S1245" s="2"/>
      <c r="T1245" s="2"/>
      <c r="U1245" s="5"/>
      <c r="V1245" s="5"/>
      <c r="W1245" s="2"/>
      <c r="X1245" s="5"/>
      <c r="Y1245" s="1"/>
      <c r="Z1245" s="1"/>
      <c r="AA1245" s="1"/>
    </row>
    <row r="1246">
      <c r="A1246" s="1"/>
      <c r="B1246" s="14"/>
      <c r="C1246" s="2"/>
      <c r="D1246" s="2"/>
      <c r="E1246" s="2"/>
      <c r="F1246" s="2"/>
      <c r="G1246" s="2"/>
      <c r="H1246" s="3"/>
      <c r="I1246" s="2"/>
      <c r="J1246" s="2"/>
      <c r="K1246" s="4"/>
      <c r="L1246" s="4"/>
      <c r="M1246" s="2"/>
      <c r="N1246" s="2"/>
      <c r="O1246" s="2"/>
      <c r="P1246" s="2"/>
      <c r="Q1246" s="5"/>
      <c r="R1246" s="5"/>
      <c r="S1246" s="2"/>
      <c r="T1246" s="2"/>
      <c r="U1246" s="5"/>
      <c r="V1246" s="5"/>
      <c r="W1246" s="2"/>
      <c r="X1246" s="5"/>
      <c r="Y1246" s="1"/>
      <c r="Z1246" s="1"/>
      <c r="AA1246" s="1"/>
    </row>
    <row r="1247">
      <c r="A1247" s="1"/>
      <c r="B1247" s="14"/>
      <c r="C1247" s="2"/>
      <c r="D1247" s="2"/>
      <c r="E1247" s="2"/>
      <c r="F1247" s="2"/>
      <c r="G1247" s="2"/>
      <c r="H1247" s="3"/>
      <c r="I1247" s="2"/>
      <c r="J1247" s="2"/>
      <c r="K1247" s="4"/>
      <c r="L1247" s="4"/>
      <c r="M1247" s="2"/>
      <c r="N1247" s="2"/>
      <c r="O1247" s="2"/>
      <c r="P1247" s="2"/>
      <c r="Q1247" s="5"/>
      <c r="R1247" s="5"/>
      <c r="S1247" s="2"/>
      <c r="T1247" s="2"/>
      <c r="U1247" s="5"/>
      <c r="V1247" s="5"/>
      <c r="W1247" s="2"/>
      <c r="X1247" s="5"/>
      <c r="Y1247" s="1"/>
      <c r="Z1247" s="1"/>
      <c r="AA1247" s="1"/>
    </row>
    <row r="1248">
      <c r="A1248" s="1"/>
      <c r="B1248" s="14"/>
      <c r="C1248" s="2"/>
      <c r="D1248" s="2"/>
      <c r="E1248" s="2"/>
      <c r="F1248" s="2"/>
      <c r="G1248" s="2"/>
      <c r="H1248" s="3"/>
      <c r="I1248" s="2"/>
      <c r="J1248" s="2"/>
      <c r="K1248" s="4"/>
      <c r="L1248" s="4"/>
      <c r="M1248" s="2"/>
      <c r="N1248" s="2"/>
      <c r="O1248" s="2"/>
      <c r="P1248" s="2"/>
      <c r="Q1248" s="5"/>
      <c r="R1248" s="5"/>
      <c r="S1248" s="2"/>
      <c r="T1248" s="2"/>
      <c r="U1248" s="5"/>
      <c r="V1248" s="5"/>
      <c r="W1248" s="2"/>
      <c r="X1248" s="5"/>
      <c r="Y1248" s="1"/>
      <c r="Z1248" s="1"/>
      <c r="AA1248" s="1"/>
    </row>
    <row r="1249">
      <c r="A1249" s="1"/>
      <c r="B1249" s="14"/>
      <c r="C1249" s="2"/>
      <c r="D1249" s="2"/>
      <c r="E1249" s="2"/>
      <c r="F1249" s="2"/>
      <c r="G1249" s="2"/>
      <c r="H1249" s="3"/>
      <c r="I1249" s="2"/>
      <c r="J1249" s="2"/>
      <c r="K1249" s="4"/>
      <c r="L1249" s="4"/>
      <c r="M1249" s="2"/>
      <c r="N1249" s="2"/>
      <c r="O1249" s="2"/>
      <c r="P1249" s="2"/>
      <c r="Q1249" s="5"/>
      <c r="R1249" s="5"/>
      <c r="S1249" s="2"/>
      <c r="T1249" s="2"/>
      <c r="U1249" s="5"/>
      <c r="V1249" s="5"/>
      <c r="W1249" s="2"/>
      <c r="X1249" s="5"/>
      <c r="Y1249" s="1"/>
      <c r="Z1249" s="1"/>
      <c r="AA1249" s="1"/>
    </row>
    <row r="1250">
      <c r="A1250" s="1"/>
      <c r="B1250" s="14"/>
      <c r="C1250" s="2"/>
      <c r="D1250" s="2"/>
      <c r="E1250" s="2"/>
      <c r="F1250" s="2"/>
      <c r="G1250" s="2"/>
      <c r="H1250" s="3"/>
      <c r="I1250" s="2"/>
      <c r="J1250" s="2"/>
      <c r="K1250" s="4"/>
      <c r="L1250" s="4"/>
      <c r="M1250" s="2"/>
      <c r="N1250" s="2"/>
      <c r="O1250" s="2"/>
      <c r="P1250" s="2"/>
      <c r="Q1250" s="5"/>
      <c r="R1250" s="5"/>
      <c r="S1250" s="2"/>
      <c r="T1250" s="2"/>
      <c r="U1250" s="5"/>
      <c r="V1250" s="5"/>
      <c r="W1250" s="2"/>
      <c r="X1250" s="5"/>
      <c r="Y1250" s="1"/>
      <c r="Z1250" s="1"/>
      <c r="AA1250" s="1"/>
    </row>
    <row r="1251">
      <c r="A1251" s="1"/>
      <c r="B1251" s="14"/>
      <c r="C1251" s="2"/>
      <c r="D1251" s="2"/>
      <c r="E1251" s="2"/>
      <c r="F1251" s="2"/>
      <c r="G1251" s="2"/>
      <c r="H1251" s="3"/>
      <c r="I1251" s="2"/>
      <c r="J1251" s="2"/>
      <c r="K1251" s="4"/>
      <c r="L1251" s="4"/>
      <c r="M1251" s="2"/>
      <c r="N1251" s="2"/>
      <c r="O1251" s="2"/>
      <c r="P1251" s="2"/>
      <c r="Q1251" s="5"/>
      <c r="R1251" s="5"/>
      <c r="S1251" s="2"/>
      <c r="T1251" s="2"/>
      <c r="U1251" s="5"/>
      <c r="V1251" s="5"/>
      <c r="W1251" s="2"/>
      <c r="X1251" s="5"/>
      <c r="Y1251" s="1"/>
      <c r="Z1251" s="1"/>
      <c r="AA1251" s="1"/>
    </row>
    <row r="1252">
      <c r="A1252" s="1"/>
      <c r="B1252" s="14"/>
      <c r="C1252" s="2"/>
      <c r="D1252" s="2"/>
      <c r="E1252" s="2"/>
      <c r="F1252" s="2"/>
      <c r="G1252" s="2"/>
      <c r="H1252" s="3"/>
      <c r="I1252" s="2"/>
      <c r="J1252" s="2"/>
      <c r="K1252" s="4"/>
      <c r="L1252" s="4"/>
      <c r="M1252" s="2"/>
      <c r="N1252" s="2"/>
      <c r="O1252" s="2"/>
      <c r="P1252" s="2"/>
      <c r="Q1252" s="5"/>
      <c r="R1252" s="5"/>
      <c r="S1252" s="2"/>
      <c r="T1252" s="2"/>
      <c r="U1252" s="5"/>
      <c r="V1252" s="5"/>
      <c r="W1252" s="2"/>
      <c r="X1252" s="5"/>
      <c r="Y1252" s="1"/>
      <c r="Z1252" s="1"/>
      <c r="AA1252" s="1"/>
    </row>
    <row r="1253">
      <c r="A1253" s="1"/>
      <c r="B1253" s="14"/>
      <c r="C1253" s="2"/>
      <c r="D1253" s="2"/>
      <c r="E1253" s="2"/>
      <c r="F1253" s="2"/>
      <c r="G1253" s="2"/>
      <c r="H1253" s="3"/>
      <c r="I1253" s="2"/>
      <c r="J1253" s="2"/>
      <c r="K1253" s="4"/>
      <c r="L1253" s="4"/>
      <c r="M1253" s="2"/>
      <c r="N1253" s="2"/>
      <c r="O1253" s="2"/>
      <c r="P1253" s="2"/>
      <c r="Q1253" s="5"/>
      <c r="R1253" s="5"/>
      <c r="S1253" s="2"/>
      <c r="T1253" s="2"/>
      <c r="U1253" s="5"/>
      <c r="V1253" s="5"/>
      <c r="W1253" s="2"/>
      <c r="X1253" s="5"/>
      <c r="Y1253" s="1"/>
      <c r="Z1253" s="1"/>
      <c r="AA1253" s="1"/>
    </row>
    <row r="1254">
      <c r="A1254" s="1"/>
      <c r="B1254" s="14"/>
      <c r="C1254" s="2"/>
      <c r="D1254" s="2"/>
      <c r="E1254" s="2"/>
      <c r="F1254" s="2"/>
      <c r="G1254" s="2"/>
      <c r="H1254" s="3"/>
      <c r="I1254" s="2"/>
      <c r="J1254" s="2"/>
      <c r="K1254" s="4"/>
      <c r="L1254" s="4"/>
      <c r="M1254" s="2"/>
      <c r="N1254" s="2"/>
      <c r="O1254" s="2"/>
      <c r="P1254" s="2"/>
      <c r="Q1254" s="5"/>
      <c r="R1254" s="5"/>
      <c r="S1254" s="2"/>
      <c r="T1254" s="2"/>
      <c r="U1254" s="5"/>
      <c r="V1254" s="5"/>
      <c r="W1254" s="2"/>
      <c r="X1254" s="5"/>
      <c r="Y1254" s="1"/>
      <c r="Z1254" s="1"/>
      <c r="AA1254" s="1"/>
    </row>
    <row r="1255">
      <c r="A1255" s="1"/>
      <c r="B1255" s="14"/>
      <c r="C1255" s="2"/>
      <c r="D1255" s="2"/>
      <c r="E1255" s="2"/>
      <c r="F1255" s="2"/>
      <c r="G1255" s="2"/>
      <c r="H1255" s="3"/>
      <c r="I1255" s="2"/>
      <c r="J1255" s="2"/>
      <c r="K1255" s="4"/>
      <c r="L1255" s="4"/>
      <c r="M1255" s="2"/>
      <c r="N1255" s="2"/>
      <c r="O1255" s="2"/>
      <c r="P1255" s="2"/>
      <c r="Q1255" s="5"/>
      <c r="R1255" s="5"/>
      <c r="S1255" s="2"/>
      <c r="T1255" s="2"/>
      <c r="U1255" s="5"/>
      <c r="V1255" s="5"/>
      <c r="W1255" s="2"/>
      <c r="X1255" s="5"/>
      <c r="Y1255" s="1"/>
      <c r="Z1255" s="1"/>
      <c r="AA1255" s="1"/>
    </row>
    <row r="1256">
      <c r="A1256" s="1"/>
      <c r="B1256" s="14"/>
      <c r="C1256" s="2"/>
      <c r="D1256" s="2"/>
      <c r="E1256" s="2"/>
      <c r="F1256" s="2"/>
      <c r="G1256" s="2"/>
      <c r="H1256" s="3"/>
      <c r="I1256" s="2"/>
      <c r="J1256" s="2"/>
      <c r="K1256" s="4"/>
      <c r="L1256" s="4"/>
      <c r="M1256" s="2"/>
      <c r="N1256" s="2"/>
      <c r="O1256" s="2"/>
      <c r="P1256" s="2"/>
      <c r="Q1256" s="5"/>
      <c r="R1256" s="5"/>
      <c r="S1256" s="2"/>
      <c r="T1256" s="2"/>
      <c r="U1256" s="5"/>
      <c r="V1256" s="5"/>
      <c r="W1256" s="2"/>
      <c r="X1256" s="5"/>
      <c r="Y1256" s="1"/>
      <c r="Z1256" s="1"/>
      <c r="AA1256" s="1"/>
    </row>
    <row r="1257">
      <c r="A1257" s="1"/>
      <c r="B1257" s="14"/>
      <c r="C1257" s="2"/>
      <c r="D1257" s="2"/>
      <c r="E1257" s="2"/>
      <c r="F1257" s="2"/>
      <c r="G1257" s="2"/>
      <c r="H1257" s="3"/>
      <c r="I1257" s="2"/>
      <c r="J1257" s="2"/>
      <c r="K1257" s="4"/>
      <c r="L1257" s="4"/>
      <c r="M1257" s="2"/>
      <c r="N1257" s="2"/>
      <c r="O1257" s="2"/>
      <c r="P1257" s="2"/>
      <c r="Q1257" s="5"/>
      <c r="R1257" s="5"/>
      <c r="S1257" s="2"/>
      <c r="T1257" s="2"/>
      <c r="U1257" s="5"/>
      <c r="V1257" s="5"/>
      <c r="W1257" s="2"/>
      <c r="X1257" s="5"/>
      <c r="Y1257" s="1"/>
      <c r="Z1257" s="1"/>
      <c r="AA1257" s="1"/>
    </row>
    <row r="1258">
      <c r="A1258" s="1"/>
      <c r="B1258" s="14"/>
      <c r="C1258" s="2"/>
      <c r="D1258" s="2"/>
      <c r="E1258" s="2"/>
      <c r="F1258" s="2"/>
      <c r="G1258" s="2"/>
      <c r="H1258" s="3"/>
      <c r="I1258" s="2"/>
      <c r="J1258" s="2"/>
      <c r="K1258" s="4"/>
      <c r="L1258" s="4"/>
      <c r="M1258" s="2"/>
      <c r="N1258" s="2"/>
      <c r="O1258" s="2"/>
      <c r="P1258" s="2"/>
      <c r="Q1258" s="5"/>
      <c r="R1258" s="5"/>
      <c r="S1258" s="2"/>
      <c r="T1258" s="2"/>
      <c r="U1258" s="5"/>
      <c r="V1258" s="5"/>
      <c r="W1258" s="2"/>
      <c r="X1258" s="5"/>
      <c r="Y1258" s="1"/>
      <c r="Z1258" s="1"/>
      <c r="AA1258" s="1"/>
    </row>
    <row r="1259">
      <c r="A1259" s="1"/>
      <c r="B1259" s="14"/>
      <c r="C1259" s="2"/>
      <c r="D1259" s="2"/>
      <c r="E1259" s="2"/>
      <c r="F1259" s="2"/>
      <c r="G1259" s="2"/>
      <c r="H1259" s="3"/>
      <c r="I1259" s="2"/>
      <c r="J1259" s="2"/>
      <c r="K1259" s="4"/>
      <c r="L1259" s="4"/>
      <c r="M1259" s="2"/>
      <c r="N1259" s="2"/>
      <c r="O1259" s="2"/>
      <c r="P1259" s="2"/>
      <c r="Q1259" s="5"/>
      <c r="R1259" s="5"/>
      <c r="S1259" s="2"/>
      <c r="T1259" s="2"/>
      <c r="U1259" s="5"/>
      <c r="V1259" s="5"/>
      <c r="W1259" s="2"/>
      <c r="X1259" s="5"/>
      <c r="Y1259" s="1"/>
      <c r="Z1259" s="1"/>
      <c r="AA1259" s="1"/>
    </row>
    <row r="1260">
      <c r="A1260" s="1"/>
      <c r="B1260" s="14"/>
      <c r="C1260" s="2"/>
      <c r="D1260" s="2"/>
      <c r="E1260" s="2"/>
      <c r="F1260" s="2"/>
      <c r="G1260" s="2"/>
      <c r="H1260" s="3"/>
      <c r="I1260" s="2"/>
      <c r="J1260" s="2"/>
      <c r="K1260" s="4"/>
      <c r="L1260" s="4"/>
      <c r="M1260" s="2"/>
      <c r="N1260" s="2"/>
      <c r="O1260" s="2"/>
      <c r="P1260" s="2"/>
      <c r="Q1260" s="5"/>
      <c r="R1260" s="5"/>
      <c r="S1260" s="2"/>
      <c r="T1260" s="2"/>
      <c r="U1260" s="5"/>
      <c r="V1260" s="5"/>
      <c r="W1260" s="2"/>
      <c r="X1260" s="5"/>
      <c r="Y1260" s="1"/>
      <c r="Z1260" s="1"/>
      <c r="AA1260" s="1"/>
    </row>
    <row r="1261">
      <c r="A1261" s="1"/>
      <c r="B1261" s="14"/>
      <c r="C1261" s="2"/>
      <c r="D1261" s="2"/>
      <c r="E1261" s="2"/>
      <c r="F1261" s="2"/>
      <c r="G1261" s="2"/>
      <c r="H1261" s="3"/>
      <c r="I1261" s="2"/>
      <c r="J1261" s="2"/>
      <c r="K1261" s="4"/>
      <c r="L1261" s="4"/>
      <c r="M1261" s="2"/>
      <c r="N1261" s="2"/>
      <c r="O1261" s="2"/>
      <c r="P1261" s="2"/>
      <c r="Q1261" s="5"/>
      <c r="R1261" s="5"/>
      <c r="S1261" s="2"/>
      <c r="T1261" s="2"/>
      <c r="U1261" s="5"/>
      <c r="V1261" s="5"/>
      <c r="W1261" s="2"/>
      <c r="X1261" s="5"/>
      <c r="Y1261" s="1"/>
      <c r="Z1261" s="1"/>
      <c r="AA1261" s="1"/>
    </row>
    <row r="1262">
      <c r="A1262" s="1"/>
      <c r="B1262" s="14"/>
      <c r="C1262" s="2"/>
      <c r="D1262" s="2"/>
      <c r="E1262" s="2"/>
      <c r="F1262" s="2"/>
      <c r="G1262" s="2"/>
      <c r="H1262" s="3"/>
      <c r="I1262" s="2"/>
      <c r="J1262" s="2"/>
      <c r="K1262" s="4"/>
      <c r="L1262" s="4"/>
      <c r="M1262" s="2"/>
      <c r="N1262" s="2"/>
      <c r="O1262" s="2"/>
      <c r="P1262" s="2"/>
      <c r="Q1262" s="5"/>
      <c r="R1262" s="5"/>
      <c r="S1262" s="2"/>
      <c r="T1262" s="2"/>
      <c r="U1262" s="5"/>
      <c r="V1262" s="5"/>
      <c r="W1262" s="2"/>
      <c r="X1262" s="5"/>
      <c r="Y1262" s="1"/>
      <c r="Z1262" s="1"/>
      <c r="AA1262" s="1"/>
    </row>
    <row r="1263">
      <c r="A1263" s="1"/>
      <c r="B1263" s="14"/>
      <c r="C1263" s="2"/>
      <c r="D1263" s="2"/>
      <c r="E1263" s="2"/>
      <c r="F1263" s="2"/>
      <c r="G1263" s="2"/>
      <c r="H1263" s="3"/>
      <c r="I1263" s="2"/>
      <c r="J1263" s="2"/>
      <c r="K1263" s="4"/>
      <c r="L1263" s="4"/>
      <c r="M1263" s="2"/>
      <c r="N1263" s="2"/>
      <c r="O1263" s="2"/>
      <c r="P1263" s="2"/>
      <c r="Q1263" s="5"/>
      <c r="R1263" s="5"/>
      <c r="S1263" s="2"/>
      <c r="T1263" s="2"/>
      <c r="U1263" s="5"/>
      <c r="V1263" s="5"/>
      <c r="W1263" s="2"/>
      <c r="X1263" s="5"/>
      <c r="Y1263" s="1"/>
      <c r="Z1263" s="1"/>
      <c r="AA1263" s="1"/>
    </row>
    <row r="1264">
      <c r="A1264" s="1"/>
      <c r="B1264" s="14"/>
      <c r="C1264" s="2"/>
      <c r="D1264" s="2"/>
      <c r="E1264" s="2"/>
      <c r="F1264" s="2"/>
      <c r="G1264" s="2"/>
      <c r="H1264" s="3"/>
      <c r="I1264" s="2"/>
      <c r="J1264" s="2"/>
      <c r="K1264" s="4"/>
      <c r="L1264" s="4"/>
      <c r="M1264" s="2"/>
      <c r="N1264" s="2"/>
      <c r="O1264" s="2"/>
      <c r="P1264" s="2"/>
      <c r="Q1264" s="5"/>
      <c r="R1264" s="5"/>
      <c r="S1264" s="2"/>
      <c r="T1264" s="2"/>
      <c r="U1264" s="5"/>
      <c r="V1264" s="5"/>
      <c r="W1264" s="2"/>
      <c r="X1264" s="5"/>
      <c r="Y1264" s="1"/>
      <c r="Z1264" s="1"/>
      <c r="AA1264" s="1"/>
    </row>
    <row r="1265">
      <c r="A1265" s="1"/>
      <c r="B1265" s="14"/>
      <c r="C1265" s="2"/>
      <c r="D1265" s="2"/>
      <c r="E1265" s="2"/>
      <c r="F1265" s="2"/>
      <c r="G1265" s="2"/>
      <c r="H1265" s="3"/>
      <c r="I1265" s="2"/>
      <c r="J1265" s="2"/>
      <c r="K1265" s="4"/>
      <c r="L1265" s="4"/>
      <c r="M1265" s="2"/>
      <c r="N1265" s="2"/>
      <c r="O1265" s="2"/>
      <c r="P1265" s="2"/>
      <c r="Q1265" s="5"/>
      <c r="R1265" s="5"/>
      <c r="S1265" s="2"/>
      <c r="T1265" s="2"/>
      <c r="U1265" s="5"/>
      <c r="V1265" s="5"/>
      <c r="W1265" s="2"/>
      <c r="X1265" s="5"/>
      <c r="Y1265" s="1"/>
      <c r="Z1265" s="1"/>
      <c r="AA1265" s="1"/>
    </row>
    <row r="1266">
      <c r="A1266" s="1"/>
      <c r="B1266" s="14"/>
      <c r="C1266" s="2"/>
      <c r="D1266" s="2"/>
      <c r="E1266" s="2"/>
      <c r="F1266" s="2"/>
      <c r="G1266" s="2"/>
      <c r="H1266" s="3"/>
      <c r="I1266" s="2"/>
      <c r="J1266" s="2"/>
      <c r="K1266" s="4"/>
      <c r="L1266" s="4"/>
      <c r="M1266" s="2"/>
      <c r="N1266" s="2"/>
      <c r="O1266" s="2"/>
      <c r="P1266" s="2"/>
      <c r="Q1266" s="5"/>
      <c r="R1266" s="5"/>
      <c r="S1266" s="2"/>
      <c r="T1266" s="2"/>
      <c r="U1266" s="5"/>
      <c r="V1266" s="5"/>
      <c r="W1266" s="2"/>
      <c r="X1266" s="5"/>
      <c r="Y1266" s="1"/>
      <c r="Z1266" s="1"/>
      <c r="AA1266" s="1"/>
    </row>
    <row r="1267">
      <c r="A1267" s="1"/>
      <c r="B1267" s="14"/>
      <c r="C1267" s="2"/>
      <c r="D1267" s="2"/>
      <c r="E1267" s="2"/>
      <c r="F1267" s="2"/>
      <c r="G1267" s="2"/>
      <c r="H1267" s="3"/>
      <c r="I1267" s="2"/>
      <c r="J1267" s="2"/>
      <c r="K1267" s="4"/>
      <c r="L1267" s="4"/>
      <c r="M1267" s="2"/>
      <c r="N1267" s="2"/>
      <c r="O1267" s="2"/>
      <c r="P1267" s="2"/>
      <c r="Q1267" s="5"/>
      <c r="R1267" s="5"/>
      <c r="S1267" s="2"/>
      <c r="T1267" s="2"/>
      <c r="U1267" s="5"/>
      <c r="V1267" s="5"/>
      <c r="W1267" s="2"/>
      <c r="X1267" s="5"/>
      <c r="Y1267" s="1"/>
      <c r="Z1267" s="1"/>
      <c r="AA1267" s="1"/>
    </row>
    <row r="1268">
      <c r="A1268" s="1"/>
      <c r="B1268" s="14"/>
      <c r="C1268" s="2"/>
      <c r="D1268" s="2"/>
      <c r="E1268" s="2"/>
      <c r="F1268" s="2"/>
      <c r="G1268" s="2"/>
      <c r="H1268" s="3"/>
      <c r="I1268" s="2"/>
      <c r="J1268" s="2"/>
      <c r="K1268" s="4"/>
      <c r="L1268" s="4"/>
      <c r="M1268" s="2"/>
      <c r="N1268" s="2"/>
      <c r="O1268" s="2"/>
      <c r="P1268" s="2"/>
      <c r="Q1268" s="5"/>
      <c r="R1268" s="5"/>
      <c r="S1268" s="2"/>
      <c r="T1268" s="2"/>
      <c r="U1268" s="5"/>
      <c r="V1268" s="5"/>
      <c r="W1268" s="2"/>
      <c r="X1268" s="5"/>
      <c r="Y1268" s="1"/>
      <c r="Z1268" s="1"/>
      <c r="AA1268" s="1"/>
    </row>
    <row r="1269">
      <c r="A1269" s="1"/>
      <c r="B1269" s="14"/>
      <c r="C1269" s="2"/>
      <c r="D1269" s="2"/>
      <c r="E1269" s="2"/>
      <c r="F1269" s="2"/>
      <c r="G1269" s="2"/>
      <c r="H1269" s="3"/>
      <c r="I1269" s="2"/>
      <c r="J1269" s="2"/>
      <c r="K1269" s="4"/>
      <c r="L1269" s="4"/>
      <c r="M1269" s="2"/>
      <c r="N1269" s="2"/>
      <c r="O1269" s="2"/>
      <c r="P1269" s="2"/>
      <c r="Q1269" s="5"/>
      <c r="R1269" s="5"/>
      <c r="S1269" s="2"/>
      <c r="T1269" s="2"/>
      <c r="U1269" s="5"/>
      <c r="V1269" s="5"/>
      <c r="W1269" s="2"/>
      <c r="X1269" s="5"/>
      <c r="Y1269" s="1"/>
      <c r="Z1269" s="1"/>
      <c r="AA1269" s="1"/>
    </row>
    <row r="1270">
      <c r="A1270" s="1"/>
      <c r="B1270" s="14"/>
      <c r="C1270" s="2"/>
      <c r="D1270" s="2"/>
      <c r="E1270" s="2"/>
      <c r="F1270" s="2"/>
      <c r="G1270" s="2"/>
      <c r="H1270" s="3"/>
      <c r="I1270" s="2"/>
      <c r="J1270" s="2"/>
      <c r="K1270" s="4"/>
      <c r="L1270" s="4"/>
      <c r="M1270" s="2"/>
      <c r="N1270" s="2"/>
      <c r="O1270" s="2"/>
      <c r="P1270" s="2"/>
      <c r="Q1270" s="5"/>
      <c r="R1270" s="5"/>
      <c r="S1270" s="2"/>
      <c r="T1270" s="2"/>
      <c r="U1270" s="5"/>
      <c r="V1270" s="5"/>
      <c r="W1270" s="2"/>
      <c r="X1270" s="5"/>
      <c r="Y1270" s="1"/>
      <c r="Z1270" s="1"/>
      <c r="AA1270" s="1"/>
    </row>
    <row r="1271">
      <c r="A1271" s="1"/>
      <c r="B1271" s="14"/>
      <c r="C1271" s="2"/>
      <c r="D1271" s="2"/>
      <c r="E1271" s="2"/>
      <c r="F1271" s="2"/>
      <c r="G1271" s="2"/>
      <c r="H1271" s="3"/>
      <c r="I1271" s="2"/>
      <c r="J1271" s="2"/>
      <c r="K1271" s="4"/>
      <c r="L1271" s="4"/>
      <c r="M1271" s="2"/>
      <c r="N1271" s="2"/>
      <c r="O1271" s="2"/>
      <c r="P1271" s="2"/>
      <c r="Q1271" s="5"/>
      <c r="R1271" s="5"/>
      <c r="S1271" s="2"/>
      <c r="T1271" s="2"/>
      <c r="U1271" s="5"/>
      <c r="V1271" s="5"/>
      <c r="W1271" s="2"/>
      <c r="X1271" s="5"/>
      <c r="Y1271" s="1"/>
      <c r="Z1271" s="1"/>
      <c r="AA1271" s="1"/>
    </row>
    <row r="1272">
      <c r="A1272" s="1"/>
      <c r="B1272" s="14"/>
      <c r="C1272" s="2"/>
      <c r="D1272" s="2"/>
      <c r="E1272" s="2"/>
      <c r="F1272" s="2"/>
      <c r="G1272" s="2"/>
      <c r="H1272" s="3"/>
      <c r="I1272" s="2"/>
      <c r="J1272" s="2"/>
      <c r="K1272" s="4"/>
      <c r="L1272" s="4"/>
      <c r="M1272" s="2"/>
      <c r="N1272" s="2"/>
      <c r="O1272" s="2"/>
      <c r="P1272" s="2"/>
      <c r="Q1272" s="5"/>
      <c r="R1272" s="5"/>
      <c r="S1272" s="2"/>
      <c r="T1272" s="2"/>
      <c r="U1272" s="5"/>
      <c r="V1272" s="5"/>
      <c r="W1272" s="2"/>
      <c r="X1272" s="5"/>
      <c r="Y1272" s="1"/>
      <c r="Z1272" s="1"/>
      <c r="AA1272" s="1"/>
    </row>
    <row r="1273">
      <c r="A1273" s="1"/>
      <c r="B1273" s="14"/>
      <c r="C1273" s="2"/>
      <c r="D1273" s="2"/>
      <c r="E1273" s="2"/>
      <c r="F1273" s="2"/>
      <c r="G1273" s="2"/>
      <c r="H1273" s="3"/>
      <c r="I1273" s="2"/>
      <c r="J1273" s="2"/>
      <c r="K1273" s="4"/>
      <c r="L1273" s="4"/>
      <c r="M1273" s="2"/>
      <c r="N1273" s="2"/>
      <c r="O1273" s="2"/>
      <c r="P1273" s="2"/>
      <c r="Q1273" s="5"/>
      <c r="R1273" s="5"/>
      <c r="S1273" s="2"/>
      <c r="T1273" s="2"/>
      <c r="U1273" s="5"/>
      <c r="V1273" s="5"/>
      <c r="W1273" s="2"/>
      <c r="X1273" s="5"/>
      <c r="Y1273" s="1"/>
      <c r="Z1273" s="1"/>
      <c r="AA1273" s="1"/>
    </row>
    <row r="1274">
      <c r="A1274" s="1"/>
      <c r="B1274" s="14"/>
      <c r="C1274" s="2"/>
      <c r="D1274" s="2"/>
      <c r="E1274" s="2"/>
      <c r="F1274" s="2"/>
      <c r="G1274" s="2"/>
      <c r="H1274" s="3"/>
      <c r="I1274" s="2"/>
      <c r="J1274" s="2"/>
      <c r="K1274" s="4"/>
      <c r="L1274" s="4"/>
      <c r="M1274" s="2"/>
      <c r="N1274" s="2"/>
      <c r="O1274" s="2"/>
      <c r="P1274" s="2"/>
      <c r="Q1274" s="5"/>
      <c r="R1274" s="5"/>
      <c r="S1274" s="2"/>
      <c r="T1274" s="2"/>
      <c r="U1274" s="5"/>
      <c r="V1274" s="5"/>
      <c r="W1274" s="2"/>
      <c r="X1274" s="5"/>
      <c r="Y1274" s="1"/>
      <c r="Z1274" s="1"/>
      <c r="AA1274" s="1"/>
    </row>
    <row r="1275">
      <c r="A1275" s="1"/>
      <c r="B1275" s="14"/>
      <c r="C1275" s="2"/>
      <c r="D1275" s="2"/>
      <c r="E1275" s="2"/>
      <c r="F1275" s="2"/>
      <c r="G1275" s="2"/>
      <c r="H1275" s="3"/>
      <c r="I1275" s="2"/>
      <c r="J1275" s="2"/>
      <c r="K1275" s="4"/>
      <c r="L1275" s="4"/>
      <c r="M1275" s="2"/>
      <c r="N1275" s="2"/>
      <c r="O1275" s="2"/>
      <c r="P1275" s="2"/>
      <c r="Q1275" s="5"/>
      <c r="R1275" s="5"/>
      <c r="S1275" s="2"/>
      <c r="T1275" s="2"/>
      <c r="U1275" s="5"/>
      <c r="V1275" s="5"/>
      <c r="W1275" s="2"/>
      <c r="X1275" s="5"/>
      <c r="Y1275" s="1"/>
      <c r="Z1275" s="1"/>
      <c r="AA1275" s="1"/>
    </row>
    <row r="1276">
      <c r="A1276" s="1"/>
      <c r="B1276" s="14"/>
      <c r="C1276" s="2"/>
      <c r="D1276" s="2"/>
      <c r="E1276" s="2"/>
      <c r="F1276" s="2"/>
      <c r="G1276" s="2"/>
      <c r="H1276" s="3"/>
      <c r="I1276" s="2"/>
      <c r="J1276" s="2"/>
      <c r="K1276" s="4"/>
      <c r="L1276" s="4"/>
      <c r="M1276" s="2"/>
      <c r="N1276" s="2"/>
      <c r="O1276" s="2"/>
      <c r="P1276" s="2"/>
      <c r="Q1276" s="5"/>
      <c r="R1276" s="5"/>
      <c r="S1276" s="2"/>
      <c r="T1276" s="2"/>
      <c r="U1276" s="5"/>
      <c r="V1276" s="5"/>
      <c r="W1276" s="2"/>
      <c r="X1276" s="5"/>
      <c r="Y1276" s="1"/>
      <c r="Z1276" s="1"/>
      <c r="AA1276" s="1"/>
    </row>
    <row r="1277">
      <c r="A1277" s="1"/>
      <c r="B1277" s="14"/>
      <c r="C1277" s="2"/>
      <c r="D1277" s="2"/>
      <c r="E1277" s="2"/>
      <c r="F1277" s="2"/>
      <c r="G1277" s="2"/>
      <c r="H1277" s="3"/>
      <c r="I1277" s="2"/>
      <c r="J1277" s="2"/>
      <c r="K1277" s="4"/>
      <c r="L1277" s="4"/>
      <c r="M1277" s="2"/>
      <c r="N1277" s="2"/>
      <c r="O1277" s="2"/>
      <c r="P1277" s="2"/>
      <c r="Q1277" s="5"/>
      <c r="R1277" s="5"/>
      <c r="S1277" s="2"/>
      <c r="T1277" s="2"/>
      <c r="U1277" s="5"/>
      <c r="V1277" s="5"/>
      <c r="W1277" s="2"/>
      <c r="X1277" s="5"/>
      <c r="Y1277" s="1"/>
      <c r="Z1277" s="1"/>
      <c r="AA1277" s="1"/>
    </row>
    <row r="1278">
      <c r="A1278" s="1"/>
      <c r="B1278" s="14"/>
      <c r="C1278" s="2"/>
      <c r="D1278" s="2"/>
      <c r="E1278" s="2"/>
      <c r="F1278" s="2"/>
      <c r="G1278" s="2"/>
      <c r="H1278" s="3"/>
      <c r="I1278" s="2"/>
      <c r="J1278" s="2"/>
      <c r="K1278" s="4"/>
      <c r="L1278" s="4"/>
      <c r="M1278" s="2"/>
      <c r="N1278" s="2"/>
      <c r="O1278" s="2"/>
      <c r="P1278" s="2"/>
      <c r="Q1278" s="5"/>
      <c r="R1278" s="5"/>
      <c r="S1278" s="2"/>
      <c r="T1278" s="2"/>
      <c r="U1278" s="5"/>
      <c r="V1278" s="5"/>
      <c r="W1278" s="2"/>
      <c r="X1278" s="5"/>
      <c r="Y1278" s="1"/>
      <c r="Z1278" s="1"/>
      <c r="AA1278" s="1"/>
    </row>
    <row r="1279">
      <c r="A1279" s="1"/>
      <c r="B1279" s="14"/>
      <c r="C1279" s="2"/>
      <c r="D1279" s="2"/>
      <c r="E1279" s="2"/>
      <c r="F1279" s="2"/>
      <c r="G1279" s="2"/>
      <c r="H1279" s="3"/>
      <c r="I1279" s="2"/>
      <c r="J1279" s="2"/>
      <c r="K1279" s="4"/>
      <c r="L1279" s="4"/>
      <c r="M1279" s="2"/>
      <c r="N1279" s="2"/>
      <c r="O1279" s="2"/>
      <c r="P1279" s="2"/>
      <c r="Q1279" s="5"/>
      <c r="R1279" s="5"/>
      <c r="S1279" s="2"/>
      <c r="T1279" s="2"/>
      <c r="U1279" s="5"/>
      <c r="V1279" s="5"/>
      <c r="W1279" s="2"/>
      <c r="X1279" s="5"/>
      <c r="Y1279" s="1"/>
      <c r="Z1279" s="1"/>
      <c r="AA1279" s="1"/>
    </row>
    <row r="1280">
      <c r="A1280" s="1"/>
      <c r="B1280" s="14"/>
      <c r="C1280" s="2"/>
      <c r="D1280" s="2"/>
      <c r="E1280" s="2"/>
      <c r="F1280" s="2"/>
      <c r="G1280" s="2"/>
      <c r="H1280" s="3"/>
      <c r="I1280" s="2"/>
      <c r="J1280" s="2"/>
      <c r="K1280" s="4"/>
      <c r="L1280" s="4"/>
      <c r="M1280" s="2"/>
      <c r="N1280" s="2"/>
      <c r="O1280" s="2"/>
      <c r="P1280" s="2"/>
      <c r="Q1280" s="5"/>
      <c r="R1280" s="5"/>
      <c r="S1280" s="2"/>
      <c r="T1280" s="2"/>
      <c r="U1280" s="5"/>
      <c r="V1280" s="5"/>
      <c r="W1280" s="2"/>
      <c r="X1280" s="5"/>
      <c r="Y1280" s="1"/>
      <c r="Z1280" s="1"/>
      <c r="AA1280" s="1"/>
    </row>
    <row r="1281">
      <c r="A1281" s="1"/>
      <c r="B1281" s="14"/>
      <c r="C1281" s="2"/>
      <c r="D1281" s="2"/>
      <c r="E1281" s="2"/>
      <c r="F1281" s="2"/>
      <c r="G1281" s="2"/>
      <c r="H1281" s="3"/>
      <c r="I1281" s="2"/>
      <c r="J1281" s="2"/>
      <c r="K1281" s="4"/>
      <c r="L1281" s="4"/>
      <c r="M1281" s="2"/>
      <c r="N1281" s="2"/>
      <c r="O1281" s="2"/>
      <c r="P1281" s="2"/>
      <c r="Q1281" s="5"/>
      <c r="R1281" s="5"/>
      <c r="S1281" s="2"/>
      <c r="T1281" s="2"/>
      <c r="U1281" s="5"/>
      <c r="V1281" s="5"/>
      <c r="W1281" s="2"/>
      <c r="X1281" s="5"/>
      <c r="Y1281" s="1"/>
      <c r="Z1281" s="1"/>
      <c r="AA1281" s="1"/>
    </row>
    <row r="1282">
      <c r="A1282" s="1"/>
      <c r="B1282" s="14"/>
      <c r="C1282" s="2"/>
      <c r="D1282" s="2"/>
      <c r="E1282" s="2"/>
      <c r="F1282" s="2"/>
      <c r="G1282" s="2"/>
      <c r="H1282" s="3"/>
      <c r="I1282" s="2"/>
      <c r="J1282" s="2"/>
      <c r="K1282" s="4"/>
      <c r="L1282" s="4"/>
      <c r="M1282" s="2"/>
      <c r="N1282" s="2"/>
      <c r="O1282" s="2"/>
      <c r="P1282" s="2"/>
      <c r="Q1282" s="5"/>
      <c r="R1282" s="5"/>
      <c r="S1282" s="2"/>
      <c r="T1282" s="2"/>
      <c r="U1282" s="5"/>
      <c r="V1282" s="5"/>
      <c r="W1282" s="2"/>
      <c r="X1282" s="5"/>
      <c r="Y1282" s="1"/>
      <c r="Z1282" s="1"/>
      <c r="AA1282" s="1"/>
    </row>
    <row r="1283">
      <c r="A1283" s="1"/>
      <c r="B1283" s="14"/>
      <c r="C1283" s="2"/>
      <c r="D1283" s="2"/>
      <c r="E1283" s="2"/>
      <c r="F1283" s="2"/>
      <c r="G1283" s="2"/>
      <c r="H1283" s="3"/>
      <c r="I1283" s="2"/>
      <c r="J1283" s="2"/>
      <c r="K1283" s="4"/>
      <c r="L1283" s="4"/>
      <c r="M1283" s="2"/>
      <c r="N1283" s="2"/>
      <c r="O1283" s="2"/>
      <c r="P1283" s="2"/>
      <c r="Q1283" s="5"/>
      <c r="R1283" s="5"/>
      <c r="S1283" s="2"/>
      <c r="T1283" s="2"/>
      <c r="U1283" s="5"/>
      <c r="V1283" s="5"/>
      <c r="W1283" s="2"/>
      <c r="X1283" s="5"/>
      <c r="Y1283" s="1"/>
      <c r="Z1283" s="1"/>
      <c r="AA1283" s="1"/>
    </row>
    <row r="1284">
      <c r="A1284" s="1"/>
      <c r="B1284" s="14"/>
      <c r="C1284" s="2"/>
      <c r="D1284" s="2"/>
      <c r="E1284" s="2"/>
      <c r="F1284" s="2"/>
      <c r="G1284" s="2"/>
      <c r="H1284" s="3"/>
      <c r="I1284" s="2"/>
      <c r="J1284" s="2"/>
      <c r="K1284" s="4"/>
      <c r="L1284" s="4"/>
      <c r="M1284" s="2"/>
      <c r="N1284" s="2"/>
      <c r="O1284" s="2"/>
      <c r="P1284" s="2"/>
      <c r="Q1284" s="5"/>
      <c r="R1284" s="5"/>
      <c r="S1284" s="2"/>
      <c r="T1284" s="2"/>
      <c r="U1284" s="5"/>
      <c r="V1284" s="5"/>
      <c r="W1284" s="2"/>
      <c r="X1284" s="5"/>
      <c r="Y1284" s="1"/>
      <c r="Z1284" s="1"/>
      <c r="AA1284" s="1"/>
    </row>
    <row r="1285">
      <c r="A1285" s="1"/>
      <c r="B1285" s="14"/>
      <c r="C1285" s="2"/>
      <c r="D1285" s="2"/>
      <c r="E1285" s="2"/>
      <c r="F1285" s="2"/>
      <c r="G1285" s="2"/>
      <c r="H1285" s="3"/>
      <c r="I1285" s="2"/>
      <c r="J1285" s="2"/>
      <c r="K1285" s="4"/>
      <c r="L1285" s="4"/>
      <c r="M1285" s="2"/>
      <c r="N1285" s="2"/>
      <c r="O1285" s="2"/>
      <c r="P1285" s="2"/>
      <c r="Q1285" s="5"/>
      <c r="R1285" s="5"/>
      <c r="S1285" s="2"/>
      <c r="T1285" s="2"/>
      <c r="U1285" s="5"/>
      <c r="V1285" s="5"/>
      <c r="W1285" s="2"/>
      <c r="X1285" s="5"/>
      <c r="Y1285" s="1"/>
      <c r="Z1285" s="1"/>
      <c r="AA1285" s="1"/>
    </row>
    <row r="1286">
      <c r="A1286" s="1"/>
      <c r="B1286" s="14"/>
      <c r="C1286" s="2"/>
      <c r="D1286" s="2"/>
      <c r="E1286" s="2"/>
      <c r="F1286" s="2"/>
      <c r="G1286" s="2"/>
      <c r="H1286" s="3"/>
      <c r="I1286" s="2"/>
      <c r="J1286" s="2"/>
      <c r="K1286" s="4"/>
      <c r="L1286" s="4"/>
      <c r="M1286" s="2"/>
      <c r="N1286" s="2"/>
      <c r="O1286" s="2"/>
      <c r="P1286" s="2"/>
      <c r="Q1286" s="5"/>
      <c r="R1286" s="5"/>
      <c r="S1286" s="2"/>
      <c r="T1286" s="2"/>
      <c r="U1286" s="5"/>
      <c r="V1286" s="5"/>
      <c r="W1286" s="2"/>
      <c r="X1286" s="5"/>
      <c r="Y1286" s="1"/>
      <c r="Z1286" s="1"/>
      <c r="AA1286" s="1"/>
    </row>
    <row r="1287">
      <c r="A1287" s="1"/>
      <c r="B1287" s="14"/>
      <c r="C1287" s="2"/>
      <c r="D1287" s="2"/>
      <c r="E1287" s="2"/>
      <c r="F1287" s="2"/>
      <c r="G1287" s="2"/>
      <c r="H1287" s="3"/>
      <c r="I1287" s="2"/>
      <c r="J1287" s="2"/>
      <c r="K1287" s="4"/>
      <c r="L1287" s="4"/>
      <c r="M1287" s="2"/>
      <c r="N1287" s="2"/>
      <c r="O1287" s="2"/>
      <c r="P1287" s="2"/>
      <c r="Q1287" s="5"/>
      <c r="R1287" s="5"/>
      <c r="S1287" s="2"/>
      <c r="T1287" s="2"/>
      <c r="U1287" s="5"/>
      <c r="V1287" s="5"/>
      <c r="W1287" s="2"/>
      <c r="X1287" s="5"/>
      <c r="Y1287" s="1"/>
      <c r="Z1287" s="1"/>
      <c r="AA1287" s="1"/>
    </row>
    <row r="1288">
      <c r="A1288" s="1"/>
      <c r="B1288" s="14"/>
      <c r="C1288" s="2"/>
      <c r="D1288" s="2"/>
      <c r="E1288" s="2"/>
      <c r="F1288" s="2"/>
      <c r="G1288" s="2"/>
      <c r="H1288" s="3"/>
      <c r="I1288" s="2"/>
      <c r="J1288" s="2"/>
      <c r="K1288" s="4"/>
      <c r="L1288" s="4"/>
      <c r="M1288" s="2"/>
      <c r="N1288" s="2"/>
      <c r="O1288" s="2"/>
      <c r="P1288" s="2"/>
      <c r="Q1288" s="5"/>
      <c r="R1288" s="5"/>
      <c r="S1288" s="2"/>
      <c r="T1288" s="2"/>
      <c r="U1288" s="5"/>
      <c r="V1288" s="5"/>
      <c r="W1288" s="2"/>
      <c r="X1288" s="5"/>
      <c r="Y1288" s="1"/>
      <c r="Z1288" s="1"/>
      <c r="AA1288" s="1"/>
    </row>
    <row r="1289">
      <c r="A1289" s="1"/>
      <c r="B1289" s="14"/>
      <c r="C1289" s="2"/>
      <c r="D1289" s="2"/>
      <c r="E1289" s="2"/>
      <c r="F1289" s="2"/>
      <c r="G1289" s="2"/>
      <c r="H1289" s="3"/>
      <c r="I1289" s="2"/>
      <c r="J1289" s="2"/>
      <c r="K1289" s="4"/>
      <c r="L1289" s="4"/>
      <c r="M1289" s="2"/>
      <c r="N1289" s="2"/>
      <c r="O1289" s="2"/>
      <c r="P1289" s="2"/>
      <c r="Q1289" s="5"/>
      <c r="R1289" s="5"/>
      <c r="S1289" s="2"/>
      <c r="T1289" s="2"/>
      <c r="U1289" s="5"/>
      <c r="V1289" s="5"/>
      <c r="W1289" s="2"/>
      <c r="X1289" s="5"/>
      <c r="Y1289" s="1"/>
      <c r="Z1289" s="1"/>
      <c r="AA1289" s="1"/>
    </row>
    <row r="1290">
      <c r="A1290" s="1"/>
      <c r="B1290" s="14"/>
      <c r="C1290" s="2"/>
      <c r="D1290" s="2"/>
      <c r="E1290" s="2"/>
      <c r="F1290" s="2"/>
      <c r="G1290" s="2"/>
      <c r="H1290" s="3"/>
      <c r="I1290" s="2"/>
      <c r="J1290" s="2"/>
      <c r="K1290" s="4"/>
      <c r="L1290" s="4"/>
      <c r="M1290" s="2"/>
      <c r="N1290" s="2"/>
      <c r="O1290" s="2"/>
      <c r="P1290" s="2"/>
      <c r="Q1290" s="5"/>
      <c r="R1290" s="5"/>
      <c r="S1290" s="2"/>
      <c r="T1290" s="2"/>
      <c r="U1290" s="5"/>
      <c r="V1290" s="5"/>
      <c r="W1290" s="2"/>
      <c r="X1290" s="5"/>
      <c r="Y1290" s="1"/>
      <c r="Z1290" s="1"/>
      <c r="AA1290" s="1"/>
    </row>
    <row r="1291">
      <c r="A1291" s="1"/>
      <c r="B1291" s="14"/>
      <c r="C1291" s="2"/>
      <c r="D1291" s="2"/>
      <c r="E1291" s="2"/>
      <c r="F1291" s="2"/>
      <c r="G1291" s="2"/>
      <c r="H1291" s="3"/>
      <c r="I1291" s="2"/>
      <c r="J1291" s="2"/>
      <c r="K1291" s="4"/>
      <c r="L1291" s="4"/>
      <c r="M1291" s="2"/>
      <c r="N1291" s="2"/>
      <c r="O1291" s="2"/>
      <c r="P1291" s="2"/>
      <c r="Q1291" s="5"/>
      <c r="R1291" s="5"/>
      <c r="S1291" s="2"/>
      <c r="T1291" s="2"/>
      <c r="U1291" s="5"/>
      <c r="V1291" s="5"/>
      <c r="W1291" s="2"/>
      <c r="X1291" s="5"/>
      <c r="Y1291" s="1"/>
      <c r="Z1291" s="1"/>
      <c r="AA1291" s="1"/>
    </row>
    <row r="1292">
      <c r="A1292" s="1"/>
      <c r="B1292" s="14"/>
      <c r="C1292" s="2"/>
      <c r="D1292" s="2"/>
      <c r="E1292" s="2"/>
      <c r="F1292" s="2"/>
      <c r="G1292" s="2"/>
      <c r="H1292" s="3"/>
      <c r="I1292" s="2"/>
      <c r="J1292" s="2"/>
      <c r="K1292" s="4"/>
      <c r="L1292" s="4"/>
      <c r="M1292" s="2"/>
      <c r="N1292" s="2"/>
      <c r="O1292" s="2"/>
      <c r="P1292" s="2"/>
      <c r="Q1292" s="5"/>
      <c r="R1292" s="5"/>
      <c r="S1292" s="2"/>
      <c r="T1292" s="2"/>
      <c r="U1292" s="5"/>
      <c r="V1292" s="5"/>
      <c r="W1292" s="2"/>
      <c r="X1292" s="5"/>
      <c r="Y1292" s="1"/>
      <c r="Z1292" s="1"/>
      <c r="AA1292" s="1"/>
    </row>
    <row r="1293">
      <c r="A1293" s="1"/>
      <c r="B1293" s="14"/>
      <c r="C1293" s="2"/>
      <c r="D1293" s="2"/>
      <c r="E1293" s="2"/>
      <c r="F1293" s="2"/>
      <c r="G1293" s="2"/>
      <c r="H1293" s="3"/>
      <c r="I1293" s="2"/>
      <c r="J1293" s="2"/>
      <c r="K1293" s="4"/>
      <c r="L1293" s="4"/>
      <c r="M1293" s="2"/>
      <c r="N1293" s="2"/>
      <c r="O1293" s="2"/>
      <c r="P1293" s="2"/>
      <c r="Q1293" s="5"/>
      <c r="R1293" s="5"/>
      <c r="S1293" s="2"/>
      <c r="T1293" s="2"/>
      <c r="U1293" s="5"/>
      <c r="V1293" s="5"/>
      <c r="W1293" s="2"/>
      <c r="X1293" s="5"/>
      <c r="Y1293" s="1"/>
      <c r="Z1293" s="1"/>
      <c r="AA1293" s="1"/>
    </row>
    <row r="1294">
      <c r="A1294" s="1"/>
      <c r="B1294" s="14"/>
      <c r="C1294" s="2"/>
      <c r="D1294" s="2"/>
      <c r="E1294" s="2"/>
      <c r="F1294" s="2"/>
      <c r="G1294" s="2"/>
      <c r="H1294" s="3"/>
      <c r="I1294" s="2"/>
      <c r="J1294" s="2"/>
      <c r="K1294" s="4"/>
      <c r="L1294" s="4"/>
      <c r="M1294" s="2"/>
      <c r="N1294" s="2"/>
      <c r="O1294" s="2"/>
      <c r="P1294" s="2"/>
      <c r="Q1294" s="5"/>
      <c r="R1294" s="5"/>
      <c r="S1294" s="2"/>
      <c r="T1294" s="2"/>
      <c r="U1294" s="5"/>
      <c r="V1294" s="5"/>
      <c r="W1294" s="2"/>
      <c r="X1294" s="5"/>
      <c r="Y1294" s="1"/>
      <c r="Z1294" s="1"/>
      <c r="AA1294" s="1"/>
    </row>
    <row r="1295">
      <c r="A1295" s="1"/>
      <c r="B1295" s="14"/>
      <c r="C1295" s="2"/>
      <c r="D1295" s="2"/>
      <c r="E1295" s="2"/>
      <c r="F1295" s="2"/>
      <c r="G1295" s="2"/>
      <c r="H1295" s="3"/>
      <c r="I1295" s="2"/>
      <c r="J1295" s="2"/>
      <c r="K1295" s="4"/>
      <c r="L1295" s="4"/>
      <c r="M1295" s="2"/>
      <c r="N1295" s="2"/>
      <c r="O1295" s="2"/>
      <c r="P1295" s="2"/>
      <c r="Q1295" s="5"/>
      <c r="R1295" s="5"/>
      <c r="S1295" s="2"/>
      <c r="T1295" s="2"/>
      <c r="U1295" s="5"/>
      <c r="V1295" s="5"/>
      <c r="W1295" s="2"/>
      <c r="X1295" s="5"/>
      <c r="Y1295" s="1"/>
      <c r="Z1295" s="1"/>
      <c r="AA1295" s="1"/>
    </row>
    <row r="1296">
      <c r="A1296" s="1"/>
      <c r="B1296" s="14"/>
      <c r="C1296" s="2"/>
      <c r="D1296" s="2"/>
      <c r="E1296" s="2"/>
      <c r="F1296" s="2"/>
      <c r="G1296" s="2"/>
      <c r="H1296" s="3"/>
      <c r="I1296" s="2"/>
      <c r="J1296" s="2"/>
      <c r="K1296" s="4"/>
      <c r="L1296" s="4"/>
      <c r="M1296" s="2"/>
      <c r="N1296" s="2"/>
      <c r="O1296" s="2"/>
      <c r="P1296" s="2"/>
      <c r="Q1296" s="5"/>
      <c r="R1296" s="5"/>
      <c r="S1296" s="2"/>
      <c r="T1296" s="2"/>
      <c r="U1296" s="5"/>
      <c r="V1296" s="5"/>
      <c r="W1296" s="2"/>
      <c r="X1296" s="5"/>
      <c r="Y1296" s="1"/>
      <c r="Z1296" s="1"/>
      <c r="AA1296" s="1"/>
    </row>
    <row r="1297">
      <c r="A1297" s="1"/>
      <c r="B1297" s="14"/>
      <c r="C1297" s="2"/>
      <c r="D1297" s="2"/>
      <c r="E1297" s="2"/>
      <c r="F1297" s="2"/>
      <c r="G1297" s="2"/>
      <c r="H1297" s="3"/>
      <c r="I1297" s="2"/>
      <c r="J1297" s="2"/>
      <c r="K1297" s="4"/>
      <c r="L1297" s="4"/>
      <c r="M1297" s="2"/>
      <c r="N1297" s="2"/>
      <c r="O1297" s="2"/>
      <c r="P1297" s="2"/>
      <c r="Q1297" s="5"/>
      <c r="R1297" s="5"/>
      <c r="S1297" s="2"/>
      <c r="T1297" s="2"/>
      <c r="U1297" s="5"/>
      <c r="V1297" s="5"/>
      <c r="W1297" s="2"/>
      <c r="X1297" s="5"/>
      <c r="Y1297" s="1"/>
      <c r="Z1297" s="1"/>
      <c r="AA1297" s="1"/>
    </row>
    <row r="1298">
      <c r="A1298" s="1"/>
      <c r="B1298" s="14"/>
      <c r="C1298" s="2"/>
      <c r="D1298" s="2"/>
      <c r="E1298" s="2"/>
      <c r="F1298" s="2"/>
      <c r="G1298" s="2"/>
      <c r="H1298" s="3"/>
      <c r="I1298" s="2"/>
      <c r="J1298" s="2"/>
      <c r="K1298" s="4"/>
      <c r="L1298" s="4"/>
      <c r="M1298" s="2"/>
      <c r="N1298" s="2"/>
      <c r="O1298" s="2"/>
      <c r="P1298" s="2"/>
      <c r="Q1298" s="5"/>
      <c r="R1298" s="5"/>
      <c r="S1298" s="2"/>
      <c r="T1298" s="2"/>
      <c r="U1298" s="5"/>
      <c r="V1298" s="5"/>
      <c r="W1298" s="2"/>
      <c r="X1298" s="5"/>
      <c r="Y1298" s="1"/>
      <c r="Z1298" s="1"/>
      <c r="AA1298" s="1"/>
    </row>
    <row r="1299">
      <c r="A1299" s="1"/>
      <c r="B1299" s="14"/>
      <c r="C1299" s="2"/>
      <c r="D1299" s="2"/>
      <c r="E1299" s="2"/>
      <c r="F1299" s="2"/>
      <c r="G1299" s="2"/>
      <c r="H1299" s="3"/>
      <c r="I1299" s="2"/>
      <c r="J1299" s="2"/>
      <c r="K1299" s="4"/>
      <c r="L1299" s="4"/>
      <c r="M1299" s="2"/>
      <c r="N1299" s="2"/>
      <c r="O1299" s="2"/>
      <c r="P1299" s="2"/>
      <c r="Q1299" s="5"/>
      <c r="R1299" s="5"/>
      <c r="S1299" s="2"/>
      <c r="T1299" s="2"/>
      <c r="U1299" s="5"/>
      <c r="V1299" s="5"/>
      <c r="W1299" s="2"/>
      <c r="X1299" s="5"/>
      <c r="Y1299" s="1"/>
      <c r="Z1299" s="1"/>
      <c r="AA1299" s="1"/>
    </row>
    <row r="1300">
      <c r="A1300" s="1"/>
      <c r="B1300" s="14"/>
      <c r="C1300" s="2"/>
      <c r="D1300" s="2"/>
      <c r="E1300" s="2"/>
      <c r="F1300" s="2"/>
      <c r="G1300" s="2"/>
      <c r="H1300" s="3"/>
      <c r="I1300" s="2"/>
      <c r="J1300" s="2"/>
      <c r="K1300" s="4"/>
      <c r="L1300" s="4"/>
      <c r="M1300" s="2"/>
      <c r="N1300" s="2"/>
      <c r="O1300" s="2"/>
      <c r="P1300" s="2"/>
      <c r="Q1300" s="5"/>
      <c r="R1300" s="5"/>
      <c r="S1300" s="2"/>
      <c r="T1300" s="2"/>
      <c r="U1300" s="5"/>
      <c r="V1300" s="5"/>
      <c r="W1300" s="2"/>
      <c r="X1300" s="5"/>
      <c r="Y1300" s="1"/>
      <c r="Z1300" s="1"/>
      <c r="AA1300" s="1"/>
    </row>
    <row r="1301">
      <c r="A1301" s="1"/>
      <c r="B1301" s="14"/>
      <c r="C1301" s="2"/>
      <c r="D1301" s="2"/>
      <c r="E1301" s="2"/>
      <c r="F1301" s="2"/>
      <c r="G1301" s="2"/>
      <c r="H1301" s="3"/>
      <c r="I1301" s="2"/>
      <c r="J1301" s="2"/>
      <c r="K1301" s="4"/>
      <c r="L1301" s="4"/>
      <c r="M1301" s="2"/>
      <c r="N1301" s="2"/>
      <c r="O1301" s="2"/>
      <c r="P1301" s="2"/>
      <c r="Q1301" s="5"/>
      <c r="R1301" s="5"/>
      <c r="S1301" s="2"/>
      <c r="T1301" s="2"/>
      <c r="U1301" s="5"/>
      <c r="V1301" s="5"/>
      <c r="W1301" s="2"/>
      <c r="X1301" s="5"/>
      <c r="Y1301" s="1"/>
      <c r="Z1301" s="1"/>
      <c r="AA1301" s="1"/>
    </row>
    <row r="1302">
      <c r="A1302" s="1"/>
      <c r="B1302" s="14"/>
      <c r="C1302" s="2"/>
      <c r="D1302" s="2"/>
      <c r="E1302" s="2"/>
      <c r="F1302" s="2"/>
      <c r="G1302" s="2"/>
      <c r="H1302" s="3"/>
      <c r="I1302" s="2"/>
      <c r="J1302" s="2"/>
      <c r="K1302" s="4"/>
      <c r="L1302" s="4"/>
      <c r="M1302" s="2"/>
      <c r="N1302" s="2"/>
      <c r="O1302" s="2"/>
      <c r="P1302" s="2"/>
      <c r="Q1302" s="5"/>
      <c r="R1302" s="5"/>
      <c r="S1302" s="2"/>
      <c r="T1302" s="2"/>
      <c r="U1302" s="5"/>
      <c r="V1302" s="5"/>
      <c r="W1302" s="2"/>
      <c r="X1302" s="5"/>
      <c r="Y1302" s="1"/>
      <c r="Z1302" s="1"/>
      <c r="AA1302" s="1"/>
    </row>
    <row r="1303">
      <c r="A1303" s="1"/>
      <c r="B1303" s="14"/>
      <c r="C1303" s="2"/>
      <c r="D1303" s="2"/>
      <c r="E1303" s="2"/>
      <c r="F1303" s="2"/>
      <c r="G1303" s="2"/>
      <c r="H1303" s="3"/>
      <c r="I1303" s="2"/>
      <c r="J1303" s="2"/>
      <c r="K1303" s="4"/>
      <c r="L1303" s="4"/>
      <c r="M1303" s="2"/>
      <c r="N1303" s="2"/>
      <c r="O1303" s="2"/>
      <c r="P1303" s="2"/>
      <c r="Q1303" s="5"/>
      <c r="R1303" s="5"/>
      <c r="S1303" s="2"/>
      <c r="T1303" s="2"/>
      <c r="U1303" s="5"/>
      <c r="V1303" s="5"/>
      <c r="W1303" s="2"/>
      <c r="X1303" s="5"/>
      <c r="Y1303" s="1"/>
      <c r="Z1303" s="1"/>
      <c r="AA1303" s="1"/>
    </row>
    <row r="1304">
      <c r="A1304" s="1"/>
      <c r="B1304" s="14"/>
      <c r="C1304" s="2"/>
      <c r="D1304" s="2"/>
      <c r="E1304" s="2"/>
      <c r="F1304" s="2"/>
      <c r="G1304" s="2"/>
      <c r="H1304" s="3"/>
      <c r="I1304" s="2"/>
      <c r="J1304" s="2"/>
      <c r="K1304" s="4"/>
      <c r="L1304" s="4"/>
      <c r="M1304" s="2"/>
      <c r="N1304" s="2"/>
      <c r="O1304" s="2"/>
      <c r="P1304" s="2"/>
      <c r="Q1304" s="5"/>
      <c r="R1304" s="5"/>
      <c r="S1304" s="2"/>
      <c r="T1304" s="2"/>
      <c r="U1304" s="5"/>
      <c r="V1304" s="5"/>
      <c r="W1304" s="2"/>
      <c r="X1304" s="5"/>
      <c r="Y1304" s="1"/>
      <c r="Z1304" s="1"/>
      <c r="AA1304" s="1"/>
    </row>
    <row r="1305">
      <c r="A1305" s="1"/>
      <c r="B1305" s="14"/>
      <c r="C1305" s="2"/>
      <c r="D1305" s="2"/>
      <c r="E1305" s="2"/>
      <c r="F1305" s="2"/>
      <c r="G1305" s="2"/>
      <c r="H1305" s="3"/>
      <c r="I1305" s="2"/>
      <c r="J1305" s="2"/>
      <c r="K1305" s="4"/>
      <c r="L1305" s="4"/>
      <c r="M1305" s="2"/>
      <c r="N1305" s="2"/>
      <c r="O1305" s="2"/>
      <c r="P1305" s="2"/>
      <c r="Q1305" s="5"/>
      <c r="R1305" s="5"/>
      <c r="S1305" s="2"/>
      <c r="T1305" s="2"/>
      <c r="U1305" s="5"/>
      <c r="V1305" s="5"/>
      <c r="W1305" s="2"/>
      <c r="X1305" s="5"/>
      <c r="Y1305" s="1"/>
      <c r="Z1305" s="1"/>
      <c r="AA1305" s="1"/>
    </row>
    <row r="1306">
      <c r="A1306" s="1"/>
      <c r="B1306" s="14"/>
      <c r="C1306" s="2"/>
      <c r="D1306" s="2"/>
      <c r="E1306" s="2"/>
      <c r="F1306" s="2"/>
      <c r="G1306" s="2"/>
      <c r="H1306" s="3"/>
      <c r="I1306" s="2"/>
      <c r="J1306" s="2"/>
      <c r="K1306" s="4"/>
      <c r="L1306" s="4"/>
      <c r="M1306" s="2"/>
      <c r="N1306" s="2"/>
      <c r="O1306" s="2"/>
      <c r="P1306" s="2"/>
      <c r="Q1306" s="5"/>
      <c r="R1306" s="5"/>
      <c r="S1306" s="2"/>
      <c r="T1306" s="2"/>
      <c r="U1306" s="5"/>
      <c r="V1306" s="5"/>
      <c r="W1306" s="2"/>
      <c r="X1306" s="5"/>
      <c r="Y1306" s="1"/>
      <c r="Z1306" s="1"/>
      <c r="AA1306" s="1"/>
    </row>
    <row r="1307">
      <c r="A1307" s="1"/>
      <c r="B1307" s="14"/>
      <c r="C1307" s="2"/>
      <c r="D1307" s="2"/>
      <c r="E1307" s="2"/>
      <c r="F1307" s="2"/>
      <c r="G1307" s="2"/>
      <c r="H1307" s="3"/>
      <c r="I1307" s="2"/>
      <c r="J1307" s="2"/>
      <c r="K1307" s="4"/>
      <c r="L1307" s="4"/>
      <c r="M1307" s="2"/>
      <c r="N1307" s="2"/>
      <c r="O1307" s="2"/>
      <c r="P1307" s="2"/>
      <c r="Q1307" s="5"/>
      <c r="R1307" s="5"/>
      <c r="S1307" s="2"/>
      <c r="T1307" s="2"/>
      <c r="U1307" s="5"/>
      <c r="V1307" s="5"/>
      <c r="W1307" s="2"/>
      <c r="X1307" s="5"/>
      <c r="Y1307" s="1"/>
      <c r="Z1307" s="1"/>
      <c r="AA1307" s="1"/>
    </row>
    <row r="1308">
      <c r="A1308" s="1"/>
      <c r="B1308" s="14"/>
      <c r="C1308" s="2"/>
      <c r="D1308" s="2"/>
      <c r="E1308" s="2"/>
      <c r="F1308" s="2"/>
      <c r="G1308" s="2"/>
      <c r="H1308" s="3"/>
      <c r="I1308" s="2"/>
      <c r="J1308" s="2"/>
      <c r="K1308" s="4"/>
      <c r="L1308" s="4"/>
      <c r="M1308" s="2"/>
      <c r="N1308" s="2"/>
      <c r="O1308" s="2"/>
      <c r="P1308" s="2"/>
      <c r="Q1308" s="5"/>
      <c r="R1308" s="5"/>
      <c r="S1308" s="2"/>
      <c r="T1308" s="2"/>
      <c r="U1308" s="5"/>
      <c r="V1308" s="5"/>
      <c r="W1308" s="2"/>
      <c r="X1308" s="5"/>
      <c r="Y1308" s="1"/>
      <c r="Z1308" s="1"/>
      <c r="AA1308" s="1"/>
    </row>
    <row r="1309">
      <c r="A1309" s="1"/>
      <c r="B1309" s="14"/>
      <c r="C1309" s="2"/>
      <c r="D1309" s="2"/>
      <c r="E1309" s="2"/>
      <c r="F1309" s="2"/>
      <c r="G1309" s="2"/>
      <c r="H1309" s="3"/>
      <c r="I1309" s="2"/>
      <c r="J1309" s="2"/>
      <c r="K1309" s="4"/>
      <c r="L1309" s="4"/>
      <c r="M1309" s="2"/>
      <c r="N1309" s="2"/>
      <c r="O1309" s="2"/>
      <c r="P1309" s="2"/>
      <c r="Q1309" s="5"/>
      <c r="R1309" s="5"/>
      <c r="S1309" s="2"/>
      <c r="T1309" s="2"/>
      <c r="U1309" s="5"/>
      <c r="V1309" s="5"/>
      <c r="W1309" s="2"/>
      <c r="X1309" s="5"/>
      <c r="Y1309" s="1"/>
      <c r="Z1309" s="1"/>
      <c r="AA1309" s="1"/>
    </row>
    <row r="1310">
      <c r="A1310" s="1"/>
      <c r="B1310" s="14"/>
      <c r="C1310" s="2"/>
      <c r="D1310" s="2"/>
      <c r="E1310" s="2"/>
      <c r="F1310" s="2"/>
      <c r="G1310" s="2"/>
      <c r="H1310" s="3"/>
      <c r="I1310" s="2"/>
      <c r="J1310" s="2"/>
      <c r="K1310" s="4"/>
      <c r="L1310" s="4"/>
      <c r="M1310" s="2"/>
      <c r="N1310" s="2"/>
      <c r="O1310" s="2"/>
      <c r="P1310" s="2"/>
      <c r="Q1310" s="5"/>
      <c r="R1310" s="5"/>
      <c r="S1310" s="2"/>
      <c r="T1310" s="2"/>
      <c r="U1310" s="5"/>
      <c r="V1310" s="5"/>
      <c r="W1310" s="2"/>
      <c r="X1310" s="5"/>
      <c r="Y1310" s="1"/>
      <c r="Z1310" s="1"/>
      <c r="AA1310" s="1"/>
    </row>
    <row r="1311">
      <c r="A1311" s="1"/>
      <c r="B1311" s="14"/>
      <c r="C1311" s="2"/>
      <c r="D1311" s="2"/>
      <c r="E1311" s="2"/>
      <c r="F1311" s="2"/>
      <c r="G1311" s="2"/>
      <c r="H1311" s="3"/>
      <c r="I1311" s="2"/>
      <c r="J1311" s="2"/>
      <c r="K1311" s="4"/>
      <c r="L1311" s="4"/>
      <c r="M1311" s="2"/>
      <c r="N1311" s="2"/>
      <c r="O1311" s="2"/>
      <c r="P1311" s="2"/>
      <c r="Q1311" s="5"/>
      <c r="R1311" s="5"/>
      <c r="S1311" s="2"/>
      <c r="T1311" s="2"/>
      <c r="U1311" s="5"/>
      <c r="V1311" s="5"/>
      <c r="W1311" s="2"/>
      <c r="X1311" s="5"/>
      <c r="Y1311" s="1"/>
      <c r="Z1311" s="1"/>
      <c r="AA1311" s="1"/>
    </row>
    <row r="1312">
      <c r="A1312" s="1"/>
      <c r="B1312" s="14"/>
      <c r="C1312" s="2"/>
      <c r="D1312" s="2"/>
      <c r="E1312" s="2"/>
      <c r="F1312" s="2"/>
      <c r="G1312" s="2"/>
      <c r="H1312" s="3"/>
      <c r="I1312" s="2"/>
      <c r="J1312" s="2"/>
      <c r="K1312" s="4"/>
      <c r="L1312" s="4"/>
      <c r="M1312" s="2"/>
      <c r="N1312" s="2"/>
      <c r="O1312" s="2"/>
      <c r="P1312" s="2"/>
      <c r="Q1312" s="5"/>
      <c r="R1312" s="5"/>
      <c r="S1312" s="2"/>
      <c r="T1312" s="2"/>
      <c r="U1312" s="5"/>
      <c r="V1312" s="5"/>
      <c r="W1312" s="2"/>
      <c r="X1312" s="5"/>
      <c r="Y1312" s="1"/>
      <c r="Z1312" s="1"/>
      <c r="AA1312" s="1"/>
    </row>
    <row r="1313">
      <c r="A1313" s="1"/>
      <c r="B1313" s="14"/>
      <c r="C1313" s="2"/>
      <c r="D1313" s="2"/>
      <c r="E1313" s="2"/>
      <c r="F1313" s="2"/>
      <c r="G1313" s="2"/>
      <c r="H1313" s="3"/>
      <c r="I1313" s="2"/>
      <c r="J1313" s="2"/>
      <c r="K1313" s="4"/>
      <c r="L1313" s="4"/>
      <c r="M1313" s="2"/>
      <c r="N1313" s="2"/>
      <c r="O1313" s="2"/>
      <c r="P1313" s="2"/>
      <c r="Q1313" s="5"/>
      <c r="R1313" s="5"/>
      <c r="S1313" s="2"/>
      <c r="T1313" s="2"/>
      <c r="U1313" s="5"/>
      <c r="V1313" s="5"/>
      <c r="W1313" s="2"/>
      <c r="X1313" s="5"/>
      <c r="Y1313" s="1"/>
      <c r="Z1313" s="1"/>
      <c r="AA1313" s="1"/>
    </row>
    <row r="1314">
      <c r="A1314" s="1"/>
      <c r="B1314" s="14"/>
      <c r="C1314" s="2"/>
      <c r="D1314" s="2"/>
      <c r="E1314" s="2"/>
      <c r="F1314" s="2"/>
      <c r="G1314" s="2"/>
      <c r="H1314" s="3"/>
      <c r="I1314" s="2"/>
      <c r="J1314" s="2"/>
      <c r="K1314" s="4"/>
      <c r="L1314" s="4"/>
      <c r="M1314" s="2"/>
      <c r="N1314" s="2"/>
      <c r="O1314" s="2"/>
      <c r="P1314" s="2"/>
      <c r="Q1314" s="5"/>
      <c r="R1314" s="5"/>
      <c r="S1314" s="2"/>
      <c r="T1314" s="2"/>
      <c r="U1314" s="5"/>
      <c r="V1314" s="5"/>
      <c r="W1314" s="2"/>
      <c r="X1314" s="5"/>
      <c r="Y1314" s="1"/>
      <c r="Z1314" s="1"/>
      <c r="AA1314" s="1"/>
    </row>
    <row r="1315">
      <c r="A1315" s="1"/>
      <c r="B1315" s="14"/>
      <c r="C1315" s="2"/>
      <c r="D1315" s="2"/>
      <c r="E1315" s="2"/>
      <c r="F1315" s="2"/>
      <c r="G1315" s="2"/>
      <c r="H1315" s="3"/>
      <c r="I1315" s="2"/>
      <c r="J1315" s="2"/>
      <c r="K1315" s="4"/>
      <c r="L1315" s="4"/>
      <c r="M1315" s="2"/>
      <c r="N1315" s="2"/>
      <c r="O1315" s="2"/>
      <c r="P1315" s="2"/>
      <c r="Q1315" s="5"/>
      <c r="R1315" s="5"/>
      <c r="S1315" s="2"/>
      <c r="T1315" s="2"/>
      <c r="U1315" s="5"/>
      <c r="V1315" s="5"/>
      <c r="W1315" s="2"/>
      <c r="X1315" s="5"/>
      <c r="Y1315" s="1"/>
      <c r="Z1315" s="1"/>
      <c r="AA1315" s="1"/>
    </row>
    <row r="1316">
      <c r="A1316" s="1"/>
      <c r="B1316" s="14"/>
      <c r="C1316" s="2"/>
      <c r="D1316" s="2"/>
      <c r="E1316" s="2"/>
      <c r="F1316" s="2"/>
      <c r="G1316" s="2"/>
      <c r="H1316" s="3"/>
      <c r="I1316" s="2"/>
      <c r="J1316" s="2"/>
      <c r="K1316" s="4"/>
      <c r="L1316" s="4"/>
      <c r="M1316" s="2"/>
      <c r="N1316" s="2"/>
      <c r="O1316" s="2"/>
      <c r="P1316" s="2"/>
      <c r="Q1316" s="5"/>
      <c r="R1316" s="5"/>
      <c r="S1316" s="2"/>
      <c r="T1316" s="2"/>
      <c r="U1316" s="5"/>
      <c r="V1316" s="5"/>
      <c r="W1316" s="2"/>
      <c r="X1316" s="5"/>
      <c r="Y1316" s="1"/>
      <c r="Z1316" s="1"/>
      <c r="AA1316" s="1"/>
    </row>
    <row r="1317">
      <c r="A1317" s="1"/>
      <c r="B1317" s="14"/>
      <c r="C1317" s="2"/>
      <c r="D1317" s="2"/>
      <c r="E1317" s="2"/>
      <c r="F1317" s="2"/>
      <c r="G1317" s="2"/>
      <c r="H1317" s="3"/>
      <c r="I1317" s="2"/>
      <c r="J1317" s="2"/>
      <c r="K1317" s="4"/>
      <c r="L1317" s="4"/>
      <c r="M1317" s="2"/>
      <c r="N1317" s="2"/>
      <c r="O1317" s="2"/>
      <c r="P1317" s="2"/>
      <c r="Q1317" s="5"/>
      <c r="R1317" s="5"/>
      <c r="S1317" s="2"/>
      <c r="T1317" s="2"/>
      <c r="U1317" s="5"/>
      <c r="V1317" s="5"/>
      <c r="W1317" s="2"/>
      <c r="X1317" s="5"/>
      <c r="Y1317" s="1"/>
      <c r="Z1317" s="1"/>
      <c r="AA1317" s="1"/>
    </row>
    <row r="1318">
      <c r="A1318" s="1"/>
      <c r="B1318" s="14"/>
      <c r="C1318" s="2"/>
      <c r="D1318" s="2"/>
      <c r="E1318" s="2"/>
      <c r="F1318" s="2"/>
      <c r="G1318" s="2"/>
      <c r="H1318" s="3"/>
      <c r="I1318" s="2"/>
      <c r="J1318" s="2"/>
      <c r="K1318" s="4"/>
      <c r="L1318" s="4"/>
      <c r="M1318" s="2"/>
      <c r="N1318" s="2"/>
      <c r="O1318" s="2"/>
      <c r="P1318" s="2"/>
      <c r="Q1318" s="5"/>
      <c r="R1318" s="5"/>
      <c r="S1318" s="2"/>
      <c r="T1318" s="2"/>
      <c r="U1318" s="5"/>
      <c r="V1318" s="5"/>
      <c r="W1318" s="2"/>
      <c r="X1318" s="5"/>
      <c r="Y1318" s="1"/>
      <c r="Z1318" s="1"/>
      <c r="AA1318" s="1"/>
    </row>
    <row r="1319">
      <c r="A1319" s="1"/>
      <c r="B1319" s="14"/>
      <c r="C1319" s="2"/>
      <c r="D1319" s="2"/>
      <c r="E1319" s="2"/>
      <c r="F1319" s="2"/>
      <c r="G1319" s="2"/>
      <c r="H1319" s="3"/>
      <c r="I1319" s="2"/>
      <c r="J1319" s="2"/>
      <c r="K1319" s="4"/>
      <c r="L1319" s="4"/>
      <c r="M1319" s="2"/>
      <c r="N1319" s="2"/>
      <c r="O1319" s="2"/>
      <c r="P1319" s="2"/>
      <c r="Q1319" s="5"/>
      <c r="R1319" s="5"/>
      <c r="S1319" s="2"/>
      <c r="T1319" s="2"/>
      <c r="U1319" s="5"/>
      <c r="V1319" s="5"/>
      <c r="W1319" s="2"/>
      <c r="X1319" s="5"/>
      <c r="Y1319" s="1"/>
      <c r="Z1319" s="1"/>
      <c r="AA1319" s="1"/>
    </row>
    <row r="1320">
      <c r="A1320" s="1"/>
      <c r="B1320" s="14"/>
      <c r="C1320" s="2"/>
      <c r="D1320" s="2"/>
      <c r="E1320" s="2"/>
      <c r="F1320" s="2"/>
      <c r="G1320" s="2"/>
      <c r="H1320" s="3"/>
      <c r="I1320" s="2"/>
      <c r="J1320" s="2"/>
      <c r="K1320" s="4"/>
      <c r="L1320" s="4"/>
      <c r="M1320" s="2"/>
      <c r="N1320" s="2"/>
      <c r="O1320" s="2"/>
      <c r="P1320" s="2"/>
      <c r="Q1320" s="5"/>
      <c r="R1320" s="5"/>
      <c r="S1320" s="2"/>
      <c r="T1320" s="2"/>
      <c r="U1320" s="5"/>
      <c r="V1320" s="5"/>
      <c r="W1320" s="2"/>
      <c r="X1320" s="5"/>
      <c r="Y1320" s="1"/>
      <c r="Z1320" s="1"/>
      <c r="AA1320" s="1"/>
    </row>
    <row r="1321">
      <c r="A1321" s="1"/>
      <c r="B1321" s="14"/>
      <c r="C1321" s="2"/>
      <c r="D1321" s="2"/>
      <c r="E1321" s="2"/>
      <c r="F1321" s="2"/>
      <c r="G1321" s="2"/>
      <c r="H1321" s="3"/>
      <c r="I1321" s="2"/>
      <c r="J1321" s="2"/>
      <c r="K1321" s="4"/>
      <c r="L1321" s="4"/>
      <c r="M1321" s="2"/>
      <c r="N1321" s="2"/>
      <c r="O1321" s="2"/>
      <c r="P1321" s="2"/>
      <c r="Q1321" s="5"/>
      <c r="R1321" s="5"/>
      <c r="S1321" s="2"/>
      <c r="T1321" s="2"/>
      <c r="U1321" s="5"/>
      <c r="V1321" s="5"/>
      <c r="W1321" s="2"/>
      <c r="X1321" s="5"/>
      <c r="Y1321" s="1"/>
      <c r="Z1321" s="1"/>
      <c r="AA1321" s="1"/>
    </row>
    <row r="1322">
      <c r="A1322" s="1"/>
      <c r="B1322" s="14"/>
      <c r="C1322" s="2"/>
      <c r="D1322" s="2"/>
      <c r="E1322" s="2"/>
      <c r="F1322" s="2"/>
      <c r="G1322" s="2"/>
      <c r="H1322" s="3"/>
      <c r="I1322" s="2"/>
      <c r="J1322" s="2"/>
      <c r="K1322" s="4"/>
      <c r="L1322" s="4"/>
      <c r="M1322" s="2"/>
      <c r="N1322" s="2"/>
      <c r="O1322" s="2"/>
      <c r="P1322" s="2"/>
      <c r="Q1322" s="5"/>
      <c r="R1322" s="5"/>
      <c r="S1322" s="2"/>
      <c r="T1322" s="2"/>
      <c r="U1322" s="5"/>
      <c r="V1322" s="5"/>
      <c r="W1322" s="2"/>
      <c r="X1322" s="5"/>
      <c r="Y1322" s="1"/>
      <c r="Z1322" s="1"/>
      <c r="AA1322" s="1"/>
    </row>
    <row r="1323">
      <c r="A1323" s="1"/>
      <c r="B1323" s="14"/>
      <c r="C1323" s="2"/>
      <c r="D1323" s="2"/>
      <c r="E1323" s="2"/>
      <c r="F1323" s="2"/>
      <c r="G1323" s="2"/>
      <c r="H1323" s="3"/>
      <c r="I1323" s="2"/>
      <c r="J1323" s="2"/>
      <c r="K1323" s="4"/>
      <c r="L1323" s="4"/>
      <c r="M1323" s="2"/>
      <c r="N1323" s="2"/>
      <c r="O1323" s="2"/>
      <c r="P1323" s="2"/>
      <c r="Q1323" s="5"/>
      <c r="R1323" s="5"/>
      <c r="S1323" s="2"/>
      <c r="T1323" s="2"/>
      <c r="U1323" s="5"/>
      <c r="V1323" s="5"/>
      <c r="W1323" s="2"/>
      <c r="X1323" s="5"/>
      <c r="Y1323" s="1"/>
      <c r="Z1323" s="1"/>
      <c r="AA1323" s="1"/>
    </row>
    <row r="1324">
      <c r="A1324" s="1"/>
      <c r="B1324" s="14"/>
      <c r="C1324" s="2"/>
      <c r="D1324" s="2"/>
      <c r="E1324" s="2"/>
      <c r="F1324" s="2"/>
      <c r="G1324" s="2"/>
      <c r="H1324" s="3"/>
      <c r="I1324" s="2"/>
      <c r="J1324" s="2"/>
      <c r="K1324" s="4"/>
      <c r="L1324" s="4"/>
      <c r="M1324" s="2"/>
      <c r="N1324" s="2"/>
      <c r="O1324" s="2"/>
      <c r="P1324" s="2"/>
      <c r="Q1324" s="5"/>
      <c r="R1324" s="5"/>
      <c r="S1324" s="2"/>
      <c r="T1324" s="2"/>
      <c r="U1324" s="5"/>
      <c r="V1324" s="5"/>
      <c r="W1324" s="2"/>
      <c r="X1324" s="5"/>
      <c r="Y1324" s="1"/>
      <c r="Z1324" s="1"/>
      <c r="AA1324" s="1"/>
    </row>
    <row r="1325">
      <c r="A1325" s="1"/>
      <c r="B1325" s="14"/>
      <c r="C1325" s="2"/>
      <c r="D1325" s="2"/>
      <c r="E1325" s="2"/>
      <c r="F1325" s="2"/>
      <c r="G1325" s="2"/>
      <c r="H1325" s="3"/>
      <c r="I1325" s="2"/>
      <c r="J1325" s="2"/>
      <c r="K1325" s="4"/>
      <c r="L1325" s="4"/>
      <c r="M1325" s="2"/>
      <c r="N1325" s="2"/>
      <c r="O1325" s="2"/>
      <c r="P1325" s="2"/>
      <c r="Q1325" s="5"/>
      <c r="R1325" s="5"/>
      <c r="S1325" s="2"/>
      <c r="T1325" s="2"/>
      <c r="U1325" s="5"/>
      <c r="V1325" s="5"/>
      <c r="W1325" s="2"/>
      <c r="X1325" s="5"/>
      <c r="Y1325" s="1"/>
      <c r="Z1325" s="1"/>
      <c r="AA1325" s="1"/>
    </row>
    <row r="1326">
      <c r="A1326" s="1"/>
      <c r="B1326" s="14"/>
      <c r="C1326" s="2"/>
      <c r="D1326" s="2"/>
      <c r="E1326" s="2"/>
      <c r="F1326" s="2"/>
      <c r="G1326" s="2"/>
      <c r="H1326" s="3"/>
      <c r="I1326" s="2"/>
      <c r="J1326" s="2"/>
      <c r="K1326" s="4"/>
      <c r="L1326" s="4"/>
      <c r="M1326" s="2"/>
      <c r="N1326" s="2"/>
      <c r="O1326" s="2"/>
      <c r="P1326" s="2"/>
      <c r="Q1326" s="5"/>
      <c r="R1326" s="5"/>
      <c r="S1326" s="2"/>
      <c r="T1326" s="2"/>
      <c r="U1326" s="5"/>
      <c r="V1326" s="5"/>
      <c r="W1326" s="2"/>
      <c r="X1326" s="5"/>
      <c r="Y1326" s="1"/>
      <c r="Z1326" s="1"/>
      <c r="AA1326" s="1"/>
    </row>
    <row r="1327">
      <c r="A1327" s="1"/>
      <c r="B1327" s="14"/>
      <c r="C1327" s="2"/>
      <c r="D1327" s="2"/>
      <c r="E1327" s="2"/>
      <c r="F1327" s="2"/>
      <c r="G1327" s="2"/>
      <c r="H1327" s="3"/>
      <c r="I1327" s="2"/>
      <c r="J1327" s="2"/>
      <c r="K1327" s="4"/>
      <c r="L1327" s="4"/>
      <c r="M1327" s="2"/>
      <c r="N1327" s="2"/>
      <c r="O1327" s="2"/>
      <c r="P1327" s="2"/>
      <c r="Q1327" s="5"/>
      <c r="R1327" s="5"/>
      <c r="S1327" s="2"/>
      <c r="T1327" s="2"/>
      <c r="U1327" s="5"/>
      <c r="V1327" s="5"/>
      <c r="W1327" s="2"/>
      <c r="X1327" s="5"/>
      <c r="Y1327" s="1"/>
      <c r="Z1327" s="1"/>
      <c r="AA1327" s="1"/>
    </row>
    <row r="1328">
      <c r="A1328" s="1"/>
      <c r="B1328" s="14"/>
      <c r="C1328" s="2"/>
      <c r="D1328" s="2"/>
      <c r="E1328" s="2"/>
      <c r="F1328" s="2"/>
      <c r="G1328" s="2"/>
      <c r="H1328" s="3"/>
      <c r="I1328" s="2"/>
      <c r="J1328" s="2"/>
      <c r="K1328" s="4"/>
      <c r="L1328" s="4"/>
      <c r="M1328" s="2"/>
      <c r="N1328" s="2"/>
      <c r="O1328" s="2"/>
      <c r="P1328" s="2"/>
      <c r="Q1328" s="5"/>
      <c r="R1328" s="5"/>
      <c r="S1328" s="2"/>
      <c r="T1328" s="2"/>
      <c r="U1328" s="5"/>
      <c r="V1328" s="5"/>
      <c r="W1328" s="2"/>
      <c r="X1328" s="5"/>
      <c r="Y1328" s="1"/>
      <c r="Z1328" s="1"/>
      <c r="AA1328" s="1"/>
    </row>
    <row r="1329">
      <c r="A1329" s="1"/>
      <c r="B1329" s="14"/>
      <c r="C1329" s="2"/>
      <c r="D1329" s="2"/>
      <c r="E1329" s="2"/>
      <c r="F1329" s="2"/>
      <c r="G1329" s="2"/>
      <c r="H1329" s="3"/>
      <c r="I1329" s="2"/>
      <c r="J1329" s="2"/>
      <c r="K1329" s="4"/>
      <c r="L1329" s="4"/>
      <c r="M1329" s="2"/>
      <c r="N1329" s="2"/>
      <c r="O1329" s="2"/>
      <c r="P1329" s="2"/>
      <c r="Q1329" s="5"/>
      <c r="R1329" s="5"/>
      <c r="S1329" s="2"/>
      <c r="T1329" s="2"/>
      <c r="U1329" s="5"/>
      <c r="V1329" s="5"/>
      <c r="W1329" s="2"/>
      <c r="X1329" s="5"/>
      <c r="Y1329" s="1"/>
      <c r="Z1329" s="1"/>
      <c r="AA1329" s="1"/>
    </row>
    <row r="1330">
      <c r="A1330" s="1"/>
      <c r="B1330" s="14"/>
      <c r="C1330" s="2"/>
      <c r="D1330" s="2"/>
      <c r="E1330" s="2"/>
      <c r="F1330" s="2"/>
      <c r="G1330" s="2"/>
      <c r="H1330" s="3"/>
      <c r="I1330" s="2"/>
      <c r="J1330" s="2"/>
      <c r="K1330" s="4"/>
      <c r="L1330" s="4"/>
      <c r="M1330" s="2"/>
      <c r="N1330" s="2"/>
      <c r="O1330" s="2"/>
      <c r="P1330" s="2"/>
      <c r="Q1330" s="5"/>
      <c r="R1330" s="5"/>
      <c r="S1330" s="2"/>
      <c r="T1330" s="2"/>
      <c r="U1330" s="5"/>
      <c r="V1330" s="5"/>
      <c r="W1330" s="2"/>
      <c r="X1330" s="5"/>
      <c r="Y1330" s="1"/>
      <c r="Z1330" s="1"/>
      <c r="AA1330" s="1"/>
    </row>
    <row r="1331">
      <c r="A1331" s="1"/>
      <c r="B1331" s="14"/>
      <c r="C1331" s="2"/>
      <c r="D1331" s="2"/>
      <c r="E1331" s="2"/>
      <c r="F1331" s="2"/>
      <c r="G1331" s="2"/>
      <c r="H1331" s="3"/>
      <c r="I1331" s="2"/>
      <c r="J1331" s="2"/>
      <c r="K1331" s="4"/>
      <c r="L1331" s="4"/>
      <c r="M1331" s="2"/>
      <c r="N1331" s="2"/>
      <c r="O1331" s="2"/>
      <c r="P1331" s="2"/>
      <c r="Q1331" s="5"/>
      <c r="R1331" s="5"/>
      <c r="S1331" s="2"/>
      <c r="T1331" s="2"/>
      <c r="U1331" s="5"/>
      <c r="V1331" s="5"/>
      <c r="W1331" s="2"/>
      <c r="X1331" s="5"/>
      <c r="Y1331" s="1"/>
      <c r="Z1331" s="1"/>
      <c r="AA1331" s="1"/>
    </row>
    <row r="1332">
      <c r="A1332" s="1"/>
      <c r="B1332" s="14"/>
      <c r="C1332" s="2"/>
      <c r="D1332" s="2"/>
      <c r="E1332" s="2"/>
      <c r="F1332" s="2"/>
      <c r="G1332" s="2"/>
      <c r="H1332" s="3"/>
      <c r="I1332" s="2"/>
      <c r="J1332" s="2"/>
      <c r="K1332" s="4"/>
      <c r="L1332" s="4"/>
      <c r="M1332" s="2"/>
      <c r="N1332" s="2"/>
      <c r="O1332" s="2"/>
      <c r="P1332" s="2"/>
      <c r="Q1332" s="5"/>
      <c r="R1332" s="5"/>
      <c r="S1332" s="2"/>
      <c r="T1332" s="2"/>
      <c r="U1332" s="5"/>
      <c r="V1332" s="5"/>
      <c r="W1332" s="2"/>
      <c r="X1332" s="5"/>
      <c r="Y1332" s="1"/>
      <c r="Z1332" s="1"/>
      <c r="AA1332" s="1"/>
    </row>
    <row r="1333">
      <c r="A1333" s="1"/>
      <c r="B1333" s="14"/>
      <c r="C1333" s="2"/>
      <c r="D1333" s="2"/>
      <c r="E1333" s="2"/>
      <c r="F1333" s="2"/>
      <c r="G1333" s="2"/>
      <c r="H1333" s="3"/>
      <c r="I1333" s="2"/>
      <c r="J1333" s="2"/>
      <c r="K1333" s="4"/>
      <c r="L1333" s="4"/>
      <c r="M1333" s="2"/>
      <c r="N1333" s="2"/>
      <c r="O1333" s="2"/>
      <c r="P1333" s="2"/>
      <c r="Q1333" s="5"/>
      <c r="R1333" s="5"/>
      <c r="S1333" s="2"/>
      <c r="T1333" s="2"/>
      <c r="U1333" s="5"/>
      <c r="V1333" s="5"/>
      <c r="W1333" s="2"/>
      <c r="X1333" s="5"/>
      <c r="Y1333" s="1"/>
      <c r="Z1333" s="1"/>
      <c r="AA1333" s="1"/>
    </row>
    <row r="1334">
      <c r="A1334" s="1"/>
      <c r="B1334" s="14"/>
      <c r="C1334" s="2"/>
      <c r="D1334" s="2"/>
      <c r="E1334" s="2"/>
      <c r="F1334" s="2"/>
      <c r="G1334" s="2"/>
      <c r="H1334" s="3"/>
      <c r="I1334" s="2"/>
      <c r="J1334" s="2"/>
      <c r="K1334" s="4"/>
      <c r="L1334" s="4"/>
      <c r="M1334" s="2"/>
      <c r="N1334" s="2"/>
      <c r="O1334" s="2"/>
      <c r="P1334" s="2"/>
      <c r="Q1334" s="5"/>
      <c r="R1334" s="5"/>
      <c r="S1334" s="2"/>
      <c r="T1334" s="2"/>
      <c r="U1334" s="5"/>
      <c r="V1334" s="5"/>
      <c r="W1334" s="2"/>
      <c r="X1334" s="5"/>
      <c r="Y1334" s="1"/>
      <c r="Z1334" s="1"/>
      <c r="AA1334" s="1"/>
    </row>
    <row r="1335">
      <c r="A1335" s="1"/>
      <c r="B1335" s="14"/>
      <c r="C1335" s="2"/>
      <c r="D1335" s="2"/>
      <c r="E1335" s="2"/>
      <c r="F1335" s="2"/>
      <c r="G1335" s="2"/>
      <c r="H1335" s="3"/>
      <c r="I1335" s="2"/>
      <c r="J1335" s="2"/>
      <c r="K1335" s="4"/>
      <c r="L1335" s="4"/>
      <c r="M1335" s="2"/>
      <c r="N1335" s="2"/>
      <c r="O1335" s="2"/>
      <c r="P1335" s="2"/>
      <c r="Q1335" s="5"/>
      <c r="R1335" s="5"/>
      <c r="S1335" s="2"/>
      <c r="T1335" s="2"/>
      <c r="U1335" s="5"/>
      <c r="V1335" s="5"/>
      <c r="W1335" s="2"/>
      <c r="X1335" s="5"/>
      <c r="Y1335" s="1"/>
      <c r="Z1335" s="1"/>
      <c r="AA1335" s="1"/>
    </row>
    <row r="1336">
      <c r="A1336" s="1"/>
      <c r="B1336" s="14"/>
      <c r="C1336" s="2"/>
      <c r="D1336" s="2"/>
      <c r="E1336" s="2"/>
      <c r="F1336" s="2"/>
      <c r="G1336" s="2"/>
      <c r="H1336" s="3"/>
      <c r="I1336" s="2"/>
      <c r="J1336" s="2"/>
      <c r="K1336" s="4"/>
      <c r="L1336" s="4"/>
      <c r="M1336" s="2"/>
      <c r="N1336" s="2"/>
      <c r="O1336" s="2"/>
      <c r="P1336" s="2"/>
      <c r="Q1336" s="5"/>
      <c r="R1336" s="5"/>
      <c r="S1336" s="2"/>
      <c r="T1336" s="2"/>
      <c r="U1336" s="5"/>
      <c r="V1336" s="5"/>
      <c r="W1336" s="2"/>
      <c r="X1336" s="5"/>
      <c r="Y1336" s="1"/>
      <c r="Z1336" s="1"/>
      <c r="AA1336" s="1"/>
    </row>
    <row r="1337">
      <c r="A1337" s="1"/>
      <c r="B1337" s="14"/>
      <c r="C1337" s="2"/>
      <c r="D1337" s="2"/>
      <c r="E1337" s="2"/>
      <c r="F1337" s="2"/>
      <c r="G1337" s="2"/>
      <c r="H1337" s="3"/>
      <c r="I1337" s="2"/>
      <c r="J1337" s="2"/>
      <c r="K1337" s="4"/>
      <c r="L1337" s="4"/>
      <c r="M1337" s="2"/>
      <c r="N1337" s="2"/>
      <c r="O1337" s="2"/>
      <c r="P1337" s="2"/>
      <c r="Q1337" s="5"/>
      <c r="R1337" s="5"/>
      <c r="S1337" s="2"/>
      <c r="T1337" s="2"/>
      <c r="U1337" s="5"/>
      <c r="V1337" s="5"/>
      <c r="W1337" s="2"/>
      <c r="X1337" s="5"/>
      <c r="Y1337" s="1"/>
      <c r="Z1337" s="1"/>
      <c r="AA1337" s="1"/>
    </row>
    <row r="1338">
      <c r="A1338" s="1"/>
      <c r="B1338" s="14"/>
      <c r="C1338" s="2"/>
      <c r="D1338" s="2"/>
      <c r="E1338" s="2"/>
      <c r="F1338" s="2"/>
      <c r="G1338" s="2"/>
      <c r="H1338" s="3"/>
      <c r="I1338" s="2"/>
      <c r="J1338" s="2"/>
      <c r="K1338" s="4"/>
      <c r="L1338" s="4"/>
      <c r="M1338" s="2"/>
      <c r="N1338" s="2"/>
      <c r="O1338" s="2"/>
      <c r="P1338" s="2"/>
      <c r="Q1338" s="5"/>
      <c r="R1338" s="5"/>
      <c r="S1338" s="2"/>
      <c r="T1338" s="2"/>
      <c r="U1338" s="5"/>
      <c r="V1338" s="5"/>
      <c r="W1338" s="2"/>
      <c r="X1338" s="5"/>
      <c r="Y1338" s="1"/>
      <c r="Z1338" s="1"/>
      <c r="AA1338" s="1"/>
    </row>
    <row r="1339">
      <c r="A1339" s="1"/>
      <c r="B1339" s="14"/>
      <c r="C1339" s="2"/>
      <c r="D1339" s="2"/>
      <c r="E1339" s="2"/>
      <c r="F1339" s="2"/>
      <c r="G1339" s="2"/>
      <c r="H1339" s="3"/>
      <c r="I1339" s="2"/>
      <c r="J1339" s="2"/>
      <c r="K1339" s="4"/>
      <c r="L1339" s="4"/>
      <c r="M1339" s="2"/>
      <c r="N1339" s="2"/>
      <c r="O1339" s="2"/>
      <c r="P1339" s="2"/>
      <c r="Q1339" s="5"/>
      <c r="R1339" s="5"/>
      <c r="S1339" s="2"/>
      <c r="T1339" s="2"/>
      <c r="U1339" s="5"/>
      <c r="V1339" s="5"/>
      <c r="W1339" s="2"/>
      <c r="X1339" s="5"/>
      <c r="Y1339" s="1"/>
      <c r="Z1339" s="1"/>
      <c r="AA1339" s="1"/>
    </row>
    <row r="1340">
      <c r="A1340" s="1"/>
      <c r="B1340" s="14"/>
      <c r="C1340" s="2"/>
      <c r="D1340" s="2"/>
      <c r="E1340" s="2"/>
      <c r="F1340" s="2"/>
      <c r="G1340" s="2"/>
      <c r="H1340" s="3"/>
      <c r="I1340" s="2"/>
      <c r="J1340" s="2"/>
      <c r="K1340" s="4"/>
      <c r="L1340" s="4"/>
      <c r="M1340" s="2"/>
      <c r="N1340" s="2"/>
      <c r="O1340" s="2"/>
      <c r="P1340" s="2"/>
      <c r="Q1340" s="5"/>
      <c r="R1340" s="5"/>
      <c r="S1340" s="2"/>
      <c r="T1340" s="2"/>
      <c r="U1340" s="5"/>
      <c r="V1340" s="5"/>
      <c r="W1340" s="2"/>
      <c r="X1340" s="5"/>
      <c r="Y1340" s="1"/>
      <c r="Z1340" s="1"/>
      <c r="AA1340" s="1"/>
    </row>
    <row r="1341">
      <c r="A1341" s="1"/>
      <c r="B1341" s="14"/>
      <c r="C1341" s="2"/>
      <c r="D1341" s="2"/>
      <c r="E1341" s="2"/>
      <c r="F1341" s="2"/>
      <c r="G1341" s="2"/>
      <c r="H1341" s="3"/>
      <c r="I1341" s="2"/>
      <c r="J1341" s="2"/>
      <c r="K1341" s="4"/>
      <c r="L1341" s="4"/>
      <c r="M1341" s="2"/>
      <c r="N1341" s="2"/>
      <c r="O1341" s="2"/>
      <c r="P1341" s="2"/>
      <c r="Q1341" s="5"/>
      <c r="R1341" s="5"/>
      <c r="S1341" s="2"/>
      <c r="T1341" s="2"/>
      <c r="U1341" s="5"/>
      <c r="V1341" s="5"/>
      <c r="W1341" s="2"/>
      <c r="X1341" s="5"/>
      <c r="Y1341" s="1"/>
      <c r="Z1341" s="1"/>
      <c r="AA1341" s="1"/>
    </row>
    <row r="1342">
      <c r="A1342" s="1"/>
      <c r="B1342" s="14"/>
      <c r="C1342" s="2"/>
      <c r="D1342" s="2"/>
      <c r="E1342" s="2"/>
      <c r="F1342" s="2"/>
      <c r="G1342" s="2"/>
      <c r="H1342" s="3"/>
      <c r="I1342" s="2"/>
      <c r="J1342" s="2"/>
      <c r="K1342" s="4"/>
      <c r="L1342" s="4"/>
      <c r="M1342" s="2"/>
      <c r="N1342" s="2"/>
      <c r="O1342" s="2"/>
      <c r="P1342" s="2"/>
      <c r="Q1342" s="5"/>
      <c r="R1342" s="5"/>
      <c r="S1342" s="2"/>
      <c r="T1342" s="2"/>
      <c r="U1342" s="5"/>
      <c r="V1342" s="5"/>
      <c r="W1342" s="2"/>
      <c r="X1342" s="5"/>
      <c r="Y1342" s="1"/>
      <c r="Z1342" s="1"/>
      <c r="AA1342" s="1"/>
    </row>
    <row r="1343">
      <c r="A1343" s="1"/>
      <c r="B1343" s="14"/>
      <c r="C1343" s="2"/>
      <c r="D1343" s="2"/>
      <c r="E1343" s="2"/>
      <c r="F1343" s="2"/>
      <c r="G1343" s="2"/>
      <c r="H1343" s="3"/>
      <c r="I1343" s="2"/>
      <c r="J1343" s="2"/>
      <c r="K1343" s="4"/>
      <c r="L1343" s="4"/>
      <c r="M1343" s="2"/>
      <c r="N1343" s="2"/>
      <c r="O1343" s="2"/>
      <c r="P1343" s="2"/>
      <c r="Q1343" s="5"/>
      <c r="R1343" s="5"/>
      <c r="S1343" s="2"/>
      <c r="T1343" s="2"/>
      <c r="U1343" s="5"/>
      <c r="V1343" s="5"/>
      <c r="W1343" s="2"/>
      <c r="X1343" s="5"/>
      <c r="Y1343" s="1"/>
      <c r="Z1343" s="1"/>
      <c r="AA1343" s="1"/>
    </row>
    <row r="1344">
      <c r="A1344" s="1"/>
      <c r="B1344" s="14"/>
      <c r="C1344" s="2"/>
      <c r="D1344" s="2"/>
      <c r="E1344" s="2"/>
      <c r="F1344" s="2"/>
      <c r="G1344" s="2"/>
      <c r="H1344" s="3"/>
      <c r="I1344" s="2"/>
      <c r="J1344" s="2"/>
      <c r="K1344" s="4"/>
      <c r="L1344" s="4"/>
      <c r="M1344" s="2"/>
      <c r="N1344" s="2"/>
      <c r="O1344" s="2"/>
      <c r="P1344" s="2"/>
      <c r="Q1344" s="5"/>
      <c r="R1344" s="5"/>
      <c r="S1344" s="2"/>
      <c r="T1344" s="2"/>
      <c r="U1344" s="5"/>
      <c r="V1344" s="5"/>
      <c r="W1344" s="2"/>
      <c r="X1344" s="5"/>
      <c r="Y1344" s="1"/>
      <c r="Z1344" s="1"/>
      <c r="AA1344" s="1"/>
    </row>
    <row r="1345">
      <c r="A1345" s="1"/>
      <c r="B1345" s="14"/>
      <c r="C1345" s="2"/>
      <c r="D1345" s="2"/>
      <c r="E1345" s="2"/>
      <c r="F1345" s="2"/>
      <c r="G1345" s="2"/>
      <c r="H1345" s="3"/>
      <c r="I1345" s="2"/>
      <c r="J1345" s="2"/>
      <c r="K1345" s="4"/>
      <c r="L1345" s="4"/>
      <c r="M1345" s="2"/>
      <c r="N1345" s="2"/>
      <c r="O1345" s="2"/>
      <c r="P1345" s="2"/>
      <c r="Q1345" s="5"/>
      <c r="R1345" s="5"/>
      <c r="S1345" s="2"/>
      <c r="T1345" s="2"/>
      <c r="U1345" s="5"/>
      <c r="V1345" s="5"/>
      <c r="W1345" s="2"/>
      <c r="X1345" s="5"/>
      <c r="Y1345" s="1"/>
      <c r="Z1345" s="1"/>
      <c r="AA1345" s="1"/>
    </row>
    <row r="1346">
      <c r="A1346" s="1"/>
      <c r="B1346" s="14"/>
      <c r="C1346" s="2"/>
      <c r="D1346" s="2"/>
      <c r="E1346" s="2"/>
      <c r="F1346" s="2"/>
      <c r="G1346" s="2"/>
      <c r="H1346" s="3"/>
      <c r="I1346" s="2"/>
      <c r="J1346" s="2"/>
      <c r="K1346" s="4"/>
      <c r="L1346" s="4"/>
      <c r="M1346" s="2"/>
      <c r="N1346" s="2"/>
      <c r="O1346" s="2"/>
      <c r="P1346" s="2"/>
      <c r="Q1346" s="5"/>
      <c r="R1346" s="5"/>
      <c r="S1346" s="2"/>
      <c r="T1346" s="2"/>
      <c r="U1346" s="5"/>
      <c r="V1346" s="5"/>
      <c r="W1346" s="2"/>
      <c r="X1346" s="5"/>
      <c r="Y1346" s="1"/>
      <c r="Z1346" s="1"/>
      <c r="AA1346" s="1"/>
    </row>
    <row r="1347">
      <c r="A1347" s="1"/>
      <c r="B1347" s="14"/>
      <c r="C1347" s="2"/>
      <c r="D1347" s="2"/>
      <c r="E1347" s="2"/>
      <c r="F1347" s="2"/>
      <c r="G1347" s="2"/>
      <c r="H1347" s="3"/>
      <c r="I1347" s="2"/>
      <c r="J1347" s="2"/>
      <c r="K1347" s="4"/>
      <c r="L1347" s="4"/>
      <c r="M1347" s="2"/>
      <c r="N1347" s="2"/>
      <c r="O1347" s="2"/>
      <c r="P1347" s="2"/>
      <c r="Q1347" s="5"/>
      <c r="R1347" s="5"/>
      <c r="S1347" s="2"/>
      <c r="T1347" s="2"/>
      <c r="U1347" s="5"/>
      <c r="V1347" s="5"/>
      <c r="W1347" s="2"/>
      <c r="X1347" s="5"/>
      <c r="Y1347" s="1"/>
      <c r="Z1347" s="1"/>
      <c r="AA1347" s="1"/>
    </row>
    <row r="1348">
      <c r="A1348" s="1"/>
      <c r="B1348" s="14"/>
      <c r="C1348" s="2"/>
      <c r="D1348" s="2"/>
      <c r="E1348" s="2"/>
      <c r="F1348" s="2"/>
      <c r="G1348" s="2"/>
      <c r="H1348" s="3"/>
      <c r="I1348" s="2"/>
      <c r="J1348" s="2"/>
      <c r="K1348" s="4"/>
      <c r="L1348" s="4"/>
      <c r="M1348" s="2"/>
      <c r="N1348" s="2"/>
      <c r="O1348" s="2"/>
      <c r="P1348" s="2"/>
      <c r="Q1348" s="5"/>
      <c r="R1348" s="5"/>
      <c r="S1348" s="2"/>
      <c r="T1348" s="2"/>
      <c r="U1348" s="5"/>
      <c r="V1348" s="5"/>
      <c r="W1348" s="2"/>
      <c r="X1348" s="5"/>
      <c r="Y1348" s="1"/>
      <c r="Z1348" s="1"/>
      <c r="AA1348" s="1"/>
    </row>
    <row r="1349">
      <c r="A1349" s="1"/>
      <c r="B1349" s="14"/>
      <c r="C1349" s="2"/>
      <c r="D1349" s="2"/>
      <c r="E1349" s="2"/>
      <c r="F1349" s="2"/>
      <c r="G1349" s="2"/>
      <c r="H1349" s="3"/>
      <c r="I1349" s="2"/>
      <c r="J1349" s="2"/>
      <c r="K1349" s="4"/>
      <c r="L1349" s="4"/>
      <c r="M1349" s="2"/>
      <c r="N1349" s="2"/>
      <c r="O1349" s="2"/>
      <c r="P1349" s="2"/>
      <c r="Q1349" s="5"/>
      <c r="R1349" s="5"/>
      <c r="S1349" s="2"/>
      <c r="T1349" s="2"/>
      <c r="U1349" s="5"/>
      <c r="V1349" s="5"/>
      <c r="W1349" s="2"/>
      <c r="X1349" s="5"/>
      <c r="Y1349" s="1"/>
      <c r="Z1349" s="1"/>
      <c r="AA1349" s="1"/>
    </row>
    <row r="1350">
      <c r="A1350" s="1"/>
      <c r="B1350" s="14"/>
      <c r="C1350" s="2"/>
      <c r="D1350" s="2"/>
      <c r="E1350" s="2"/>
      <c r="F1350" s="2"/>
      <c r="G1350" s="2"/>
      <c r="H1350" s="3"/>
      <c r="I1350" s="2"/>
      <c r="J1350" s="2"/>
      <c r="K1350" s="4"/>
      <c r="L1350" s="4"/>
      <c r="M1350" s="2"/>
      <c r="N1350" s="2"/>
      <c r="O1350" s="2"/>
      <c r="P1350" s="2"/>
      <c r="Q1350" s="5"/>
      <c r="R1350" s="5"/>
      <c r="S1350" s="2"/>
      <c r="T1350" s="2"/>
      <c r="U1350" s="5"/>
      <c r="V1350" s="5"/>
      <c r="W1350" s="2"/>
      <c r="X1350" s="5"/>
      <c r="Y1350" s="1"/>
      <c r="Z1350" s="1"/>
      <c r="AA1350" s="1"/>
    </row>
    <row r="1351">
      <c r="A1351" s="1"/>
      <c r="B1351" s="14"/>
      <c r="C1351" s="2"/>
      <c r="D1351" s="2"/>
      <c r="E1351" s="2"/>
      <c r="F1351" s="2"/>
      <c r="G1351" s="2"/>
      <c r="H1351" s="3"/>
      <c r="I1351" s="2"/>
      <c r="J1351" s="2"/>
      <c r="K1351" s="4"/>
      <c r="L1351" s="4"/>
      <c r="M1351" s="2"/>
      <c r="N1351" s="2"/>
      <c r="O1351" s="2"/>
      <c r="P1351" s="2"/>
      <c r="Q1351" s="5"/>
      <c r="R1351" s="5"/>
      <c r="S1351" s="2"/>
      <c r="T1351" s="2"/>
      <c r="U1351" s="5"/>
      <c r="V1351" s="5"/>
      <c r="W1351" s="2"/>
      <c r="X1351" s="5"/>
      <c r="Y1351" s="1"/>
      <c r="Z1351" s="1"/>
      <c r="AA1351" s="1"/>
    </row>
    <row r="1352">
      <c r="A1352" s="1"/>
      <c r="B1352" s="14"/>
      <c r="C1352" s="2"/>
      <c r="D1352" s="2"/>
      <c r="E1352" s="2"/>
      <c r="F1352" s="2"/>
      <c r="G1352" s="2"/>
      <c r="H1352" s="3"/>
      <c r="I1352" s="2"/>
      <c r="J1352" s="2"/>
      <c r="K1352" s="4"/>
      <c r="L1352" s="4"/>
      <c r="M1352" s="2"/>
      <c r="N1352" s="2"/>
      <c r="O1352" s="2"/>
      <c r="P1352" s="2"/>
      <c r="Q1352" s="5"/>
      <c r="R1352" s="5"/>
      <c r="S1352" s="2"/>
      <c r="T1352" s="2"/>
      <c r="U1352" s="5"/>
      <c r="V1352" s="5"/>
      <c r="W1352" s="2"/>
      <c r="X1352" s="5"/>
      <c r="Y1352" s="1"/>
      <c r="Z1352" s="1"/>
      <c r="AA1352" s="1"/>
    </row>
    <row r="1353">
      <c r="A1353" s="1"/>
      <c r="B1353" s="14"/>
      <c r="C1353" s="2"/>
      <c r="D1353" s="2"/>
      <c r="E1353" s="2"/>
      <c r="F1353" s="2"/>
      <c r="G1353" s="2"/>
      <c r="H1353" s="3"/>
      <c r="I1353" s="2"/>
      <c r="J1353" s="2"/>
      <c r="K1353" s="4"/>
      <c r="L1353" s="4"/>
      <c r="M1353" s="2"/>
      <c r="N1353" s="2"/>
      <c r="O1353" s="2"/>
      <c r="P1353" s="2"/>
      <c r="Q1353" s="5"/>
      <c r="R1353" s="5"/>
      <c r="S1353" s="2"/>
      <c r="T1353" s="2"/>
      <c r="U1353" s="5"/>
      <c r="V1353" s="5"/>
      <c r="W1353" s="2"/>
      <c r="X1353" s="5"/>
      <c r="Y1353" s="1"/>
      <c r="Z1353" s="1"/>
      <c r="AA1353" s="1"/>
    </row>
    <row r="1354">
      <c r="A1354" s="1"/>
      <c r="B1354" s="14"/>
      <c r="C1354" s="2"/>
      <c r="D1354" s="2"/>
      <c r="E1354" s="2"/>
      <c r="F1354" s="2"/>
      <c r="G1354" s="2"/>
      <c r="H1354" s="3"/>
      <c r="I1354" s="2"/>
      <c r="J1354" s="2"/>
      <c r="K1354" s="4"/>
      <c r="L1354" s="4"/>
      <c r="M1354" s="2"/>
      <c r="N1354" s="2"/>
      <c r="O1354" s="2"/>
      <c r="P1354" s="2"/>
      <c r="Q1354" s="5"/>
      <c r="R1354" s="5"/>
      <c r="S1354" s="2"/>
      <c r="T1354" s="2"/>
      <c r="U1354" s="5"/>
      <c r="V1354" s="5"/>
      <c r="W1354" s="2"/>
      <c r="X1354" s="5"/>
      <c r="Y1354" s="1"/>
      <c r="Z1354" s="1"/>
      <c r="AA1354" s="1"/>
    </row>
    <row r="1355">
      <c r="A1355" s="1"/>
      <c r="B1355" s="14"/>
      <c r="C1355" s="2"/>
      <c r="D1355" s="2"/>
      <c r="E1355" s="2"/>
      <c r="F1355" s="2"/>
      <c r="G1355" s="2"/>
      <c r="H1355" s="3"/>
      <c r="I1355" s="2"/>
      <c r="J1355" s="2"/>
      <c r="K1355" s="4"/>
      <c r="L1355" s="4"/>
      <c r="M1355" s="2"/>
      <c r="N1355" s="2"/>
      <c r="O1355" s="2"/>
      <c r="P1355" s="2"/>
      <c r="Q1355" s="5"/>
      <c r="R1355" s="5"/>
      <c r="S1355" s="2"/>
      <c r="T1355" s="2"/>
      <c r="U1355" s="5"/>
      <c r="V1355" s="5"/>
      <c r="W1355" s="2"/>
      <c r="X1355" s="5"/>
      <c r="Y1355" s="1"/>
      <c r="Z1355" s="1"/>
      <c r="AA1355" s="1"/>
    </row>
    <row r="1356">
      <c r="A1356" s="1"/>
      <c r="B1356" s="14"/>
      <c r="C1356" s="2"/>
      <c r="D1356" s="2"/>
      <c r="E1356" s="2"/>
      <c r="F1356" s="2"/>
      <c r="G1356" s="2"/>
      <c r="H1356" s="3"/>
      <c r="I1356" s="2"/>
      <c r="J1356" s="2"/>
      <c r="K1356" s="4"/>
      <c r="L1356" s="4"/>
      <c r="M1356" s="2"/>
      <c r="N1356" s="2"/>
      <c r="O1356" s="2"/>
      <c r="P1356" s="2"/>
      <c r="Q1356" s="5"/>
      <c r="R1356" s="5"/>
      <c r="S1356" s="2"/>
      <c r="T1356" s="2"/>
      <c r="U1356" s="5"/>
      <c r="V1356" s="5"/>
      <c r="W1356" s="2"/>
      <c r="X1356" s="5"/>
      <c r="Y1356" s="1"/>
      <c r="Z1356" s="1"/>
      <c r="AA1356" s="1"/>
    </row>
    <row r="1357">
      <c r="A1357" s="1"/>
      <c r="B1357" s="14"/>
      <c r="C1357" s="2"/>
      <c r="D1357" s="2"/>
      <c r="E1357" s="2"/>
      <c r="F1357" s="2"/>
      <c r="G1357" s="2"/>
      <c r="H1357" s="3"/>
      <c r="I1357" s="2"/>
      <c r="J1357" s="2"/>
      <c r="K1357" s="4"/>
      <c r="L1357" s="4"/>
      <c r="M1357" s="2"/>
      <c r="N1357" s="2"/>
      <c r="O1357" s="2"/>
      <c r="P1357" s="2"/>
      <c r="Q1357" s="5"/>
      <c r="R1357" s="5"/>
      <c r="S1357" s="2"/>
      <c r="T1357" s="2"/>
      <c r="U1357" s="5"/>
      <c r="V1357" s="5"/>
      <c r="W1357" s="2"/>
      <c r="X1357" s="5"/>
      <c r="Y1357" s="1"/>
      <c r="Z1357" s="1"/>
      <c r="AA1357" s="1"/>
    </row>
    <row r="1358">
      <c r="A1358" s="1"/>
      <c r="B1358" s="14"/>
      <c r="C1358" s="2"/>
      <c r="D1358" s="2"/>
      <c r="E1358" s="2"/>
      <c r="F1358" s="2"/>
      <c r="G1358" s="2"/>
      <c r="H1358" s="3"/>
      <c r="I1358" s="2"/>
      <c r="J1358" s="2"/>
      <c r="K1358" s="4"/>
      <c r="L1358" s="4"/>
      <c r="M1358" s="2"/>
      <c r="N1358" s="2"/>
      <c r="O1358" s="2"/>
      <c r="P1358" s="2"/>
      <c r="Q1358" s="5"/>
      <c r="R1358" s="5"/>
      <c r="S1358" s="2"/>
      <c r="T1358" s="2"/>
      <c r="U1358" s="5"/>
      <c r="V1358" s="5"/>
      <c r="W1358" s="2"/>
      <c r="X1358" s="5"/>
      <c r="Y1358" s="1"/>
      <c r="Z1358" s="1"/>
      <c r="AA1358" s="1"/>
    </row>
    <row r="1359">
      <c r="A1359" s="1"/>
      <c r="B1359" s="14"/>
      <c r="C1359" s="2"/>
      <c r="D1359" s="2"/>
      <c r="E1359" s="2"/>
      <c r="F1359" s="2"/>
      <c r="G1359" s="2"/>
      <c r="H1359" s="3"/>
      <c r="I1359" s="2"/>
      <c r="J1359" s="2"/>
      <c r="K1359" s="4"/>
      <c r="L1359" s="4"/>
      <c r="M1359" s="2"/>
      <c r="N1359" s="2"/>
      <c r="O1359" s="2"/>
      <c r="P1359" s="2"/>
      <c r="Q1359" s="5"/>
      <c r="R1359" s="5"/>
      <c r="S1359" s="2"/>
      <c r="T1359" s="2"/>
      <c r="U1359" s="5"/>
      <c r="V1359" s="5"/>
      <c r="W1359" s="2"/>
      <c r="X1359" s="5"/>
      <c r="Y1359" s="1"/>
      <c r="Z1359" s="1"/>
      <c r="AA1359" s="1"/>
    </row>
    <row r="1360">
      <c r="A1360" s="1"/>
      <c r="B1360" s="14"/>
      <c r="C1360" s="2"/>
      <c r="D1360" s="2"/>
      <c r="E1360" s="2"/>
      <c r="F1360" s="2"/>
      <c r="G1360" s="2"/>
      <c r="H1360" s="3"/>
      <c r="I1360" s="2"/>
      <c r="J1360" s="2"/>
      <c r="K1360" s="4"/>
      <c r="L1360" s="4"/>
      <c r="M1360" s="2"/>
      <c r="N1360" s="2"/>
      <c r="O1360" s="2"/>
      <c r="P1360" s="2"/>
      <c r="Q1360" s="5"/>
      <c r="R1360" s="5"/>
      <c r="S1360" s="2"/>
      <c r="T1360" s="2"/>
      <c r="U1360" s="5"/>
      <c r="V1360" s="5"/>
      <c r="W1360" s="2"/>
      <c r="X1360" s="5"/>
      <c r="Y1360" s="1"/>
      <c r="Z1360" s="1"/>
      <c r="AA1360" s="1"/>
    </row>
    <row r="1361">
      <c r="A1361" s="1"/>
      <c r="B1361" s="14"/>
      <c r="C1361" s="2"/>
      <c r="D1361" s="2"/>
      <c r="E1361" s="2"/>
      <c r="F1361" s="2"/>
      <c r="G1361" s="2"/>
      <c r="H1361" s="3"/>
      <c r="I1361" s="2"/>
      <c r="J1361" s="2"/>
      <c r="K1361" s="4"/>
      <c r="L1361" s="4"/>
      <c r="M1361" s="2"/>
      <c r="N1361" s="2"/>
      <c r="O1361" s="2"/>
      <c r="P1361" s="2"/>
      <c r="Q1361" s="5"/>
      <c r="R1361" s="5"/>
      <c r="S1361" s="2"/>
      <c r="T1361" s="2"/>
      <c r="U1361" s="5"/>
      <c r="V1361" s="5"/>
      <c r="W1361" s="2"/>
      <c r="X1361" s="5"/>
      <c r="Y1361" s="1"/>
      <c r="Z1361" s="1"/>
      <c r="AA1361" s="1"/>
    </row>
    <row r="1362">
      <c r="A1362" s="1"/>
      <c r="B1362" s="14"/>
      <c r="C1362" s="2"/>
      <c r="D1362" s="2"/>
      <c r="E1362" s="2"/>
      <c r="F1362" s="2"/>
      <c r="G1362" s="2"/>
      <c r="H1362" s="3"/>
      <c r="I1362" s="2"/>
      <c r="J1362" s="2"/>
      <c r="K1362" s="4"/>
      <c r="L1362" s="4"/>
      <c r="M1362" s="2"/>
      <c r="N1362" s="2"/>
      <c r="O1362" s="2"/>
      <c r="P1362" s="2"/>
      <c r="Q1362" s="5"/>
      <c r="R1362" s="5"/>
      <c r="S1362" s="2"/>
      <c r="T1362" s="2"/>
      <c r="U1362" s="5"/>
      <c r="V1362" s="5"/>
      <c r="W1362" s="2"/>
      <c r="X1362" s="5"/>
      <c r="Y1362" s="1"/>
      <c r="Z1362" s="1"/>
      <c r="AA1362" s="1"/>
    </row>
    <row r="1363">
      <c r="A1363" s="1"/>
      <c r="B1363" s="14"/>
      <c r="C1363" s="2"/>
      <c r="D1363" s="2"/>
      <c r="E1363" s="2"/>
      <c r="F1363" s="2"/>
      <c r="G1363" s="2"/>
      <c r="H1363" s="3"/>
      <c r="I1363" s="2"/>
      <c r="J1363" s="2"/>
      <c r="K1363" s="4"/>
      <c r="L1363" s="4"/>
      <c r="M1363" s="2"/>
      <c r="N1363" s="2"/>
      <c r="O1363" s="2"/>
      <c r="P1363" s="2"/>
      <c r="Q1363" s="5"/>
      <c r="R1363" s="5"/>
      <c r="S1363" s="2"/>
      <c r="T1363" s="2"/>
      <c r="U1363" s="5"/>
      <c r="V1363" s="5"/>
      <c r="W1363" s="2"/>
      <c r="X1363" s="5"/>
      <c r="Y1363" s="1"/>
      <c r="Z1363" s="1"/>
      <c r="AA1363" s="1"/>
    </row>
    <row r="1364">
      <c r="A1364" s="1"/>
      <c r="B1364" s="14"/>
      <c r="C1364" s="2"/>
      <c r="D1364" s="2"/>
      <c r="E1364" s="2"/>
      <c r="F1364" s="2"/>
      <c r="G1364" s="2"/>
      <c r="H1364" s="3"/>
      <c r="I1364" s="2"/>
      <c r="J1364" s="2"/>
      <c r="K1364" s="4"/>
      <c r="L1364" s="4"/>
      <c r="M1364" s="2"/>
      <c r="N1364" s="2"/>
      <c r="O1364" s="2"/>
      <c r="P1364" s="2"/>
      <c r="Q1364" s="5"/>
      <c r="R1364" s="5"/>
      <c r="S1364" s="2"/>
      <c r="T1364" s="2"/>
      <c r="U1364" s="5"/>
      <c r="V1364" s="5"/>
      <c r="W1364" s="2"/>
      <c r="X1364" s="5"/>
      <c r="Y1364" s="1"/>
      <c r="Z1364" s="1"/>
      <c r="AA1364" s="1"/>
    </row>
    <row r="1365">
      <c r="A1365" s="1"/>
      <c r="B1365" s="14"/>
      <c r="C1365" s="2"/>
      <c r="D1365" s="2"/>
      <c r="E1365" s="2"/>
      <c r="F1365" s="2"/>
      <c r="G1365" s="2"/>
      <c r="H1365" s="3"/>
      <c r="I1365" s="2"/>
      <c r="J1365" s="2"/>
      <c r="K1365" s="4"/>
      <c r="L1365" s="4"/>
      <c r="M1365" s="2"/>
      <c r="N1365" s="2"/>
      <c r="O1365" s="2"/>
      <c r="P1365" s="2"/>
      <c r="Q1365" s="5"/>
      <c r="R1365" s="5"/>
      <c r="S1365" s="2"/>
      <c r="T1365" s="2"/>
      <c r="U1365" s="5"/>
      <c r="V1365" s="5"/>
      <c r="W1365" s="2"/>
      <c r="X1365" s="5"/>
      <c r="Y1365" s="1"/>
      <c r="Z1365" s="1"/>
      <c r="AA1365" s="1"/>
    </row>
    <row r="1366">
      <c r="A1366" s="1"/>
      <c r="B1366" s="14"/>
      <c r="C1366" s="2"/>
      <c r="D1366" s="2"/>
      <c r="E1366" s="2"/>
      <c r="F1366" s="2"/>
      <c r="G1366" s="2"/>
      <c r="H1366" s="3"/>
      <c r="I1366" s="2"/>
      <c r="J1366" s="2"/>
      <c r="K1366" s="4"/>
      <c r="L1366" s="4"/>
      <c r="M1366" s="2"/>
      <c r="N1366" s="2"/>
      <c r="O1366" s="2"/>
      <c r="P1366" s="2"/>
      <c r="Q1366" s="5"/>
      <c r="R1366" s="5"/>
      <c r="S1366" s="2"/>
      <c r="T1366" s="2"/>
      <c r="U1366" s="5"/>
      <c r="V1366" s="5"/>
      <c r="W1366" s="2"/>
      <c r="X1366" s="5"/>
      <c r="Y1366" s="1"/>
      <c r="Z1366" s="1"/>
      <c r="AA1366" s="1"/>
    </row>
    <row r="1367">
      <c r="A1367" s="1"/>
      <c r="B1367" s="14"/>
      <c r="C1367" s="2"/>
      <c r="D1367" s="2"/>
      <c r="E1367" s="2"/>
      <c r="F1367" s="2"/>
      <c r="G1367" s="2"/>
      <c r="H1367" s="3"/>
      <c r="I1367" s="2"/>
      <c r="J1367" s="2"/>
      <c r="K1367" s="4"/>
      <c r="L1367" s="4"/>
      <c r="M1367" s="2"/>
      <c r="N1367" s="2"/>
      <c r="O1367" s="2"/>
      <c r="P1367" s="2"/>
      <c r="Q1367" s="5"/>
      <c r="R1367" s="5"/>
      <c r="S1367" s="2"/>
      <c r="T1367" s="2"/>
      <c r="U1367" s="5"/>
      <c r="V1367" s="5"/>
      <c r="W1367" s="2"/>
      <c r="X1367" s="5"/>
      <c r="Y1367" s="1"/>
      <c r="Z1367" s="1"/>
      <c r="AA1367" s="1"/>
    </row>
    <row r="1368">
      <c r="A1368" s="1"/>
      <c r="B1368" s="14"/>
      <c r="C1368" s="2"/>
      <c r="D1368" s="2"/>
      <c r="E1368" s="2"/>
      <c r="F1368" s="2"/>
      <c r="G1368" s="2"/>
      <c r="H1368" s="3"/>
      <c r="I1368" s="2"/>
      <c r="J1368" s="2"/>
      <c r="K1368" s="4"/>
      <c r="L1368" s="4"/>
      <c r="M1368" s="2"/>
      <c r="N1368" s="2"/>
      <c r="O1368" s="2"/>
      <c r="P1368" s="2"/>
      <c r="Q1368" s="5"/>
      <c r="R1368" s="5"/>
      <c r="S1368" s="2"/>
      <c r="T1368" s="2"/>
      <c r="U1368" s="5"/>
      <c r="V1368" s="5"/>
      <c r="W1368" s="2"/>
      <c r="X1368" s="5"/>
      <c r="Y1368" s="1"/>
      <c r="Z1368" s="1"/>
      <c r="AA1368" s="1"/>
    </row>
    <row r="1369">
      <c r="A1369" s="1"/>
      <c r="B1369" s="14"/>
      <c r="C1369" s="2"/>
      <c r="D1369" s="2"/>
      <c r="E1369" s="2"/>
      <c r="F1369" s="2"/>
      <c r="G1369" s="2"/>
      <c r="H1369" s="3"/>
      <c r="I1369" s="2"/>
      <c r="J1369" s="2"/>
      <c r="K1369" s="4"/>
      <c r="L1369" s="4"/>
      <c r="M1369" s="2"/>
      <c r="N1369" s="2"/>
      <c r="O1369" s="2"/>
      <c r="P1369" s="2"/>
      <c r="Q1369" s="5"/>
      <c r="R1369" s="5"/>
      <c r="S1369" s="2"/>
      <c r="T1369" s="2"/>
      <c r="U1369" s="5"/>
      <c r="V1369" s="5"/>
      <c r="W1369" s="2"/>
      <c r="X1369" s="5"/>
      <c r="Y1369" s="1"/>
      <c r="Z1369" s="1"/>
      <c r="AA1369" s="1"/>
    </row>
    <row r="1370">
      <c r="A1370" s="1"/>
      <c r="B1370" s="14"/>
      <c r="C1370" s="2"/>
      <c r="D1370" s="2"/>
      <c r="E1370" s="2"/>
      <c r="F1370" s="2"/>
      <c r="G1370" s="2"/>
      <c r="H1370" s="3"/>
      <c r="I1370" s="2"/>
      <c r="J1370" s="2"/>
      <c r="K1370" s="4"/>
      <c r="L1370" s="4"/>
      <c r="M1370" s="2"/>
      <c r="N1370" s="2"/>
      <c r="O1370" s="2"/>
      <c r="P1370" s="2"/>
      <c r="Q1370" s="5"/>
      <c r="R1370" s="5"/>
      <c r="S1370" s="2"/>
      <c r="T1370" s="2"/>
      <c r="U1370" s="5"/>
      <c r="V1370" s="5"/>
      <c r="W1370" s="2"/>
      <c r="X1370" s="5"/>
      <c r="Y1370" s="1"/>
      <c r="Z1370" s="1"/>
      <c r="AA1370" s="1"/>
    </row>
    <row r="1371">
      <c r="A1371" s="1"/>
      <c r="B1371" s="14"/>
      <c r="C1371" s="2"/>
      <c r="D1371" s="2"/>
      <c r="E1371" s="2"/>
      <c r="F1371" s="2"/>
      <c r="G1371" s="2"/>
      <c r="H1371" s="3"/>
      <c r="I1371" s="2"/>
      <c r="J1371" s="2"/>
      <c r="K1371" s="4"/>
      <c r="L1371" s="4"/>
      <c r="M1371" s="2"/>
      <c r="N1371" s="2"/>
      <c r="O1371" s="2"/>
      <c r="P1371" s="2"/>
      <c r="Q1371" s="5"/>
      <c r="R1371" s="5"/>
      <c r="S1371" s="2"/>
      <c r="T1371" s="2"/>
      <c r="U1371" s="5"/>
      <c r="V1371" s="5"/>
      <c r="W1371" s="2"/>
      <c r="X1371" s="5"/>
      <c r="Y1371" s="1"/>
      <c r="Z1371" s="1"/>
      <c r="AA1371" s="1"/>
    </row>
    <row r="1372">
      <c r="A1372" s="1"/>
      <c r="B1372" s="14"/>
      <c r="C1372" s="2"/>
      <c r="D1372" s="2"/>
      <c r="E1372" s="2"/>
      <c r="F1372" s="2"/>
      <c r="G1372" s="2"/>
      <c r="H1372" s="3"/>
      <c r="I1372" s="2"/>
      <c r="J1372" s="2"/>
      <c r="K1372" s="4"/>
      <c r="L1372" s="4"/>
      <c r="M1372" s="2"/>
      <c r="N1372" s="2"/>
      <c r="O1372" s="2"/>
      <c r="P1372" s="2"/>
      <c r="Q1372" s="5"/>
      <c r="R1372" s="5"/>
      <c r="S1372" s="2"/>
      <c r="T1372" s="2"/>
      <c r="U1372" s="5"/>
      <c r="V1372" s="5"/>
      <c r="W1372" s="2"/>
      <c r="X1372" s="5"/>
      <c r="Y1372" s="1"/>
      <c r="Z1372" s="1"/>
      <c r="AA1372" s="1"/>
    </row>
    <row r="1373">
      <c r="A1373" s="1"/>
      <c r="B1373" s="14"/>
      <c r="C1373" s="2"/>
      <c r="D1373" s="2"/>
      <c r="E1373" s="2"/>
      <c r="F1373" s="2"/>
      <c r="G1373" s="2"/>
      <c r="H1373" s="3"/>
      <c r="I1373" s="2"/>
      <c r="J1373" s="2"/>
      <c r="K1373" s="4"/>
      <c r="L1373" s="4"/>
      <c r="M1373" s="2"/>
      <c r="N1373" s="2"/>
      <c r="O1373" s="2"/>
      <c r="P1373" s="2"/>
      <c r="Q1373" s="5"/>
      <c r="R1373" s="5"/>
      <c r="S1373" s="2"/>
      <c r="T1373" s="2"/>
      <c r="U1373" s="5"/>
      <c r="V1373" s="5"/>
      <c r="W1373" s="2"/>
      <c r="X1373" s="5"/>
      <c r="Y1373" s="1"/>
      <c r="Z1373" s="1"/>
      <c r="AA1373" s="1"/>
    </row>
    <row r="1374">
      <c r="A1374" s="1"/>
      <c r="B1374" s="14"/>
      <c r="C1374" s="2"/>
      <c r="D1374" s="2"/>
      <c r="E1374" s="2"/>
      <c r="F1374" s="2"/>
      <c r="G1374" s="2"/>
      <c r="H1374" s="3"/>
      <c r="I1374" s="2"/>
      <c r="J1374" s="2"/>
      <c r="K1374" s="4"/>
      <c r="L1374" s="4"/>
      <c r="M1374" s="2"/>
      <c r="N1374" s="2"/>
      <c r="O1374" s="2"/>
      <c r="P1374" s="2"/>
      <c r="Q1374" s="5"/>
      <c r="R1374" s="5"/>
      <c r="S1374" s="2"/>
      <c r="T1374" s="2"/>
      <c r="U1374" s="5"/>
      <c r="V1374" s="5"/>
      <c r="W1374" s="2"/>
      <c r="X1374" s="5"/>
      <c r="Y1374" s="1"/>
      <c r="Z1374" s="1"/>
      <c r="AA1374" s="1"/>
    </row>
    <row r="1375">
      <c r="A1375" s="1"/>
      <c r="B1375" s="14"/>
      <c r="C1375" s="2"/>
      <c r="D1375" s="2"/>
      <c r="E1375" s="2"/>
      <c r="F1375" s="2"/>
      <c r="G1375" s="2"/>
      <c r="H1375" s="3"/>
      <c r="I1375" s="2"/>
      <c r="J1375" s="2"/>
      <c r="K1375" s="4"/>
      <c r="L1375" s="4"/>
      <c r="M1375" s="2"/>
      <c r="N1375" s="2"/>
      <c r="O1375" s="2"/>
      <c r="P1375" s="2"/>
      <c r="Q1375" s="5"/>
      <c r="R1375" s="5"/>
      <c r="S1375" s="2"/>
      <c r="T1375" s="2"/>
      <c r="U1375" s="5"/>
      <c r="V1375" s="5"/>
      <c r="W1375" s="2"/>
      <c r="X1375" s="5"/>
      <c r="Y1375" s="1"/>
      <c r="Z1375" s="1"/>
      <c r="AA1375" s="1"/>
    </row>
    <row r="1376">
      <c r="A1376" s="1"/>
      <c r="B1376" s="14"/>
      <c r="C1376" s="2"/>
      <c r="D1376" s="2"/>
      <c r="E1376" s="2"/>
      <c r="F1376" s="2"/>
      <c r="G1376" s="2"/>
      <c r="H1376" s="3"/>
      <c r="I1376" s="2"/>
      <c r="J1376" s="2"/>
      <c r="K1376" s="4"/>
      <c r="L1376" s="4"/>
      <c r="M1376" s="2"/>
      <c r="N1376" s="2"/>
      <c r="O1376" s="2"/>
      <c r="P1376" s="2"/>
      <c r="Q1376" s="5"/>
      <c r="R1376" s="5"/>
      <c r="S1376" s="2"/>
      <c r="T1376" s="2"/>
      <c r="U1376" s="5"/>
      <c r="V1376" s="5"/>
      <c r="W1376" s="2"/>
      <c r="X1376" s="5"/>
      <c r="Y1376" s="1"/>
      <c r="Z1376" s="1"/>
      <c r="AA1376" s="1"/>
    </row>
    <row r="1377">
      <c r="A1377" s="1"/>
      <c r="B1377" s="14"/>
      <c r="C1377" s="2"/>
      <c r="D1377" s="2"/>
      <c r="E1377" s="2"/>
      <c r="F1377" s="2"/>
      <c r="G1377" s="2"/>
      <c r="H1377" s="3"/>
      <c r="I1377" s="2"/>
      <c r="J1377" s="2"/>
      <c r="K1377" s="4"/>
      <c r="L1377" s="4"/>
      <c r="M1377" s="2"/>
      <c r="N1377" s="2"/>
      <c r="O1377" s="2"/>
      <c r="P1377" s="2"/>
      <c r="Q1377" s="5"/>
      <c r="R1377" s="5"/>
      <c r="S1377" s="2"/>
      <c r="T1377" s="2"/>
      <c r="U1377" s="5"/>
      <c r="V1377" s="5"/>
      <c r="W1377" s="2"/>
      <c r="X1377" s="5"/>
      <c r="Y1377" s="1"/>
      <c r="Z1377" s="1"/>
      <c r="AA1377" s="1"/>
    </row>
    <row r="1378">
      <c r="A1378" s="1"/>
      <c r="B1378" s="14"/>
      <c r="C1378" s="2"/>
      <c r="D1378" s="2"/>
      <c r="E1378" s="2"/>
      <c r="F1378" s="2"/>
      <c r="G1378" s="2"/>
      <c r="H1378" s="3"/>
      <c r="I1378" s="2"/>
      <c r="J1378" s="2"/>
      <c r="K1378" s="4"/>
      <c r="L1378" s="4"/>
      <c r="M1378" s="2"/>
      <c r="N1378" s="2"/>
      <c r="O1378" s="2"/>
      <c r="P1378" s="2"/>
      <c r="Q1378" s="5"/>
      <c r="R1378" s="5"/>
      <c r="S1378" s="2"/>
      <c r="T1378" s="2"/>
      <c r="U1378" s="5"/>
      <c r="V1378" s="5"/>
      <c r="W1378" s="2"/>
      <c r="X1378" s="5"/>
      <c r="Y1378" s="1"/>
      <c r="Z1378" s="1"/>
      <c r="AA1378" s="1"/>
    </row>
    <row r="1379">
      <c r="A1379" s="1"/>
      <c r="B1379" s="14"/>
      <c r="C1379" s="2"/>
      <c r="D1379" s="2"/>
      <c r="E1379" s="2"/>
      <c r="F1379" s="2"/>
      <c r="G1379" s="2"/>
      <c r="H1379" s="3"/>
      <c r="I1379" s="2"/>
      <c r="J1379" s="2"/>
      <c r="K1379" s="4"/>
      <c r="L1379" s="4"/>
      <c r="M1379" s="2"/>
      <c r="N1379" s="2"/>
      <c r="O1379" s="2"/>
      <c r="P1379" s="2"/>
      <c r="Q1379" s="5"/>
      <c r="R1379" s="5"/>
      <c r="S1379" s="2"/>
      <c r="T1379" s="2"/>
      <c r="U1379" s="5"/>
      <c r="V1379" s="5"/>
      <c r="W1379" s="2"/>
      <c r="X1379" s="5"/>
      <c r="Y1379" s="1"/>
      <c r="Z1379" s="1"/>
      <c r="AA1379" s="1"/>
    </row>
    <row r="1380">
      <c r="A1380" s="1"/>
      <c r="B1380" s="14"/>
      <c r="C1380" s="2"/>
      <c r="D1380" s="2"/>
      <c r="E1380" s="2"/>
      <c r="F1380" s="2"/>
      <c r="G1380" s="2"/>
      <c r="H1380" s="3"/>
      <c r="I1380" s="2"/>
      <c r="J1380" s="2"/>
      <c r="K1380" s="4"/>
      <c r="L1380" s="4"/>
      <c r="M1380" s="2"/>
      <c r="N1380" s="2"/>
      <c r="O1380" s="2"/>
      <c r="P1380" s="2"/>
      <c r="Q1380" s="5"/>
      <c r="R1380" s="5"/>
      <c r="S1380" s="2"/>
      <c r="T1380" s="2"/>
      <c r="U1380" s="5"/>
      <c r="V1380" s="5"/>
      <c r="W1380" s="2"/>
      <c r="X1380" s="5"/>
      <c r="Y1380" s="1"/>
      <c r="Z1380" s="1"/>
      <c r="AA1380" s="1"/>
    </row>
    <row r="1381">
      <c r="A1381" s="1"/>
      <c r="B1381" s="14"/>
      <c r="C1381" s="2"/>
      <c r="D1381" s="2"/>
      <c r="E1381" s="2"/>
      <c r="F1381" s="2"/>
      <c r="G1381" s="2"/>
      <c r="H1381" s="3"/>
      <c r="I1381" s="2"/>
      <c r="J1381" s="2"/>
      <c r="K1381" s="4"/>
      <c r="L1381" s="4"/>
      <c r="M1381" s="2"/>
      <c r="N1381" s="2"/>
      <c r="O1381" s="2"/>
      <c r="P1381" s="2"/>
      <c r="Q1381" s="5"/>
      <c r="R1381" s="5"/>
      <c r="S1381" s="2"/>
      <c r="T1381" s="2"/>
      <c r="U1381" s="5"/>
      <c r="V1381" s="5"/>
      <c r="W1381" s="2"/>
      <c r="X1381" s="5"/>
      <c r="Y1381" s="1"/>
      <c r="Z1381" s="1"/>
      <c r="AA1381" s="1"/>
    </row>
    <row r="1382">
      <c r="A1382" s="1"/>
      <c r="B1382" s="14"/>
      <c r="C1382" s="2"/>
      <c r="D1382" s="2"/>
      <c r="E1382" s="2"/>
      <c r="F1382" s="2"/>
      <c r="G1382" s="2"/>
      <c r="H1382" s="3"/>
      <c r="I1382" s="2"/>
      <c r="J1382" s="2"/>
      <c r="K1382" s="4"/>
      <c r="L1382" s="4"/>
      <c r="M1382" s="2"/>
      <c r="N1382" s="2"/>
      <c r="O1382" s="2"/>
      <c r="P1382" s="2"/>
      <c r="Q1382" s="5"/>
      <c r="R1382" s="5"/>
      <c r="S1382" s="2"/>
      <c r="T1382" s="2"/>
      <c r="U1382" s="5"/>
      <c r="V1382" s="5"/>
      <c r="W1382" s="2"/>
      <c r="X1382" s="5"/>
      <c r="Y1382" s="1"/>
      <c r="Z1382" s="1"/>
      <c r="AA1382" s="1"/>
    </row>
    <row r="1383">
      <c r="A1383" s="1"/>
      <c r="B1383" s="14"/>
      <c r="C1383" s="2"/>
      <c r="D1383" s="2"/>
      <c r="E1383" s="2"/>
      <c r="F1383" s="2"/>
      <c r="G1383" s="2"/>
      <c r="H1383" s="3"/>
      <c r="I1383" s="2"/>
      <c r="J1383" s="2"/>
      <c r="K1383" s="4"/>
      <c r="L1383" s="4"/>
      <c r="M1383" s="2"/>
      <c r="N1383" s="2"/>
      <c r="O1383" s="2"/>
      <c r="P1383" s="2"/>
      <c r="Q1383" s="5"/>
      <c r="R1383" s="5"/>
      <c r="S1383" s="2"/>
      <c r="T1383" s="2"/>
      <c r="U1383" s="5"/>
      <c r="V1383" s="5"/>
      <c r="W1383" s="2"/>
      <c r="X1383" s="5"/>
      <c r="Y1383" s="1"/>
      <c r="Z1383" s="1"/>
      <c r="AA1383" s="1"/>
    </row>
    <row r="1384">
      <c r="A1384" s="1"/>
      <c r="B1384" s="14"/>
      <c r="C1384" s="2"/>
      <c r="D1384" s="2"/>
      <c r="E1384" s="2"/>
      <c r="F1384" s="2"/>
      <c r="G1384" s="2"/>
      <c r="H1384" s="3"/>
      <c r="I1384" s="2"/>
      <c r="J1384" s="2"/>
      <c r="K1384" s="4"/>
      <c r="L1384" s="4"/>
      <c r="M1384" s="2"/>
      <c r="N1384" s="2"/>
      <c r="O1384" s="2"/>
      <c r="P1384" s="2"/>
      <c r="Q1384" s="5"/>
      <c r="R1384" s="5"/>
      <c r="S1384" s="2"/>
      <c r="T1384" s="2"/>
      <c r="U1384" s="5"/>
      <c r="V1384" s="5"/>
      <c r="W1384" s="2"/>
      <c r="X1384" s="5"/>
      <c r="Y1384" s="1"/>
      <c r="Z1384" s="1"/>
      <c r="AA1384" s="1"/>
    </row>
    <row r="1385">
      <c r="A1385" s="1"/>
      <c r="B1385" s="14"/>
      <c r="C1385" s="2"/>
      <c r="D1385" s="2"/>
      <c r="E1385" s="2"/>
      <c r="F1385" s="2"/>
      <c r="G1385" s="2"/>
      <c r="H1385" s="3"/>
      <c r="I1385" s="2"/>
      <c r="J1385" s="2"/>
      <c r="K1385" s="4"/>
      <c r="L1385" s="4"/>
      <c r="M1385" s="2"/>
      <c r="N1385" s="2"/>
      <c r="O1385" s="2"/>
      <c r="P1385" s="2"/>
      <c r="Q1385" s="5"/>
      <c r="R1385" s="5"/>
      <c r="S1385" s="2"/>
      <c r="T1385" s="2"/>
      <c r="U1385" s="5"/>
      <c r="V1385" s="5"/>
      <c r="W1385" s="2"/>
      <c r="X1385" s="5"/>
      <c r="Y1385" s="1"/>
      <c r="Z1385" s="1"/>
      <c r="AA1385" s="1"/>
    </row>
    <row r="1386">
      <c r="A1386" s="1"/>
      <c r="B1386" s="14"/>
      <c r="C1386" s="2"/>
      <c r="D1386" s="2"/>
      <c r="E1386" s="2"/>
      <c r="F1386" s="2"/>
      <c r="G1386" s="2"/>
      <c r="H1386" s="3"/>
      <c r="I1386" s="2"/>
      <c r="J1386" s="2"/>
      <c r="K1386" s="4"/>
      <c r="L1386" s="4"/>
      <c r="M1386" s="2"/>
      <c r="N1386" s="2"/>
      <c r="O1386" s="2"/>
      <c r="P1386" s="2"/>
      <c r="Q1386" s="5"/>
      <c r="R1386" s="5"/>
      <c r="S1386" s="2"/>
      <c r="T1386" s="2"/>
      <c r="U1386" s="5"/>
      <c r="V1386" s="5"/>
      <c r="W1386" s="2"/>
      <c r="X1386" s="5"/>
      <c r="Y1386" s="1"/>
      <c r="Z1386" s="1"/>
      <c r="AA1386" s="1"/>
    </row>
    <row r="1387">
      <c r="A1387" s="1"/>
      <c r="B1387" s="14"/>
      <c r="C1387" s="2"/>
      <c r="D1387" s="2"/>
      <c r="E1387" s="2"/>
      <c r="F1387" s="2"/>
      <c r="G1387" s="2"/>
      <c r="H1387" s="3"/>
      <c r="I1387" s="2"/>
      <c r="J1387" s="2"/>
      <c r="K1387" s="4"/>
      <c r="L1387" s="4"/>
      <c r="M1387" s="2"/>
      <c r="N1387" s="2"/>
      <c r="O1387" s="2"/>
      <c r="P1387" s="2"/>
      <c r="Q1387" s="5"/>
      <c r="R1387" s="5"/>
      <c r="S1387" s="2"/>
      <c r="T1387" s="2"/>
      <c r="U1387" s="5"/>
      <c r="V1387" s="5"/>
      <c r="W1387" s="2"/>
      <c r="X1387" s="5"/>
      <c r="Y1387" s="1"/>
      <c r="Z1387" s="1"/>
      <c r="AA1387" s="1"/>
    </row>
    <row r="1388">
      <c r="A1388" s="1"/>
      <c r="B1388" s="14"/>
      <c r="C1388" s="2"/>
      <c r="D1388" s="2"/>
      <c r="E1388" s="2"/>
      <c r="F1388" s="2"/>
      <c r="G1388" s="2"/>
      <c r="H1388" s="3"/>
      <c r="I1388" s="2"/>
      <c r="J1388" s="2"/>
      <c r="K1388" s="4"/>
      <c r="L1388" s="4"/>
      <c r="M1388" s="2"/>
      <c r="N1388" s="2"/>
      <c r="O1388" s="2"/>
      <c r="P1388" s="2"/>
      <c r="Q1388" s="5"/>
      <c r="R1388" s="5"/>
      <c r="S1388" s="2"/>
      <c r="T1388" s="2"/>
      <c r="U1388" s="5"/>
      <c r="V1388" s="5"/>
      <c r="W1388" s="2"/>
      <c r="X1388" s="5"/>
      <c r="Y1388" s="1"/>
      <c r="Z1388" s="1"/>
      <c r="AA1388" s="1"/>
    </row>
    <row r="1389">
      <c r="A1389" s="1"/>
      <c r="B1389" s="14"/>
      <c r="C1389" s="2"/>
      <c r="D1389" s="2"/>
      <c r="E1389" s="2"/>
      <c r="F1389" s="2"/>
      <c r="G1389" s="2"/>
      <c r="H1389" s="3"/>
      <c r="I1389" s="2"/>
      <c r="J1389" s="2"/>
      <c r="K1389" s="4"/>
      <c r="L1389" s="4"/>
      <c r="M1389" s="2"/>
      <c r="N1389" s="2"/>
      <c r="O1389" s="2"/>
      <c r="P1389" s="2"/>
      <c r="Q1389" s="5"/>
      <c r="R1389" s="5"/>
      <c r="S1389" s="2"/>
      <c r="T1389" s="2"/>
      <c r="U1389" s="5"/>
      <c r="V1389" s="5"/>
      <c r="W1389" s="2"/>
      <c r="X1389" s="5"/>
      <c r="Y1389" s="1"/>
      <c r="Z1389" s="1"/>
      <c r="AA1389" s="1"/>
    </row>
    <row r="1390">
      <c r="A1390" s="1"/>
      <c r="B1390" s="14"/>
      <c r="C1390" s="2"/>
      <c r="D1390" s="2"/>
      <c r="E1390" s="2"/>
      <c r="F1390" s="2"/>
      <c r="G1390" s="2"/>
      <c r="H1390" s="3"/>
      <c r="I1390" s="2"/>
      <c r="J1390" s="2"/>
      <c r="K1390" s="4"/>
      <c r="L1390" s="4"/>
      <c r="M1390" s="2"/>
      <c r="N1390" s="2"/>
      <c r="O1390" s="2"/>
      <c r="P1390" s="2"/>
      <c r="Q1390" s="5"/>
      <c r="R1390" s="5"/>
      <c r="S1390" s="2"/>
      <c r="T1390" s="2"/>
      <c r="U1390" s="5"/>
      <c r="V1390" s="5"/>
      <c r="W1390" s="2"/>
      <c r="X1390" s="5"/>
      <c r="Y1390" s="1"/>
      <c r="Z1390" s="1"/>
      <c r="AA1390" s="1"/>
    </row>
    <row r="1391">
      <c r="A1391" s="1"/>
      <c r="B1391" s="14"/>
      <c r="C1391" s="2"/>
      <c r="D1391" s="2"/>
      <c r="E1391" s="2"/>
      <c r="F1391" s="2"/>
      <c r="G1391" s="2"/>
      <c r="H1391" s="3"/>
      <c r="I1391" s="2"/>
      <c r="J1391" s="2"/>
      <c r="K1391" s="4"/>
      <c r="L1391" s="4"/>
      <c r="M1391" s="2"/>
      <c r="N1391" s="2"/>
      <c r="O1391" s="2"/>
      <c r="P1391" s="2"/>
      <c r="Q1391" s="5"/>
      <c r="R1391" s="5"/>
      <c r="S1391" s="2"/>
      <c r="T1391" s="2"/>
      <c r="U1391" s="5"/>
      <c r="V1391" s="5"/>
      <c r="W1391" s="2"/>
      <c r="X1391" s="5"/>
      <c r="Y1391" s="1"/>
      <c r="Z1391" s="1"/>
      <c r="AA1391" s="1"/>
    </row>
    <row r="1392">
      <c r="A1392" s="1"/>
      <c r="B1392" s="14"/>
      <c r="C1392" s="2"/>
      <c r="D1392" s="2"/>
      <c r="E1392" s="2"/>
      <c r="F1392" s="2"/>
      <c r="G1392" s="2"/>
      <c r="H1392" s="3"/>
      <c r="I1392" s="2"/>
      <c r="J1392" s="2"/>
      <c r="K1392" s="4"/>
      <c r="L1392" s="4"/>
      <c r="M1392" s="2"/>
      <c r="N1392" s="2"/>
      <c r="O1392" s="2"/>
      <c r="P1392" s="2"/>
      <c r="Q1392" s="5"/>
      <c r="R1392" s="5"/>
      <c r="S1392" s="2"/>
      <c r="T1392" s="2"/>
      <c r="U1392" s="5"/>
      <c r="V1392" s="5"/>
      <c r="W1392" s="2"/>
      <c r="X1392" s="5"/>
      <c r="Y1392" s="1"/>
      <c r="Z1392" s="1"/>
      <c r="AA1392" s="1"/>
    </row>
    <row r="1393">
      <c r="A1393" s="1"/>
      <c r="B1393" s="14"/>
      <c r="C1393" s="2"/>
      <c r="D1393" s="2"/>
      <c r="E1393" s="2"/>
      <c r="F1393" s="2"/>
      <c r="G1393" s="2"/>
      <c r="H1393" s="3"/>
      <c r="I1393" s="2"/>
      <c r="J1393" s="2"/>
      <c r="K1393" s="4"/>
      <c r="L1393" s="4"/>
      <c r="M1393" s="2"/>
      <c r="N1393" s="2"/>
      <c r="O1393" s="2"/>
      <c r="P1393" s="2"/>
      <c r="Q1393" s="5"/>
      <c r="R1393" s="5"/>
      <c r="S1393" s="2"/>
      <c r="T1393" s="2"/>
      <c r="U1393" s="5"/>
      <c r="V1393" s="5"/>
      <c r="W1393" s="2"/>
      <c r="X1393" s="5"/>
      <c r="Y1393" s="1"/>
      <c r="Z1393" s="1"/>
      <c r="AA1393" s="1"/>
    </row>
    <row r="1394">
      <c r="A1394" s="1"/>
      <c r="B1394" s="14"/>
      <c r="C1394" s="2"/>
      <c r="D1394" s="2"/>
      <c r="E1394" s="2"/>
      <c r="F1394" s="2"/>
      <c r="G1394" s="2"/>
      <c r="H1394" s="3"/>
      <c r="I1394" s="2"/>
      <c r="J1394" s="2"/>
      <c r="K1394" s="4"/>
      <c r="L1394" s="4"/>
      <c r="M1394" s="2"/>
      <c r="N1394" s="2"/>
      <c r="O1394" s="2"/>
      <c r="P1394" s="2"/>
      <c r="Q1394" s="5"/>
      <c r="R1394" s="5"/>
      <c r="S1394" s="2"/>
      <c r="T1394" s="2"/>
      <c r="U1394" s="5"/>
      <c r="V1394" s="5"/>
      <c r="W1394" s="2"/>
      <c r="X1394" s="5"/>
      <c r="Y1394" s="1"/>
      <c r="Z1394" s="1"/>
      <c r="AA1394" s="1"/>
    </row>
    <row r="1395">
      <c r="A1395" s="1"/>
      <c r="B1395" s="14"/>
      <c r="C1395" s="2"/>
      <c r="D1395" s="2"/>
      <c r="E1395" s="2"/>
      <c r="F1395" s="2"/>
      <c r="G1395" s="2"/>
      <c r="H1395" s="3"/>
      <c r="I1395" s="2"/>
      <c r="J1395" s="2"/>
      <c r="K1395" s="4"/>
      <c r="L1395" s="4"/>
      <c r="M1395" s="2"/>
      <c r="N1395" s="2"/>
      <c r="O1395" s="2"/>
      <c r="P1395" s="2"/>
      <c r="Q1395" s="5"/>
      <c r="R1395" s="5"/>
      <c r="S1395" s="2"/>
      <c r="T1395" s="2"/>
      <c r="U1395" s="5"/>
      <c r="V1395" s="5"/>
      <c r="W1395" s="2"/>
      <c r="X1395" s="5"/>
      <c r="Y1395" s="1"/>
      <c r="Z1395" s="1"/>
      <c r="AA1395" s="1"/>
    </row>
    <row r="1396">
      <c r="A1396" s="1"/>
      <c r="B1396" s="14"/>
      <c r="C1396" s="2"/>
      <c r="D1396" s="2"/>
      <c r="E1396" s="2"/>
      <c r="F1396" s="2"/>
      <c r="G1396" s="2"/>
      <c r="H1396" s="3"/>
      <c r="I1396" s="2"/>
      <c r="J1396" s="2"/>
      <c r="K1396" s="4"/>
      <c r="L1396" s="4"/>
      <c r="M1396" s="2"/>
      <c r="N1396" s="2"/>
      <c r="O1396" s="2"/>
      <c r="P1396" s="2"/>
      <c r="Q1396" s="5"/>
      <c r="R1396" s="5"/>
      <c r="S1396" s="2"/>
      <c r="T1396" s="2"/>
      <c r="U1396" s="5"/>
      <c r="V1396" s="5"/>
      <c r="W1396" s="2"/>
      <c r="X1396" s="5"/>
      <c r="Y1396" s="1"/>
      <c r="Z1396" s="1"/>
      <c r="AA1396" s="1"/>
    </row>
    <row r="1397">
      <c r="A1397" s="1"/>
      <c r="B1397" s="14"/>
      <c r="C1397" s="2"/>
      <c r="D1397" s="2"/>
      <c r="E1397" s="2"/>
      <c r="F1397" s="2"/>
      <c r="G1397" s="2"/>
      <c r="H1397" s="3"/>
      <c r="I1397" s="2"/>
      <c r="J1397" s="2"/>
      <c r="K1397" s="4"/>
      <c r="L1397" s="4"/>
      <c r="M1397" s="2"/>
      <c r="N1397" s="2"/>
      <c r="O1397" s="2"/>
      <c r="P1397" s="2"/>
      <c r="Q1397" s="5"/>
      <c r="R1397" s="5"/>
      <c r="S1397" s="2"/>
      <c r="T1397" s="2"/>
      <c r="U1397" s="5"/>
      <c r="V1397" s="5"/>
      <c r="W1397" s="2"/>
      <c r="X1397" s="5"/>
      <c r="Y1397" s="1"/>
      <c r="Z1397" s="1"/>
      <c r="AA1397" s="1"/>
    </row>
    <row r="1398">
      <c r="A1398" s="1"/>
      <c r="B1398" s="14"/>
      <c r="C1398" s="2"/>
      <c r="D1398" s="2"/>
      <c r="E1398" s="2"/>
      <c r="F1398" s="2"/>
      <c r="G1398" s="2"/>
      <c r="H1398" s="3"/>
      <c r="I1398" s="2"/>
      <c r="J1398" s="2"/>
      <c r="K1398" s="4"/>
      <c r="L1398" s="4"/>
      <c r="M1398" s="2"/>
      <c r="N1398" s="2"/>
      <c r="O1398" s="2"/>
      <c r="P1398" s="2"/>
      <c r="Q1398" s="5"/>
      <c r="R1398" s="5"/>
      <c r="S1398" s="2"/>
      <c r="T1398" s="2"/>
      <c r="U1398" s="5"/>
      <c r="V1398" s="5"/>
      <c r="W1398" s="2"/>
      <c r="X1398" s="5"/>
      <c r="Y1398" s="1"/>
      <c r="Z1398" s="1"/>
      <c r="AA1398" s="1"/>
    </row>
    <row r="1399">
      <c r="A1399" s="1"/>
      <c r="B1399" s="14"/>
      <c r="C1399" s="2"/>
      <c r="D1399" s="2"/>
      <c r="E1399" s="2"/>
      <c r="F1399" s="2"/>
      <c r="G1399" s="2"/>
      <c r="H1399" s="3"/>
      <c r="I1399" s="2"/>
      <c r="J1399" s="2"/>
      <c r="K1399" s="4"/>
      <c r="L1399" s="4"/>
      <c r="M1399" s="2"/>
      <c r="N1399" s="2"/>
      <c r="O1399" s="2"/>
      <c r="P1399" s="2"/>
      <c r="Q1399" s="5"/>
      <c r="R1399" s="5"/>
      <c r="S1399" s="2"/>
      <c r="T1399" s="2"/>
      <c r="U1399" s="5"/>
      <c r="V1399" s="5"/>
      <c r="W1399" s="2"/>
      <c r="X1399" s="5"/>
      <c r="Y1399" s="1"/>
      <c r="Z1399" s="1"/>
      <c r="AA1399" s="1"/>
    </row>
    <row r="1400">
      <c r="A1400" s="1"/>
      <c r="B1400" s="14"/>
      <c r="C1400" s="2"/>
      <c r="D1400" s="2"/>
      <c r="E1400" s="2"/>
      <c r="F1400" s="2"/>
      <c r="G1400" s="2"/>
      <c r="H1400" s="3"/>
      <c r="I1400" s="2"/>
      <c r="J1400" s="2"/>
      <c r="K1400" s="4"/>
      <c r="L1400" s="4"/>
      <c r="M1400" s="2"/>
      <c r="N1400" s="2"/>
      <c r="O1400" s="2"/>
      <c r="P1400" s="2"/>
      <c r="Q1400" s="5"/>
      <c r="R1400" s="5"/>
      <c r="S1400" s="2"/>
      <c r="T1400" s="2"/>
      <c r="U1400" s="5"/>
      <c r="V1400" s="5"/>
      <c r="W1400" s="2"/>
      <c r="X1400" s="5"/>
      <c r="Y1400" s="1"/>
      <c r="Z1400" s="1"/>
      <c r="AA1400" s="1"/>
    </row>
    <row r="1401">
      <c r="A1401" s="1"/>
      <c r="B1401" s="14"/>
      <c r="C1401" s="2"/>
      <c r="D1401" s="2"/>
      <c r="E1401" s="2"/>
      <c r="F1401" s="2"/>
      <c r="G1401" s="2"/>
      <c r="H1401" s="3"/>
      <c r="I1401" s="2"/>
      <c r="J1401" s="2"/>
      <c r="K1401" s="4"/>
      <c r="L1401" s="4"/>
      <c r="M1401" s="2"/>
      <c r="N1401" s="2"/>
      <c r="O1401" s="2"/>
      <c r="P1401" s="2"/>
      <c r="Q1401" s="5"/>
      <c r="R1401" s="5"/>
      <c r="S1401" s="2"/>
      <c r="T1401" s="2"/>
      <c r="U1401" s="5"/>
      <c r="V1401" s="5"/>
      <c r="W1401" s="2"/>
      <c r="X1401" s="5"/>
      <c r="Y1401" s="1"/>
      <c r="Z1401" s="1"/>
      <c r="AA1401" s="1"/>
    </row>
    <row r="1402">
      <c r="A1402" s="1"/>
      <c r="B1402" s="14"/>
      <c r="C1402" s="2"/>
      <c r="D1402" s="2"/>
      <c r="E1402" s="2"/>
      <c r="F1402" s="2"/>
      <c r="G1402" s="2"/>
      <c r="H1402" s="3"/>
      <c r="I1402" s="2"/>
      <c r="J1402" s="2"/>
      <c r="K1402" s="4"/>
      <c r="L1402" s="4"/>
      <c r="M1402" s="2"/>
      <c r="N1402" s="2"/>
      <c r="O1402" s="2"/>
      <c r="P1402" s="2"/>
      <c r="Q1402" s="5"/>
      <c r="R1402" s="5"/>
      <c r="S1402" s="2"/>
      <c r="T1402" s="2"/>
      <c r="U1402" s="5"/>
      <c r="V1402" s="5"/>
      <c r="W1402" s="2"/>
      <c r="X1402" s="5"/>
      <c r="Y1402" s="1"/>
      <c r="Z1402" s="1"/>
      <c r="AA1402" s="1"/>
    </row>
    <row r="1403">
      <c r="A1403" s="1"/>
      <c r="B1403" s="14"/>
      <c r="C1403" s="2"/>
      <c r="D1403" s="2"/>
      <c r="E1403" s="2"/>
      <c r="F1403" s="2"/>
      <c r="G1403" s="2"/>
      <c r="H1403" s="3"/>
      <c r="I1403" s="2"/>
      <c r="J1403" s="2"/>
      <c r="K1403" s="4"/>
      <c r="L1403" s="4"/>
      <c r="M1403" s="2"/>
      <c r="N1403" s="2"/>
      <c r="O1403" s="2"/>
      <c r="P1403" s="2"/>
      <c r="Q1403" s="5"/>
      <c r="R1403" s="5"/>
      <c r="S1403" s="2"/>
      <c r="T1403" s="2"/>
      <c r="U1403" s="5"/>
      <c r="V1403" s="5"/>
      <c r="W1403" s="2"/>
      <c r="X1403" s="5"/>
      <c r="Y1403" s="1"/>
      <c r="Z1403" s="1"/>
      <c r="AA1403" s="1"/>
    </row>
    <row r="1404">
      <c r="A1404" s="1"/>
      <c r="B1404" s="14"/>
      <c r="C1404" s="2"/>
      <c r="D1404" s="2"/>
      <c r="E1404" s="2"/>
      <c r="F1404" s="2"/>
      <c r="G1404" s="2"/>
      <c r="H1404" s="3"/>
      <c r="I1404" s="2"/>
      <c r="J1404" s="2"/>
      <c r="K1404" s="4"/>
      <c r="L1404" s="4"/>
      <c r="M1404" s="2"/>
      <c r="N1404" s="2"/>
      <c r="O1404" s="2"/>
      <c r="P1404" s="2"/>
      <c r="Q1404" s="5"/>
      <c r="R1404" s="5"/>
      <c r="S1404" s="2"/>
      <c r="T1404" s="2"/>
      <c r="U1404" s="5"/>
      <c r="V1404" s="5"/>
      <c r="W1404" s="2"/>
      <c r="X1404" s="5"/>
      <c r="Y1404" s="1"/>
      <c r="Z1404" s="1"/>
      <c r="AA1404" s="1"/>
    </row>
    <row r="1405">
      <c r="A1405" s="1"/>
      <c r="B1405" s="14"/>
      <c r="C1405" s="2"/>
      <c r="D1405" s="2"/>
      <c r="E1405" s="2"/>
      <c r="F1405" s="2"/>
      <c r="G1405" s="2"/>
      <c r="H1405" s="3"/>
      <c r="I1405" s="2"/>
      <c r="J1405" s="2"/>
      <c r="K1405" s="4"/>
      <c r="L1405" s="4"/>
      <c r="M1405" s="2"/>
      <c r="N1405" s="2"/>
      <c r="O1405" s="2"/>
      <c r="P1405" s="2"/>
      <c r="Q1405" s="5"/>
      <c r="R1405" s="5"/>
      <c r="S1405" s="2"/>
      <c r="T1405" s="2"/>
      <c r="U1405" s="5"/>
      <c r="V1405" s="5"/>
      <c r="W1405" s="2"/>
      <c r="X1405" s="5"/>
      <c r="Y1405" s="1"/>
      <c r="Z1405" s="1"/>
      <c r="AA1405" s="1"/>
    </row>
    <row r="1406">
      <c r="A1406" s="1"/>
      <c r="B1406" s="14"/>
      <c r="C1406" s="2"/>
      <c r="D1406" s="2"/>
      <c r="E1406" s="2"/>
      <c r="F1406" s="2"/>
      <c r="G1406" s="2"/>
      <c r="H1406" s="3"/>
      <c r="I1406" s="2"/>
      <c r="J1406" s="2"/>
      <c r="K1406" s="4"/>
      <c r="L1406" s="4"/>
      <c r="M1406" s="2"/>
      <c r="N1406" s="2"/>
      <c r="O1406" s="2"/>
      <c r="P1406" s="2"/>
      <c r="Q1406" s="5"/>
      <c r="R1406" s="5"/>
      <c r="S1406" s="2"/>
      <c r="T1406" s="2"/>
      <c r="U1406" s="5"/>
      <c r="V1406" s="5"/>
      <c r="W1406" s="2"/>
      <c r="X1406" s="5"/>
      <c r="Y1406" s="1"/>
      <c r="Z1406" s="1"/>
      <c r="AA1406" s="1"/>
    </row>
    <row r="1407">
      <c r="A1407" s="1"/>
      <c r="B1407" s="14"/>
      <c r="C1407" s="2"/>
      <c r="D1407" s="2"/>
      <c r="E1407" s="2"/>
      <c r="F1407" s="2"/>
      <c r="G1407" s="2"/>
      <c r="H1407" s="3"/>
      <c r="I1407" s="2"/>
      <c r="J1407" s="2"/>
      <c r="K1407" s="4"/>
      <c r="L1407" s="4"/>
      <c r="M1407" s="2"/>
      <c r="N1407" s="2"/>
      <c r="O1407" s="2"/>
      <c r="P1407" s="2"/>
      <c r="Q1407" s="5"/>
      <c r="R1407" s="5"/>
      <c r="S1407" s="2"/>
      <c r="T1407" s="2"/>
      <c r="U1407" s="5"/>
      <c r="V1407" s="5"/>
      <c r="W1407" s="2"/>
      <c r="X1407" s="5"/>
      <c r="Y1407" s="1"/>
      <c r="Z1407" s="1"/>
      <c r="AA1407" s="1"/>
    </row>
    <row r="1408">
      <c r="A1408" s="1"/>
      <c r="B1408" s="14"/>
      <c r="C1408" s="2"/>
      <c r="D1408" s="2"/>
      <c r="E1408" s="2"/>
      <c r="F1408" s="2"/>
      <c r="G1408" s="2"/>
      <c r="H1408" s="3"/>
      <c r="I1408" s="2"/>
      <c r="J1408" s="2"/>
      <c r="K1408" s="4"/>
      <c r="L1408" s="4"/>
      <c r="M1408" s="2"/>
      <c r="N1408" s="2"/>
      <c r="O1408" s="2"/>
      <c r="P1408" s="2"/>
      <c r="Q1408" s="5"/>
      <c r="R1408" s="5"/>
      <c r="S1408" s="2"/>
      <c r="T1408" s="2"/>
      <c r="U1408" s="5"/>
      <c r="V1408" s="5"/>
      <c r="W1408" s="2"/>
      <c r="X1408" s="5"/>
      <c r="Y1408" s="1"/>
      <c r="Z1408" s="1"/>
      <c r="AA1408" s="1"/>
    </row>
    <row r="1409">
      <c r="A1409" s="1"/>
      <c r="B1409" s="14"/>
      <c r="C1409" s="2"/>
      <c r="D1409" s="2"/>
      <c r="E1409" s="2"/>
      <c r="F1409" s="2"/>
      <c r="G1409" s="2"/>
      <c r="H1409" s="3"/>
      <c r="I1409" s="2"/>
      <c r="J1409" s="2"/>
      <c r="K1409" s="4"/>
      <c r="L1409" s="4"/>
      <c r="M1409" s="2"/>
      <c r="N1409" s="2"/>
      <c r="O1409" s="2"/>
      <c r="P1409" s="2"/>
      <c r="Q1409" s="5"/>
      <c r="R1409" s="5"/>
      <c r="S1409" s="2"/>
      <c r="T1409" s="2"/>
      <c r="U1409" s="5"/>
      <c r="V1409" s="5"/>
      <c r="W1409" s="2"/>
      <c r="X1409" s="5"/>
      <c r="Y1409" s="1"/>
      <c r="Z1409" s="1"/>
      <c r="AA1409" s="1"/>
    </row>
    <row r="1410">
      <c r="A1410" s="1"/>
      <c r="B1410" s="14"/>
      <c r="C1410" s="2"/>
      <c r="D1410" s="2"/>
      <c r="E1410" s="2"/>
      <c r="F1410" s="2"/>
      <c r="G1410" s="2"/>
      <c r="H1410" s="3"/>
      <c r="I1410" s="2"/>
      <c r="J1410" s="2"/>
      <c r="K1410" s="4"/>
      <c r="L1410" s="4"/>
      <c r="M1410" s="2"/>
      <c r="N1410" s="2"/>
      <c r="O1410" s="2"/>
      <c r="P1410" s="2"/>
      <c r="Q1410" s="5"/>
      <c r="R1410" s="5"/>
      <c r="S1410" s="2"/>
      <c r="T1410" s="2"/>
      <c r="U1410" s="5"/>
      <c r="V1410" s="5"/>
      <c r="W1410" s="2"/>
      <c r="X1410" s="5"/>
      <c r="Y1410" s="1"/>
      <c r="Z1410" s="1"/>
      <c r="AA1410" s="1"/>
    </row>
    <row r="1411">
      <c r="A1411" s="1"/>
      <c r="B1411" s="14"/>
      <c r="C1411" s="2"/>
      <c r="D1411" s="2"/>
      <c r="E1411" s="2"/>
      <c r="F1411" s="2"/>
      <c r="G1411" s="2"/>
      <c r="H1411" s="3"/>
      <c r="I1411" s="2"/>
      <c r="J1411" s="2"/>
      <c r="K1411" s="4"/>
      <c r="L1411" s="4"/>
      <c r="M1411" s="2"/>
      <c r="N1411" s="2"/>
      <c r="O1411" s="2"/>
      <c r="P1411" s="2"/>
      <c r="Q1411" s="5"/>
      <c r="R1411" s="5"/>
      <c r="S1411" s="2"/>
      <c r="T1411" s="2"/>
      <c r="U1411" s="5"/>
      <c r="V1411" s="5"/>
      <c r="W1411" s="2"/>
      <c r="X1411" s="5"/>
      <c r="Y1411" s="1"/>
      <c r="Z1411" s="1"/>
      <c r="AA1411" s="1"/>
    </row>
    <row r="1412">
      <c r="A1412" s="1"/>
      <c r="B1412" s="14"/>
      <c r="C1412" s="2"/>
      <c r="D1412" s="2"/>
      <c r="E1412" s="2"/>
      <c r="F1412" s="2"/>
      <c r="G1412" s="2"/>
      <c r="H1412" s="3"/>
      <c r="I1412" s="2"/>
      <c r="J1412" s="2"/>
      <c r="K1412" s="4"/>
      <c r="L1412" s="4"/>
      <c r="M1412" s="2"/>
      <c r="N1412" s="2"/>
      <c r="O1412" s="2"/>
      <c r="P1412" s="2"/>
      <c r="Q1412" s="5"/>
      <c r="R1412" s="5"/>
      <c r="S1412" s="2"/>
      <c r="T1412" s="2"/>
      <c r="U1412" s="5"/>
      <c r="V1412" s="5"/>
      <c r="W1412" s="2"/>
      <c r="X1412" s="5"/>
      <c r="Y1412" s="1"/>
      <c r="Z1412" s="1"/>
      <c r="AA1412" s="1"/>
    </row>
    <row r="1413">
      <c r="A1413" s="1"/>
      <c r="B1413" s="14"/>
      <c r="C1413" s="2"/>
      <c r="D1413" s="2"/>
      <c r="E1413" s="2"/>
      <c r="F1413" s="2"/>
      <c r="G1413" s="2"/>
      <c r="H1413" s="3"/>
      <c r="I1413" s="2"/>
      <c r="J1413" s="2"/>
      <c r="K1413" s="4"/>
      <c r="L1413" s="4"/>
      <c r="M1413" s="2"/>
      <c r="N1413" s="2"/>
      <c r="O1413" s="2"/>
      <c r="P1413" s="2"/>
      <c r="Q1413" s="5"/>
      <c r="R1413" s="5"/>
      <c r="S1413" s="2"/>
      <c r="T1413" s="2"/>
      <c r="U1413" s="5"/>
      <c r="V1413" s="5"/>
      <c r="W1413" s="2"/>
      <c r="X1413" s="5"/>
      <c r="Y1413" s="1"/>
      <c r="Z1413" s="1"/>
      <c r="AA1413" s="1"/>
    </row>
    <row r="1414">
      <c r="A1414" s="1"/>
      <c r="B1414" s="14"/>
      <c r="C1414" s="2"/>
      <c r="D1414" s="2"/>
      <c r="E1414" s="2"/>
      <c r="F1414" s="2"/>
      <c r="G1414" s="2"/>
      <c r="H1414" s="3"/>
      <c r="I1414" s="2"/>
      <c r="J1414" s="2"/>
      <c r="K1414" s="4"/>
      <c r="L1414" s="4"/>
      <c r="M1414" s="2"/>
      <c r="N1414" s="2"/>
      <c r="O1414" s="2"/>
      <c r="P1414" s="2"/>
      <c r="Q1414" s="5"/>
      <c r="R1414" s="5"/>
      <c r="S1414" s="2"/>
      <c r="T1414" s="2"/>
      <c r="U1414" s="5"/>
      <c r="V1414" s="5"/>
      <c r="W1414" s="2"/>
      <c r="X1414" s="5"/>
      <c r="Y1414" s="1"/>
      <c r="Z1414" s="1"/>
      <c r="AA1414" s="1"/>
    </row>
    <row r="1415">
      <c r="A1415" s="1"/>
      <c r="B1415" s="14"/>
      <c r="C1415" s="2"/>
      <c r="D1415" s="2"/>
      <c r="E1415" s="2"/>
      <c r="F1415" s="2"/>
      <c r="G1415" s="2"/>
      <c r="H1415" s="3"/>
      <c r="I1415" s="2"/>
      <c r="J1415" s="2"/>
      <c r="K1415" s="4"/>
      <c r="L1415" s="4"/>
      <c r="M1415" s="2"/>
      <c r="N1415" s="2"/>
      <c r="O1415" s="2"/>
      <c r="P1415" s="2"/>
      <c r="Q1415" s="5"/>
      <c r="R1415" s="5"/>
      <c r="S1415" s="2"/>
      <c r="T1415" s="2"/>
      <c r="U1415" s="5"/>
      <c r="V1415" s="5"/>
      <c r="W1415" s="2"/>
      <c r="X1415" s="5"/>
      <c r="Y1415" s="1"/>
      <c r="Z1415" s="1"/>
      <c r="AA1415" s="1"/>
    </row>
    <row r="1416">
      <c r="A1416" s="1"/>
      <c r="B1416" s="14"/>
      <c r="C1416" s="2"/>
      <c r="D1416" s="2"/>
      <c r="E1416" s="2"/>
      <c r="F1416" s="2"/>
      <c r="G1416" s="2"/>
      <c r="H1416" s="3"/>
      <c r="I1416" s="2"/>
      <c r="J1416" s="2"/>
      <c r="K1416" s="4"/>
      <c r="L1416" s="4"/>
      <c r="M1416" s="2"/>
      <c r="N1416" s="2"/>
      <c r="O1416" s="2"/>
      <c r="P1416" s="2"/>
      <c r="Q1416" s="5"/>
      <c r="R1416" s="5"/>
      <c r="S1416" s="2"/>
      <c r="T1416" s="2"/>
      <c r="U1416" s="5"/>
      <c r="V1416" s="5"/>
      <c r="W1416" s="2"/>
      <c r="X1416" s="5"/>
      <c r="Y1416" s="1"/>
      <c r="Z1416" s="1"/>
      <c r="AA1416" s="1"/>
    </row>
    <row r="1417">
      <c r="A1417" s="1"/>
      <c r="B1417" s="14"/>
      <c r="C1417" s="2"/>
      <c r="D1417" s="2"/>
      <c r="E1417" s="2"/>
      <c r="F1417" s="2"/>
      <c r="G1417" s="2"/>
      <c r="H1417" s="3"/>
      <c r="I1417" s="2"/>
      <c r="J1417" s="2"/>
      <c r="K1417" s="4"/>
      <c r="L1417" s="4"/>
      <c r="M1417" s="2"/>
      <c r="N1417" s="2"/>
      <c r="O1417" s="2"/>
      <c r="P1417" s="2"/>
      <c r="Q1417" s="5"/>
      <c r="R1417" s="5"/>
      <c r="S1417" s="2"/>
      <c r="T1417" s="2"/>
      <c r="U1417" s="5"/>
      <c r="V1417" s="5"/>
      <c r="W1417" s="2"/>
      <c r="X1417" s="5"/>
      <c r="Y1417" s="1"/>
      <c r="Z1417" s="1"/>
      <c r="AA1417" s="1"/>
    </row>
    <row r="1418">
      <c r="A1418" s="1"/>
      <c r="B1418" s="14"/>
      <c r="C1418" s="2"/>
      <c r="D1418" s="2"/>
      <c r="E1418" s="2"/>
      <c r="F1418" s="2"/>
      <c r="G1418" s="2"/>
      <c r="H1418" s="3"/>
      <c r="I1418" s="2"/>
      <c r="J1418" s="2"/>
      <c r="K1418" s="4"/>
      <c r="L1418" s="4"/>
      <c r="M1418" s="2"/>
      <c r="N1418" s="2"/>
      <c r="O1418" s="2"/>
      <c r="P1418" s="2"/>
      <c r="Q1418" s="5"/>
      <c r="R1418" s="5"/>
      <c r="S1418" s="2"/>
      <c r="T1418" s="2"/>
      <c r="U1418" s="5"/>
      <c r="V1418" s="5"/>
      <c r="W1418" s="2"/>
      <c r="X1418" s="5"/>
      <c r="Y1418" s="1"/>
      <c r="Z1418" s="1"/>
      <c r="AA1418" s="1"/>
    </row>
    <row r="1419">
      <c r="A1419" s="1"/>
      <c r="B1419" s="14"/>
      <c r="C1419" s="2"/>
      <c r="D1419" s="2"/>
      <c r="E1419" s="2"/>
      <c r="F1419" s="2"/>
      <c r="G1419" s="2"/>
      <c r="H1419" s="3"/>
      <c r="I1419" s="2"/>
      <c r="J1419" s="2"/>
      <c r="K1419" s="4"/>
      <c r="L1419" s="4"/>
      <c r="M1419" s="2"/>
      <c r="N1419" s="2"/>
      <c r="O1419" s="2"/>
      <c r="P1419" s="2"/>
      <c r="Q1419" s="5"/>
      <c r="R1419" s="5"/>
      <c r="S1419" s="2"/>
      <c r="T1419" s="2"/>
      <c r="U1419" s="5"/>
      <c r="V1419" s="5"/>
      <c r="W1419" s="2"/>
      <c r="X1419" s="5"/>
      <c r="Y1419" s="1"/>
      <c r="Z1419" s="1"/>
      <c r="AA1419" s="1"/>
    </row>
    <row r="1420">
      <c r="A1420" s="1"/>
      <c r="B1420" s="14"/>
      <c r="C1420" s="2"/>
      <c r="D1420" s="2"/>
      <c r="E1420" s="2"/>
      <c r="F1420" s="2"/>
      <c r="G1420" s="2"/>
      <c r="H1420" s="3"/>
      <c r="I1420" s="2"/>
      <c r="J1420" s="2"/>
      <c r="K1420" s="4"/>
      <c r="L1420" s="4"/>
      <c r="M1420" s="2"/>
      <c r="N1420" s="2"/>
      <c r="O1420" s="2"/>
      <c r="P1420" s="2"/>
      <c r="Q1420" s="5"/>
      <c r="R1420" s="5"/>
      <c r="S1420" s="2"/>
      <c r="T1420" s="2"/>
      <c r="U1420" s="5"/>
      <c r="V1420" s="5"/>
      <c r="W1420" s="2"/>
      <c r="X1420" s="5"/>
      <c r="Y1420" s="1"/>
      <c r="Z1420" s="1"/>
      <c r="AA1420" s="1"/>
    </row>
    <row r="1421">
      <c r="A1421" s="1"/>
      <c r="B1421" s="14"/>
      <c r="C1421" s="2"/>
      <c r="D1421" s="2"/>
      <c r="E1421" s="2"/>
      <c r="F1421" s="2"/>
      <c r="G1421" s="2"/>
      <c r="H1421" s="3"/>
      <c r="I1421" s="2"/>
      <c r="J1421" s="2"/>
      <c r="K1421" s="4"/>
      <c r="L1421" s="4"/>
      <c r="M1421" s="2"/>
      <c r="N1421" s="2"/>
      <c r="O1421" s="2"/>
      <c r="P1421" s="2"/>
      <c r="Q1421" s="5"/>
      <c r="R1421" s="5"/>
      <c r="S1421" s="2"/>
      <c r="T1421" s="2"/>
      <c r="U1421" s="5"/>
      <c r="V1421" s="5"/>
      <c r="W1421" s="2"/>
      <c r="X1421" s="5"/>
      <c r="Y1421" s="1"/>
      <c r="Z1421" s="1"/>
      <c r="AA1421" s="1"/>
    </row>
    <row r="1422">
      <c r="A1422" s="1"/>
      <c r="B1422" s="14"/>
      <c r="C1422" s="2"/>
      <c r="D1422" s="2"/>
      <c r="E1422" s="2"/>
      <c r="F1422" s="2"/>
      <c r="G1422" s="2"/>
      <c r="H1422" s="3"/>
      <c r="I1422" s="2"/>
      <c r="J1422" s="2"/>
      <c r="K1422" s="4"/>
      <c r="L1422" s="4"/>
      <c r="M1422" s="2"/>
      <c r="N1422" s="2"/>
      <c r="O1422" s="2"/>
      <c r="P1422" s="2"/>
      <c r="Q1422" s="5"/>
      <c r="R1422" s="5"/>
      <c r="S1422" s="2"/>
      <c r="T1422" s="2"/>
      <c r="U1422" s="5"/>
      <c r="V1422" s="5"/>
      <c r="W1422" s="2"/>
      <c r="X1422" s="5"/>
      <c r="Y1422" s="1"/>
      <c r="Z1422" s="1"/>
      <c r="AA1422" s="1"/>
    </row>
    <row r="1423">
      <c r="A1423" s="1"/>
      <c r="B1423" s="14"/>
      <c r="C1423" s="2"/>
      <c r="D1423" s="2"/>
      <c r="E1423" s="2"/>
      <c r="F1423" s="2"/>
      <c r="G1423" s="2"/>
      <c r="H1423" s="3"/>
      <c r="I1423" s="2"/>
      <c r="J1423" s="2"/>
      <c r="K1423" s="4"/>
      <c r="L1423" s="4"/>
      <c r="M1423" s="2"/>
      <c r="N1423" s="2"/>
      <c r="O1423" s="2"/>
      <c r="P1423" s="2"/>
      <c r="Q1423" s="5"/>
      <c r="R1423" s="5"/>
      <c r="S1423" s="2"/>
      <c r="T1423" s="2"/>
      <c r="U1423" s="5"/>
      <c r="V1423" s="5"/>
      <c r="W1423" s="2"/>
      <c r="X1423" s="5"/>
      <c r="Y1423" s="1"/>
      <c r="Z1423" s="1"/>
      <c r="AA1423" s="1"/>
    </row>
    <row r="1424">
      <c r="A1424" s="1"/>
      <c r="B1424" s="14"/>
      <c r="C1424" s="2"/>
      <c r="D1424" s="2"/>
      <c r="E1424" s="2"/>
      <c r="F1424" s="2"/>
      <c r="G1424" s="2"/>
      <c r="H1424" s="3"/>
      <c r="I1424" s="2"/>
      <c r="J1424" s="2"/>
      <c r="K1424" s="4"/>
      <c r="L1424" s="4"/>
      <c r="M1424" s="2"/>
      <c r="N1424" s="2"/>
      <c r="O1424" s="2"/>
      <c r="P1424" s="2"/>
      <c r="Q1424" s="5"/>
      <c r="R1424" s="5"/>
      <c r="S1424" s="2"/>
      <c r="T1424" s="2"/>
      <c r="U1424" s="5"/>
      <c r="V1424" s="5"/>
      <c r="W1424" s="2"/>
      <c r="X1424" s="5"/>
      <c r="Y1424" s="1"/>
      <c r="Z1424" s="1"/>
      <c r="AA1424" s="1"/>
    </row>
    <row r="1425">
      <c r="A1425" s="1"/>
      <c r="B1425" s="14"/>
      <c r="C1425" s="2"/>
      <c r="D1425" s="2"/>
      <c r="E1425" s="2"/>
      <c r="F1425" s="2"/>
      <c r="G1425" s="2"/>
      <c r="H1425" s="3"/>
      <c r="I1425" s="2"/>
      <c r="J1425" s="2"/>
      <c r="K1425" s="4"/>
      <c r="L1425" s="4"/>
      <c r="M1425" s="2"/>
      <c r="N1425" s="2"/>
      <c r="O1425" s="2"/>
      <c r="P1425" s="2"/>
      <c r="Q1425" s="5"/>
      <c r="R1425" s="5"/>
      <c r="S1425" s="2"/>
      <c r="T1425" s="2"/>
      <c r="U1425" s="5"/>
      <c r="V1425" s="5"/>
      <c r="W1425" s="2"/>
      <c r="X1425" s="5"/>
      <c r="Y1425" s="1"/>
      <c r="Z1425" s="1"/>
      <c r="AA1425" s="1"/>
    </row>
    <row r="1426">
      <c r="A1426" s="1"/>
      <c r="B1426" s="14"/>
      <c r="C1426" s="2"/>
      <c r="D1426" s="2"/>
      <c r="E1426" s="2"/>
      <c r="F1426" s="2"/>
      <c r="G1426" s="2"/>
      <c r="H1426" s="3"/>
      <c r="I1426" s="2"/>
      <c r="J1426" s="2"/>
      <c r="K1426" s="4"/>
      <c r="L1426" s="4"/>
      <c r="M1426" s="2"/>
      <c r="N1426" s="2"/>
      <c r="O1426" s="2"/>
      <c r="P1426" s="2"/>
      <c r="Q1426" s="5"/>
      <c r="R1426" s="5"/>
      <c r="S1426" s="2"/>
      <c r="T1426" s="2"/>
      <c r="U1426" s="5"/>
      <c r="V1426" s="5"/>
      <c r="W1426" s="2"/>
      <c r="X1426" s="5"/>
      <c r="Y1426" s="1"/>
      <c r="Z1426" s="1"/>
      <c r="AA1426" s="1"/>
    </row>
    <row r="1427">
      <c r="A1427" s="1"/>
      <c r="B1427" s="14"/>
      <c r="C1427" s="2"/>
      <c r="D1427" s="2"/>
      <c r="E1427" s="2"/>
      <c r="F1427" s="2"/>
      <c r="G1427" s="2"/>
      <c r="H1427" s="3"/>
      <c r="I1427" s="2"/>
      <c r="J1427" s="2"/>
      <c r="K1427" s="4"/>
      <c r="L1427" s="4"/>
      <c r="M1427" s="2"/>
      <c r="N1427" s="2"/>
      <c r="O1427" s="2"/>
      <c r="P1427" s="2"/>
      <c r="Q1427" s="5"/>
      <c r="R1427" s="5"/>
      <c r="S1427" s="2"/>
      <c r="T1427" s="2"/>
      <c r="U1427" s="5"/>
      <c r="V1427" s="5"/>
      <c r="W1427" s="2"/>
      <c r="X1427" s="5"/>
      <c r="Y1427" s="1"/>
      <c r="Z1427" s="1"/>
      <c r="AA1427" s="1"/>
    </row>
    <row r="1428">
      <c r="A1428" s="1"/>
      <c r="B1428" s="14"/>
      <c r="C1428" s="2"/>
      <c r="D1428" s="2"/>
      <c r="E1428" s="2"/>
      <c r="F1428" s="2"/>
      <c r="G1428" s="2"/>
      <c r="H1428" s="3"/>
      <c r="I1428" s="2"/>
      <c r="J1428" s="2"/>
      <c r="K1428" s="4"/>
      <c r="L1428" s="4"/>
      <c r="M1428" s="2"/>
      <c r="N1428" s="2"/>
      <c r="O1428" s="2"/>
      <c r="P1428" s="2"/>
      <c r="Q1428" s="5"/>
      <c r="R1428" s="5"/>
      <c r="S1428" s="2"/>
      <c r="T1428" s="2"/>
      <c r="U1428" s="5"/>
      <c r="V1428" s="5"/>
      <c r="W1428" s="2"/>
      <c r="X1428" s="5"/>
      <c r="Y1428" s="1"/>
      <c r="Z1428" s="1"/>
      <c r="AA1428" s="1"/>
    </row>
    <row r="1429">
      <c r="A1429" s="1"/>
      <c r="B1429" s="14"/>
      <c r="C1429" s="2"/>
      <c r="D1429" s="2"/>
      <c r="E1429" s="2"/>
      <c r="F1429" s="2"/>
      <c r="G1429" s="2"/>
      <c r="H1429" s="3"/>
      <c r="I1429" s="2"/>
      <c r="J1429" s="2"/>
      <c r="K1429" s="4"/>
      <c r="L1429" s="4"/>
      <c r="M1429" s="2"/>
      <c r="N1429" s="2"/>
      <c r="O1429" s="2"/>
      <c r="P1429" s="2"/>
      <c r="Q1429" s="5"/>
      <c r="R1429" s="5"/>
      <c r="S1429" s="2"/>
      <c r="T1429" s="2"/>
      <c r="U1429" s="5"/>
      <c r="V1429" s="5"/>
      <c r="W1429" s="2"/>
      <c r="X1429" s="5"/>
      <c r="Y1429" s="1"/>
      <c r="Z1429" s="1"/>
      <c r="AA1429" s="1"/>
    </row>
    <row r="1430">
      <c r="A1430" s="1"/>
      <c r="B1430" s="14"/>
      <c r="C1430" s="2"/>
      <c r="D1430" s="2"/>
      <c r="E1430" s="2"/>
      <c r="F1430" s="2"/>
      <c r="G1430" s="2"/>
      <c r="H1430" s="3"/>
      <c r="I1430" s="2"/>
      <c r="J1430" s="2"/>
      <c r="K1430" s="4"/>
      <c r="L1430" s="4"/>
      <c r="M1430" s="2"/>
      <c r="N1430" s="2"/>
      <c r="O1430" s="2"/>
      <c r="P1430" s="2"/>
      <c r="Q1430" s="5"/>
      <c r="R1430" s="5"/>
      <c r="S1430" s="2"/>
      <c r="T1430" s="2"/>
      <c r="U1430" s="5"/>
      <c r="V1430" s="5"/>
      <c r="W1430" s="2"/>
      <c r="X1430" s="5"/>
      <c r="Y1430" s="1"/>
      <c r="Z1430" s="1"/>
      <c r="AA1430" s="1"/>
    </row>
    <row r="1431">
      <c r="A1431" s="1"/>
      <c r="B1431" s="14"/>
      <c r="C1431" s="2"/>
      <c r="D1431" s="2"/>
      <c r="E1431" s="2"/>
      <c r="F1431" s="2"/>
      <c r="G1431" s="2"/>
      <c r="H1431" s="3"/>
      <c r="I1431" s="2"/>
      <c r="J1431" s="2"/>
      <c r="K1431" s="4"/>
      <c r="L1431" s="4"/>
      <c r="M1431" s="2"/>
      <c r="N1431" s="2"/>
      <c r="O1431" s="2"/>
      <c r="P1431" s="2"/>
      <c r="Q1431" s="5"/>
      <c r="R1431" s="5"/>
      <c r="S1431" s="2"/>
      <c r="T1431" s="2"/>
      <c r="U1431" s="5"/>
      <c r="V1431" s="5"/>
      <c r="W1431" s="2"/>
      <c r="X1431" s="5"/>
      <c r="Y1431" s="1"/>
      <c r="Z1431" s="1"/>
      <c r="AA1431" s="1"/>
    </row>
    <row r="1432">
      <c r="A1432" s="1"/>
      <c r="B1432" s="14"/>
      <c r="C1432" s="2"/>
      <c r="D1432" s="2"/>
      <c r="E1432" s="2"/>
      <c r="F1432" s="2"/>
      <c r="G1432" s="2"/>
      <c r="H1432" s="3"/>
      <c r="I1432" s="2"/>
      <c r="J1432" s="2"/>
      <c r="K1432" s="4"/>
      <c r="L1432" s="4"/>
      <c r="M1432" s="2"/>
      <c r="N1432" s="2"/>
      <c r="O1432" s="2"/>
      <c r="P1432" s="2"/>
      <c r="Q1432" s="5"/>
      <c r="R1432" s="5"/>
      <c r="S1432" s="2"/>
      <c r="T1432" s="2"/>
      <c r="U1432" s="5"/>
      <c r="V1432" s="5"/>
      <c r="W1432" s="2"/>
      <c r="X1432" s="5"/>
      <c r="Y1432" s="1"/>
      <c r="Z1432" s="1"/>
      <c r="AA1432" s="1"/>
    </row>
    <row r="1433">
      <c r="A1433" s="1"/>
      <c r="B1433" s="14"/>
      <c r="C1433" s="2"/>
      <c r="D1433" s="2"/>
      <c r="E1433" s="2"/>
      <c r="F1433" s="2"/>
      <c r="G1433" s="2"/>
      <c r="H1433" s="3"/>
      <c r="I1433" s="2"/>
      <c r="J1433" s="2"/>
      <c r="K1433" s="4"/>
      <c r="L1433" s="4"/>
      <c r="M1433" s="2"/>
      <c r="N1433" s="2"/>
      <c r="O1433" s="2"/>
      <c r="P1433" s="2"/>
      <c r="Q1433" s="5"/>
      <c r="R1433" s="5"/>
      <c r="S1433" s="2"/>
      <c r="T1433" s="2"/>
      <c r="U1433" s="5"/>
      <c r="V1433" s="5"/>
      <c r="W1433" s="2"/>
      <c r="X1433" s="5"/>
      <c r="Y1433" s="1"/>
      <c r="Z1433" s="1"/>
      <c r="AA1433" s="1"/>
    </row>
    <row r="1434">
      <c r="A1434" s="1"/>
      <c r="B1434" s="14"/>
      <c r="C1434" s="2"/>
      <c r="D1434" s="2"/>
      <c r="E1434" s="2"/>
      <c r="F1434" s="2"/>
      <c r="G1434" s="2"/>
      <c r="H1434" s="3"/>
      <c r="I1434" s="2"/>
      <c r="J1434" s="2"/>
      <c r="K1434" s="4"/>
      <c r="L1434" s="4"/>
      <c r="M1434" s="2"/>
      <c r="N1434" s="2"/>
      <c r="O1434" s="2"/>
      <c r="P1434" s="2"/>
      <c r="Q1434" s="5"/>
      <c r="R1434" s="5"/>
      <c r="S1434" s="2"/>
      <c r="T1434" s="2"/>
      <c r="U1434" s="5"/>
      <c r="V1434" s="5"/>
      <c r="W1434" s="2"/>
      <c r="X1434" s="5"/>
      <c r="Y1434" s="1"/>
      <c r="Z1434" s="1"/>
      <c r="AA1434" s="1"/>
    </row>
    <row r="1435">
      <c r="A1435" s="1"/>
      <c r="B1435" s="14"/>
      <c r="C1435" s="2"/>
      <c r="D1435" s="2"/>
      <c r="E1435" s="2"/>
      <c r="F1435" s="2"/>
      <c r="G1435" s="2"/>
      <c r="H1435" s="3"/>
      <c r="I1435" s="2"/>
      <c r="J1435" s="2"/>
      <c r="K1435" s="4"/>
      <c r="L1435" s="4"/>
      <c r="M1435" s="2"/>
      <c r="N1435" s="2"/>
      <c r="O1435" s="2"/>
      <c r="P1435" s="2"/>
      <c r="Q1435" s="5"/>
      <c r="R1435" s="5"/>
      <c r="S1435" s="2"/>
      <c r="T1435" s="2"/>
      <c r="U1435" s="5"/>
      <c r="V1435" s="5"/>
      <c r="W1435" s="2"/>
      <c r="X1435" s="5"/>
      <c r="Y1435" s="1"/>
      <c r="Z1435" s="1"/>
      <c r="AA1435" s="1"/>
    </row>
    <row r="1436">
      <c r="A1436" s="1"/>
      <c r="B1436" s="14"/>
      <c r="C1436" s="2"/>
      <c r="D1436" s="2"/>
      <c r="E1436" s="2"/>
      <c r="F1436" s="2"/>
      <c r="G1436" s="2"/>
      <c r="H1436" s="3"/>
      <c r="I1436" s="2"/>
      <c r="J1436" s="2"/>
      <c r="K1436" s="4"/>
      <c r="L1436" s="4"/>
      <c r="M1436" s="2"/>
      <c r="N1436" s="2"/>
      <c r="O1436" s="2"/>
      <c r="P1436" s="2"/>
      <c r="Q1436" s="5"/>
      <c r="R1436" s="5"/>
      <c r="S1436" s="2"/>
      <c r="T1436" s="2"/>
      <c r="U1436" s="5"/>
      <c r="V1436" s="5"/>
      <c r="W1436" s="2"/>
      <c r="X1436" s="5"/>
      <c r="Y1436" s="1"/>
      <c r="Z1436" s="1"/>
      <c r="AA1436" s="1"/>
    </row>
    <row r="1437">
      <c r="A1437" s="1"/>
      <c r="B1437" s="14"/>
      <c r="C1437" s="2"/>
      <c r="D1437" s="2"/>
      <c r="E1437" s="2"/>
      <c r="F1437" s="2"/>
      <c r="G1437" s="2"/>
      <c r="H1437" s="3"/>
      <c r="I1437" s="2"/>
      <c r="J1437" s="2"/>
      <c r="K1437" s="4"/>
      <c r="L1437" s="4"/>
      <c r="M1437" s="2"/>
      <c r="N1437" s="2"/>
      <c r="O1437" s="2"/>
      <c r="P1437" s="2"/>
      <c r="Q1437" s="5"/>
      <c r="R1437" s="5"/>
      <c r="S1437" s="2"/>
      <c r="T1437" s="2"/>
      <c r="U1437" s="5"/>
      <c r="V1437" s="5"/>
      <c r="W1437" s="2"/>
      <c r="X1437" s="5"/>
      <c r="Y1437" s="1"/>
      <c r="Z1437" s="1"/>
      <c r="AA1437" s="1"/>
    </row>
    <row r="1438">
      <c r="A1438" s="1"/>
      <c r="B1438" s="14"/>
      <c r="C1438" s="2"/>
      <c r="D1438" s="2"/>
      <c r="E1438" s="2"/>
      <c r="F1438" s="2"/>
      <c r="G1438" s="2"/>
      <c r="H1438" s="3"/>
      <c r="I1438" s="2"/>
      <c r="J1438" s="2"/>
      <c r="K1438" s="4"/>
      <c r="L1438" s="4"/>
      <c r="M1438" s="2"/>
      <c r="N1438" s="2"/>
      <c r="O1438" s="2"/>
      <c r="P1438" s="2"/>
      <c r="Q1438" s="5"/>
      <c r="R1438" s="5"/>
      <c r="S1438" s="2"/>
      <c r="T1438" s="2"/>
      <c r="U1438" s="5"/>
      <c r="V1438" s="5"/>
      <c r="W1438" s="2"/>
      <c r="X1438" s="5"/>
      <c r="Y1438" s="1"/>
      <c r="Z1438" s="1"/>
      <c r="AA1438" s="1"/>
    </row>
    <row r="1439">
      <c r="A1439" s="1"/>
      <c r="B1439" s="14"/>
      <c r="C1439" s="2"/>
      <c r="D1439" s="2"/>
      <c r="E1439" s="2"/>
      <c r="F1439" s="2"/>
      <c r="G1439" s="2"/>
      <c r="H1439" s="3"/>
      <c r="I1439" s="2"/>
      <c r="J1439" s="2"/>
      <c r="K1439" s="4"/>
      <c r="L1439" s="4"/>
      <c r="M1439" s="2"/>
      <c r="N1439" s="2"/>
      <c r="O1439" s="2"/>
      <c r="P1439" s="2"/>
      <c r="Q1439" s="5"/>
      <c r="R1439" s="5"/>
      <c r="S1439" s="2"/>
      <c r="T1439" s="2"/>
      <c r="U1439" s="5"/>
      <c r="V1439" s="5"/>
      <c r="W1439" s="2"/>
      <c r="X1439" s="5"/>
      <c r="Y1439" s="1"/>
      <c r="Z1439" s="1"/>
      <c r="AA1439" s="1"/>
    </row>
    <row r="1440">
      <c r="A1440" s="1"/>
      <c r="B1440" s="14"/>
      <c r="C1440" s="2"/>
      <c r="D1440" s="2"/>
      <c r="E1440" s="2"/>
      <c r="F1440" s="2"/>
      <c r="G1440" s="2"/>
      <c r="H1440" s="3"/>
      <c r="I1440" s="2"/>
      <c r="J1440" s="2"/>
      <c r="K1440" s="4"/>
      <c r="L1440" s="4"/>
      <c r="M1440" s="2"/>
      <c r="N1440" s="2"/>
      <c r="O1440" s="2"/>
      <c r="P1440" s="2"/>
      <c r="Q1440" s="5"/>
      <c r="R1440" s="5"/>
      <c r="S1440" s="2"/>
      <c r="T1440" s="2"/>
      <c r="U1440" s="5"/>
      <c r="V1440" s="5"/>
      <c r="W1440" s="2"/>
      <c r="X1440" s="5"/>
      <c r="Y1440" s="1"/>
      <c r="Z1440" s="1"/>
      <c r="AA1440" s="1"/>
    </row>
    <row r="1441">
      <c r="A1441" s="1"/>
      <c r="B1441" s="14"/>
      <c r="C1441" s="2"/>
      <c r="D1441" s="2"/>
      <c r="E1441" s="2"/>
      <c r="F1441" s="2"/>
      <c r="G1441" s="2"/>
      <c r="H1441" s="3"/>
      <c r="I1441" s="2"/>
      <c r="J1441" s="2"/>
      <c r="K1441" s="4"/>
      <c r="L1441" s="4"/>
      <c r="M1441" s="2"/>
      <c r="N1441" s="2"/>
      <c r="O1441" s="2"/>
      <c r="P1441" s="2"/>
      <c r="Q1441" s="5"/>
      <c r="R1441" s="5"/>
      <c r="S1441" s="2"/>
      <c r="T1441" s="2"/>
      <c r="U1441" s="5"/>
      <c r="V1441" s="5"/>
      <c r="W1441" s="2"/>
      <c r="X1441" s="5"/>
      <c r="Y1441" s="1"/>
      <c r="Z1441" s="1"/>
      <c r="AA1441" s="1"/>
    </row>
    <row r="1442">
      <c r="A1442" s="1"/>
      <c r="B1442" s="14"/>
      <c r="C1442" s="2"/>
      <c r="D1442" s="2"/>
      <c r="E1442" s="2"/>
      <c r="F1442" s="2"/>
      <c r="G1442" s="2"/>
      <c r="H1442" s="3"/>
      <c r="I1442" s="2"/>
      <c r="J1442" s="2"/>
      <c r="K1442" s="4"/>
      <c r="L1442" s="4"/>
      <c r="M1442" s="2"/>
      <c r="N1442" s="2"/>
      <c r="O1442" s="2"/>
      <c r="P1442" s="2"/>
      <c r="Q1442" s="5"/>
      <c r="R1442" s="5"/>
      <c r="S1442" s="2"/>
      <c r="T1442" s="2"/>
      <c r="U1442" s="5"/>
      <c r="V1442" s="5"/>
      <c r="W1442" s="2"/>
      <c r="X1442" s="5"/>
      <c r="Y1442" s="1"/>
      <c r="Z1442" s="1"/>
      <c r="AA1442" s="1"/>
    </row>
    <row r="1443">
      <c r="A1443" s="1"/>
      <c r="B1443" s="14"/>
      <c r="C1443" s="2"/>
      <c r="D1443" s="2"/>
      <c r="E1443" s="2"/>
      <c r="F1443" s="2"/>
      <c r="G1443" s="2"/>
      <c r="H1443" s="3"/>
      <c r="I1443" s="2"/>
      <c r="J1443" s="2"/>
      <c r="K1443" s="4"/>
      <c r="L1443" s="4"/>
      <c r="M1443" s="2"/>
      <c r="N1443" s="2"/>
      <c r="O1443" s="2"/>
      <c r="P1443" s="2"/>
      <c r="Q1443" s="5"/>
      <c r="R1443" s="5"/>
      <c r="S1443" s="2"/>
      <c r="T1443" s="2"/>
      <c r="U1443" s="5"/>
      <c r="V1443" s="5"/>
      <c r="W1443" s="2"/>
      <c r="X1443" s="5"/>
      <c r="Y1443" s="1"/>
      <c r="Z1443" s="1"/>
      <c r="AA1443" s="1"/>
    </row>
    <row r="1444">
      <c r="A1444" s="1"/>
      <c r="B1444" s="14"/>
      <c r="C1444" s="2"/>
      <c r="D1444" s="2"/>
      <c r="E1444" s="2"/>
      <c r="F1444" s="2"/>
      <c r="G1444" s="2"/>
      <c r="H1444" s="3"/>
      <c r="I1444" s="2"/>
      <c r="J1444" s="2"/>
      <c r="K1444" s="4"/>
      <c r="L1444" s="4"/>
      <c r="M1444" s="2"/>
      <c r="N1444" s="2"/>
      <c r="O1444" s="2"/>
      <c r="P1444" s="2"/>
      <c r="Q1444" s="5"/>
      <c r="R1444" s="5"/>
      <c r="S1444" s="2"/>
      <c r="T1444" s="2"/>
      <c r="U1444" s="5"/>
      <c r="V1444" s="5"/>
      <c r="W1444" s="2"/>
      <c r="X1444" s="5"/>
      <c r="Y1444" s="1"/>
      <c r="Z1444" s="1"/>
      <c r="AA1444" s="1"/>
    </row>
    <row r="1445">
      <c r="A1445" s="1"/>
      <c r="B1445" s="14"/>
      <c r="C1445" s="2"/>
      <c r="D1445" s="2"/>
      <c r="E1445" s="2"/>
      <c r="F1445" s="2"/>
      <c r="G1445" s="2"/>
      <c r="H1445" s="3"/>
      <c r="I1445" s="2"/>
      <c r="J1445" s="2"/>
      <c r="K1445" s="4"/>
      <c r="L1445" s="4"/>
      <c r="M1445" s="2"/>
      <c r="N1445" s="2"/>
      <c r="O1445" s="2"/>
      <c r="P1445" s="2"/>
      <c r="Q1445" s="5"/>
      <c r="R1445" s="5"/>
      <c r="S1445" s="2"/>
      <c r="T1445" s="2"/>
      <c r="U1445" s="5"/>
      <c r="V1445" s="5"/>
      <c r="W1445" s="2"/>
      <c r="X1445" s="5"/>
      <c r="Y1445" s="1"/>
      <c r="Z1445" s="1"/>
      <c r="AA1445" s="1"/>
    </row>
    <row r="1446">
      <c r="A1446" s="1"/>
      <c r="B1446" s="14"/>
      <c r="C1446" s="2"/>
      <c r="D1446" s="2"/>
      <c r="E1446" s="2"/>
      <c r="F1446" s="2"/>
      <c r="G1446" s="2"/>
      <c r="H1446" s="3"/>
      <c r="I1446" s="2"/>
      <c r="J1446" s="2"/>
      <c r="K1446" s="4"/>
      <c r="L1446" s="4"/>
      <c r="M1446" s="2"/>
      <c r="N1446" s="2"/>
      <c r="O1446" s="2"/>
      <c r="P1446" s="2"/>
      <c r="Q1446" s="5"/>
      <c r="R1446" s="5"/>
      <c r="S1446" s="2"/>
      <c r="T1446" s="2"/>
      <c r="U1446" s="5"/>
      <c r="V1446" s="5"/>
      <c r="W1446" s="2"/>
      <c r="X1446" s="5"/>
      <c r="Y1446" s="1"/>
      <c r="Z1446" s="1"/>
      <c r="AA1446" s="1"/>
    </row>
    <row r="1447">
      <c r="A1447" s="1"/>
      <c r="B1447" s="14"/>
      <c r="C1447" s="2"/>
      <c r="D1447" s="2"/>
      <c r="E1447" s="2"/>
      <c r="F1447" s="2"/>
      <c r="G1447" s="2"/>
      <c r="H1447" s="3"/>
      <c r="I1447" s="2"/>
      <c r="J1447" s="2"/>
      <c r="K1447" s="4"/>
      <c r="L1447" s="4"/>
      <c r="M1447" s="2"/>
      <c r="N1447" s="2"/>
      <c r="O1447" s="2"/>
      <c r="P1447" s="2"/>
      <c r="Q1447" s="5"/>
      <c r="R1447" s="5"/>
      <c r="S1447" s="2"/>
      <c r="T1447" s="2"/>
      <c r="U1447" s="5"/>
      <c r="V1447" s="5"/>
      <c r="W1447" s="2"/>
      <c r="X1447" s="5"/>
      <c r="Y1447" s="1"/>
      <c r="Z1447" s="1"/>
      <c r="AA1447" s="1"/>
    </row>
    <row r="1448">
      <c r="A1448" s="1"/>
      <c r="B1448" s="14"/>
      <c r="C1448" s="2"/>
      <c r="D1448" s="2"/>
      <c r="E1448" s="2"/>
      <c r="F1448" s="2"/>
      <c r="G1448" s="2"/>
      <c r="H1448" s="3"/>
      <c r="I1448" s="2"/>
      <c r="J1448" s="2"/>
      <c r="K1448" s="4"/>
      <c r="L1448" s="4"/>
      <c r="M1448" s="2"/>
      <c r="N1448" s="2"/>
      <c r="O1448" s="2"/>
      <c r="P1448" s="2"/>
      <c r="Q1448" s="5"/>
      <c r="R1448" s="5"/>
      <c r="S1448" s="2"/>
      <c r="T1448" s="2"/>
      <c r="U1448" s="5"/>
      <c r="V1448" s="5"/>
      <c r="W1448" s="2"/>
      <c r="X1448" s="5"/>
      <c r="Y1448" s="1"/>
      <c r="Z1448" s="1"/>
      <c r="AA1448" s="1"/>
    </row>
    <row r="1449">
      <c r="A1449" s="1"/>
      <c r="B1449" s="14"/>
      <c r="C1449" s="2"/>
      <c r="D1449" s="2"/>
      <c r="E1449" s="2"/>
      <c r="F1449" s="2"/>
      <c r="G1449" s="2"/>
      <c r="H1449" s="3"/>
      <c r="I1449" s="2"/>
      <c r="J1449" s="2"/>
      <c r="K1449" s="4"/>
      <c r="L1449" s="4"/>
      <c r="M1449" s="2"/>
      <c r="N1449" s="2"/>
      <c r="O1449" s="2"/>
      <c r="P1449" s="2"/>
      <c r="Q1449" s="5"/>
      <c r="R1449" s="5"/>
      <c r="S1449" s="2"/>
      <c r="T1449" s="2"/>
      <c r="U1449" s="5"/>
      <c r="V1449" s="5"/>
      <c r="W1449" s="2"/>
      <c r="X1449" s="5"/>
      <c r="Y1449" s="1"/>
      <c r="Z1449" s="1"/>
      <c r="AA1449" s="1"/>
    </row>
    <row r="1450">
      <c r="A1450" s="1"/>
      <c r="B1450" s="14"/>
      <c r="C1450" s="2"/>
      <c r="D1450" s="2"/>
      <c r="E1450" s="2"/>
      <c r="F1450" s="2"/>
      <c r="G1450" s="2"/>
      <c r="H1450" s="3"/>
      <c r="I1450" s="2"/>
      <c r="J1450" s="2"/>
      <c r="K1450" s="4"/>
      <c r="L1450" s="4"/>
      <c r="M1450" s="2"/>
      <c r="N1450" s="2"/>
      <c r="O1450" s="2"/>
      <c r="P1450" s="2"/>
      <c r="Q1450" s="5"/>
      <c r="R1450" s="5"/>
      <c r="S1450" s="2"/>
      <c r="T1450" s="2"/>
      <c r="U1450" s="5"/>
      <c r="V1450" s="5"/>
      <c r="W1450" s="2"/>
      <c r="X1450" s="5"/>
      <c r="Y1450" s="1"/>
      <c r="Z1450" s="1"/>
      <c r="AA1450" s="1"/>
    </row>
    <row r="1451">
      <c r="A1451" s="1"/>
      <c r="B1451" s="14"/>
      <c r="C1451" s="2"/>
      <c r="D1451" s="2"/>
      <c r="E1451" s="2"/>
      <c r="F1451" s="2"/>
      <c r="G1451" s="2"/>
      <c r="H1451" s="3"/>
      <c r="I1451" s="2"/>
      <c r="J1451" s="2"/>
      <c r="K1451" s="4"/>
      <c r="L1451" s="4"/>
      <c r="M1451" s="2"/>
      <c r="N1451" s="2"/>
      <c r="O1451" s="2"/>
      <c r="P1451" s="2"/>
      <c r="Q1451" s="5"/>
      <c r="R1451" s="5"/>
      <c r="S1451" s="2"/>
      <c r="T1451" s="2"/>
      <c r="U1451" s="5"/>
      <c r="V1451" s="5"/>
      <c r="W1451" s="2"/>
      <c r="X1451" s="5"/>
      <c r="Y1451" s="1"/>
      <c r="Z1451" s="1"/>
      <c r="AA1451" s="1"/>
    </row>
    <row r="1452">
      <c r="A1452" s="1"/>
      <c r="B1452" s="14"/>
      <c r="C1452" s="2"/>
      <c r="D1452" s="2"/>
      <c r="E1452" s="2"/>
      <c r="F1452" s="2"/>
      <c r="G1452" s="2"/>
      <c r="H1452" s="3"/>
      <c r="I1452" s="2"/>
      <c r="J1452" s="2"/>
      <c r="K1452" s="4"/>
      <c r="L1452" s="4"/>
      <c r="M1452" s="2"/>
      <c r="N1452" s="2"/>
      <c r="O1452" s="2"/>
      <c r="P1452" s="2"/>
      <c r="Q1452" s="5"/>
      <c r="R1452" s="5"/>
      <c r="S1452" s="2"/>
      <c r="T1452" s="2"/>
      <c r="U1452" s="5"/>
      <c r="V1452" s="5"/>
      <c r="W1452" s="2"/>
      <c r="X1452" s="5"/>
      <c r="Y1452" s="1"/>
      <c r="Z1452" s="1"/>
      <c r="AA1452" s="1"/>
    </row>
    <row r="1453">
      <c r="A1453" s="1"/>
      <c r="B1453" s="14"/>
      <c r="C1453" s="2"/>
      <c r="D1453" s="2"/>
      <c r="E1453" s="2"/>
      <c r="F1453" s="2"/>
      <c r="G1453" s="2"/>
      <c r="H1453" s="3"/>
      <c r="I1453" s="2"/>
      <c r="J1453" s="2"/>
      <c r="K1453" s="4"/>
      <c r="L1453" s="4"/>
      <c r="M1453" s="2"/>
      <c r="N1453" s="2"/>
      <c r="O1453" s="2"/>
      <c r="P1453" s="2"/>
      <c r="Q1453" s="5"/>
      <c r="R1453" s="5"/>
      <c r="S1453" s="2"/>
      <c r="T1453" s="2"/>
      <c r="U1453" s="5"/>
      <c r="V1453" s="5"/>
      <c r="W1453" s="2"/>
      <c r="X1453" s="5"/>
      <c r="Y1453" s="1"/>
      <c r="Z1453" s="1"/>
      <c r="AA1453" s="1"/>
    </row>
    <row r="1454">
      <c r="A1454" s="1"/>
      <c r="B1454" s="14"/>
      <c r="C1454" s="2"/>
      <c r="D1454" s="2"/>
      <c r="E1454" s="2"/>
      <c r="F1454" s="2"/>
      <c r="G1454" s="2"/>
      <c r="H1454" s="3"/>
      <c r="I1454" s="2"/>
      <c r="J1454" s="2"/>
      <c r="K1454" s="4"/>
      <c r="L1454" s="4"/>
      <c r="M1454" s="2"/>
      <c r="N1454" s="2"/>
      <c r="O1454" s="2"/>
      <c r="P1454" s="2"/>
      <c r="Q1454" s="5"/>
      <c r="R1454" s="5"/>
      <c r="S1454" s="2"/>
      <c r="T1454" s="2"/>
      <c r="U1454" s="5"/>
      <c r="V1454" s="5"/>
      <c r="W1454" s="2"/>
      <c r="X1454" s="5"/>
      <c r="Y1454" s="1"/>
      <c r="Z1454" s="1"/>
      <c r="AA1454" s="1"/>
    </row>
    <row r="1455">
      <c r="A1455" s="1"/>
      <c r="B1455" s="14"/>
      <c r="C1455" s="2"/>
      <c r="D1455" s="2"/>
      <c r="E1455" s="2"/>
      <c r="F1455" s="2"/>
      <c r="G1455" s="2"/>
      <c r="H1455" s="3"/>
      <c r="I1455" s="2"/>
      <c r="J1455" s="2"/>
      <c r="K1455" s="4"/>
      <c r="L1455" s="4"/>
      <c r="M1455" s="2"/>
      <c r="N1455" s="2"/>
      <c r="O1455" s="2"/>
      <c r="P1455" s="2"/>
      <c r="Q1455" s="5"/>
      <c r="R1455" s="5"/>
      <c r="S1455" s="2"/>
      <c r="T1455" s="2"/>
      <c r="U1455" s="5"/>
      <c r="V1455" s="5"/>
      <c r="W1455" s="2"/>
      <c r="X1455" s="5"/>
      <c r="Y1455" s="1"/>
      <c r="Z1455" s="1"/>
      <c r="AA1455" s="1"/>
    </row>
    <row r="1456">
      <c r="A1456" s="1"/>
      <c r="B1456" s="14"/>
      <c r="C1456" s="2"/>
      <c r="D1456" s="2"/>
      <c r="E1456" s="2"/>
      <c r="F1456" s="2"/>
      <c r="G1456" s="2"/>
      <c r="H1456" s="3"/>
      <c r="I1456" s="2"/>
      <c r="J1456" s="2"/>
      <c r="K1456" s="4"/>
      <c r="L1456" s="4"/>
      <c r="M1456" s="2"/>
      <c r="N1456" s="2"/>
      <c r="O1456" s="2"/>
      <c r="P1456" s="2"/>
      <c r="Q1456" s="5"/>
      <c r="R1456" s="5"/>
      <c r="S1456" s="2"/>
      <c r="T1456" s="2"/>
      <c r="U1456" s="5"/>
      <c r="V1456" s="5"/>
      <c r="W1456" s="2"/>
      <c r="X1456" s="5"/>
      <c r="Y1456" s="1"/>
      <c r="Z1456" s="1"/>
      <c r="AA1456" s="1"/>
    </row>
    <row r="1457">
      <c r="A1457" s="1"/>
      <c r="B1457" s="14"/>
      <c r="C1457" s="2"/>
      <c r="D1457" s="2"/>
      <c r="E1457" s="2"/>
      <c r="F1457" s="2"/>
      <c r="G1457" s="2"/>
      <c r="H1457" s="3"/>
      <c r="I1457" s="2"/>
      <c r="J1457" s="2"/>
      <c r="K1457" s="4"/>
      <c r="L1457" s="4"/>
      <c r="M1457" s="2"/>
      <c r="N1457" s="2"/>
      <c r="O1457" s="2"/>
      <c r="P1457" s="2"/>
      <c r="Q1457" s="5"/>
      <c r="R1457" s="5"/>
      <c r="S1457" s="2"/>
      <c r="T1457" s="2"/>
      <c r="U1457" s="5"/>
      <c r="V1457" s="5"/>
      <c r="W1457" s="2"/>
      <c r="X1457" s="5"/>
      <c r="Y1457" s="1"/>
      <c r="Z1457" s="1"/>
      <c r="AA1457" s="1"/>
    </row>
    <row r="1458">
      <c r="A1458" s="1"/>
      <c r="B1458" s="14"/>
      <c r="C1458" s="2"/>
      <c r="D1458" s="2"/>
      <c r="E1458" s="2"/>
      <c r="F1458" s="2"/>
      <c r="G1458" s="2"/>
      <c r="H1458" s="3"/>
      <c r="I1458" s="2"/>
      <c r="J1458" s="2"/>
      <c r="K1458" s="4"/>
      <c r="L1458" s="4"/>
      <c r="M1458" s="2"/>
      <c r="N1458" s="2"/>
      <c r="O1458" s="2"/>
      <c r="P1458" s="2"/>
      <c r="Q1458" s="5"/>
      <c r="R1458" s="5"/>
      <c r="S1458" s="2"/>
      <c r="T1458" s="2"/>
      <c r="U1458" s="5"/>
      <c r="V1458" s="5"/>
      <c r="W1458" s="2"/>
      <c r="X1458" s="5"/>
      <c r="Y1458" s="1"/>
      <c r="Z1458" s="1"/>
      <c r="AA1458" s="1"/>
    </row>
    <row r="1459">
      <c r="A1459" s="1"/>
      <c r="B1459" s="14"/>
      <c r="C1459" s="2"/>
      <c r="D1459" s="2"/>
      <c r="E1459" s="2"/>
      <c r="F1459" s="2"/>
      <c r="G1459" s="2"/>
      <c r="H1459" s="3"/>
      <c r="I1459" s="2"/>
      <c r="J1459" s="2"/>
      <c r="K1459" s="4"/>
      <c r="L1459" s="4"/>
      <c r="M1459" s="2"/>
      <c r="N1459" s="2"/>
      <c r="O1459" s="2"/>
      <c r="P1459" s="2"/>
      <c r="Q1459" s="5"/>
      <c r="R1459" s="5"/>
      <c r="S1459" s="2"/>
      <c r="T1459" s="2"/>
      <c r="U1459" s="5"/>
      <c r="V1459" s="5"/>
      <c r="W1459" s="2"/>
      <c r="X1459" s="5"/>
      <c r="Y1459" s="1"/>
      <c r="Z1459" s="1"/>
      <c r="AA1459" s="1"/>
    </row>
    <row r="1460">
      <c r="A1460" s="1"/>
      <c r="B1460" s="14"/>
      <c r="C1460" s="2"/>
      <c r="D1460" s="2"/>
      <c r="E1460" s="2"/>
      <c r="F1460" s="2"/>
      <c r="G1460" s="2"/>
      <c r="H1460" s="3"/>
      <c r="I1460" s="2"/>
      <c r="J1460" s="2"/>
      <c r="K1460" s="4"/>
      <c r="L1460" s="4"/>
      <c r="M1460" s="2"/>
      <c r="N1460" s="2"/>
      <c r="O1460" s="2"/>
      <c r="P1460" s="2"/>
      <c r="Q1460" s="5"/>
      <c r="R1460" s="5"/>
      <c r="S1460" s="2"/>
      <c r="T1460" s="2"/>
      <c r="U1460" s="5"/>
      <c r="V1460" s="5"/>
      <c r="W1460" s="2"/>
      <c r="X1460" s="5"/>
      <c r="Y1460" s="1"/>
      <c r="Z1460" s="1"/>
      <c r="AA1460" s="1"/>
    </row>
    <row r="1461">
      <c r="A1461" s="1"/>
      <c r="B1461" s="14"/>
      <c r="C1461" s="2"/>
      <c r="D1461" s="2"/>
      <c r="E1461" s="2"/>
      <c r="F1461" s="2"/>
      <c r="G1461" s="2"/>
      <c r="H1461" s="3"/>
      <c r="I1461" s="2"/>
      <c r="J1461" s="2"/>
      <c r="K1461" s="4"/>
      <c r="L1461" s="4"/>
      <c r="M1461" s="2"/>
      <c r="N1461" s="2"/>
      <c r="O1461" s="2"/>
      <c r="P1461" s="2"/>
      <c r="Q1461" s="5"/>
      <c r="R1461" s="5"/>
      <c r="S1461" s="2"/>
      <c r="T1461" s="2"/>
      <c r="U1461" s="5"/>
      <c r="V1461" s="5"/>
      <c r="W1461" s="2"/>
      <c r="X1461" s="5"/>
      <c r="Y1461" s="1"/>
      <c r="Z1461" s="1"/>
      <c r="AA1461" s="1"/>
    </row>
    <row r="1462">
      <c r="A1462" s="1"/>
      <c r="B1462" s="14"/>
      <c r="C1462" s="2"/>
      <c r="D1462" s="2"/>
      <c r="E1462" s="2"/>
      <c r="F1462" s="2"/>
      <c r="G1462" s="2"/>
      <c r="H1462" s="3"/>
      <c r="I1462" s="2"/>
      <c r="J1462" s="2"/>
      <c r="K1462" s="4"/>
      <c r="L1462" s="4"/>
      <c r="M1462" s="2"/>
      <c r="N1462" s="2"/>
      <c r="O1462" s="2"/>
      <c r="P1462" s="2"/>
      <c r="Q1462" s="5"/>
      <c r="R1462" s="5"/>
      <c r="S1462" s="2"/>
      <c r="T1462" s="2"/>
      <c r="U1462" s="5"/>
      <c r="V1462" s="5"/>
      <c r="W1462" s="2"/>
      <c r="X1462" s="5"/>
      <c r="Y1462" s="1"/>
      <c r="Z1462" s="1"/>
      <c r="AA1462" s="1"/>
    </row>
    <row r="1463">
      <c r="A1463" s="1"/>
      <c r="B1463" s="14"/>
      <c r="C1463" s="2"/>
      <c r="D1463" s="2"/>
      <c r="E1463" s="2"/>
      <c r="F1463" s="2"/>
      <c r="G1463" s="2"/>
      <c r="H1463" s="3"/>
      <c r="I1463" s="2"/>
      <c r="J1463" s="2"/>
      <c r="K1463" s="4"/>
      <c r="L1463" s="4"/>
      <c r="M1463" s="2"/>
      <c r="N1463" s="2"/>
      <c r="O1463" s="2"/>
      <c r="P1463" s="2"/>
      <c r="Q1463" s="5"/>
      <c r="R1463" s="5"/>
      <c r="S1463" s="2"/>
      <c r="T1463" s="2"/>
      <c r="U1463" s="5"/>
      <c r="V1463" s="5"/>
      <c r="W1463" s="2"/>
      <c r="X1463" s="5"/>
      <c r="Y1463" s="1"/>
      <c r="Z1463" s="1"/>
      <c r="AA1463" s="1"/>
    </row>
    <row r="1464">
      <c r="A1464" s="1"/>
      <c r="B1464" s="14"/>
      <c r="C1464" s="2"/>
      <c r="D1464" s="2"/>
      <c r="E1464" s="2"/>
      <c r="F1464" s="2"/>
      <c r="G1464" s="2"/>
      <c r="H1464" s="3"/>
      <c r="I1464" s="2"/>
      <c r="J1464" s="2"/>
      <c r="K1464" s="4"/>
      <c r="L1464" s="4"/>
      <c r="M1464" s="2"/>
      <c r="N1464" s="2"/>
      <c r="O1464" s="2"/>
      <c r="P1464" s="2"/>
      <c r="Q1464" s="5"/>
      <c r="R1464" s="5"/>
      <c r="S1464" s="2"/>
      <c r="T1464" s="2"/>
      <c r="U1464" s="5"/>
      <c r="V1464" s="5"/>
      <c r="W1464" s="2"/>
      <c r="X1464" s="5"/>
      <c r="Y1464" s="1"/>
      <c r="Z1464" s="1"/>
      <c r="AA1464" s="1"/>
    </row>
    <row r="1465">
      <c r="A1465" s="1"/>
      <c r="B1465" s="14"/>
      <c r="C1465" s="2"/>
      <c r="D1465" s="2"/>
      <c r="E1465" s="2"/>
      <c r="F1465" s="2"/>
      <c r="G1465" s="2"/>
      <c r="H1465" s="3"/>
      <c r="I1465" s="2"/>
      <c r="J1465" s="2"/>
      <c r="K1465" s="4"/>
      <c r="L1465" s="4"/>
      <c r="M1465" s="2"/>
      <c r="N1465" s="2"/>
      <c r="O1465" s="2"/>
      <c r="P1465" s="2"/>
      <c r="Q1465" s="5"/>
      <c r="R1465" s="5"/>
      <c r="S1465" s="2"/>
      <c r="T1465" s="2"/>
      <c r="U1465" s="5"/>
      <c r="V1465" s="5"/>
      <c r="W1465" s="2"/>
      <c r="X1465" s="5"/>
      <c r="Y1465" s="1"/>
      <c r="Z1465" s="1"/>
      <c r="AA1465" s="1"/>
    </row>
    <row r="1466">
      <c r="A1466" s="1"/>
      <c r="B1466" s="14"/>
      <c r="C1466" s="2"/>
      <c r="D1466" s="2"/>
      <c r="E1466" s="2"/>
      <c r="F1466" s="2"/>
      <c r="G1466" s="2"/>
      <c r="H1466" s="3"/>
      <c r="I1466" s="2"/>
      <c r="J1466" s="2"/>
      <c r="K1466" s="4"/>
      <c r="L1466" s="4"/>
      <c r="M1466" s="2"/>
      <c r="N1466" s="2"/>
      <c r="O1466" s="2"/>
      <c r="P1466" s="2"/>
      <c r="Q1466" s="5"/>
      <c r="R1466" s="5"/>
      <c r="S1466" s="2"/>
      <c r="T1466" s="2"/>
      <c r="U1466" s="5"/>
      <c r="V1466" s="5"/>
      <c r="W1466" s="2"/>
      <c r="X1466" s="5"/>
      <c r="Y1466" s="1"/>
      <c r="Z1466" s="1"/>
      <c r="AA1466" s="1"/>
    </row>
    <row r="1467">
      <c r="A1467" s="1"/>
      <c r="B1467" s="14"/>
      <c r="C1467" s="2"/>
      <c r="D1467" s="2"/>
      <c r="E1467" s="2"/>
      <c r="F1467" s="2"/>
      <c r="G1467" s="2"/>
      <c r="H1467" s="3"/>
      <c r="I1467" s="2"/>
      <c r="J1467" s="2"/>
      <c r="K1467" s="4"/>
      <c r="L1467" s="4"/>
      <c r="M1467" s="2"/>
      <c r="N1467" s="2"/>
      <c r="O1467" s="2"/>
      <c r="P1467" s="2"/>
      <c r="Q1467" s="5"/>
      <c r="R1467" s="5"/>
      <c r="S1467" s="2"/>
      <c r="T1467" s="2"/>
      <c r="U1467" s="5"/>
      <c r="V1467" s="5"/>
      <c r="W1467" s="2"/>
      <c r="X1467" s="5"/>
      <c r="Y1467" s="1"/>
      <c r="Z1467" s="1"/>
      <c r="AA1467" s="1"/>
    </row>
    <row r="1468">
      <c r="A1468" s="1"/>
      <c r="B1468" s="14"/>
      <c r="C1468" s="2"/>
      <c r="D1468" s="2"/>
      <c r="E1468" s="2"/>
      <c r="F1468" s="2"/>
      <c r="G1468" s="2"/>
      <c r="H1468" s="3"/>
      <c r="I1468" s="2"/>
      <c r="J1468" s="2"/>
      <c r="K1468" s="4"/>
      <c r="L1468" s="4"/>
      <c r="M1468" s="2"/>
      <c r="N1468" s="2"/>
      <c r="O1468" s="2"/>
      <c r="P1468" s="2"/>
      <c r="Q1468" s="5"/>
      <c r="R1468" s="5"/>
      <c r="S1468" s="2"/>
      <c r="T1468" s="2"/>
      <c r="U1468" s="5"/>
      <c r="V1468" s="5"/>
      <c r="W1468" s="2"/>
      <c r="X1468" s="5"/>
      <c r="Y1468" s="1"/>
      <c r="Z1468" s="1"/>
      <c r="AA1468" s="1"/>
    </row>
    <row r="1469">
      <c r="A1469" s="1"/>
      <c r="B1469" s="14"/>
      <c r="C1469" s="2"/>
      <c r="D1469" s="2"/>
      <c r="E1469" s="2"/>
      <c r="F1469" s="2"/>
      <c r="G1469" s="2"/>
      <c r="H1469" s="3"/>
      <c r="I1469" s="2"/>
      <c r="J1469" s="2"/>
      <c r="K1469" s="4"/>
      <c r="L1469" s="4"/>
      <c r="M1469" s="2"/>
      <c r="N1469" s="2"/>
      <c r="O1469" s="2"/>
      <c r="P1469" s="2"/>
      <c r="Q1469" s="5"/>
      <c r="R1469" s="5"/>
      <c r="S1469" s="2"/>
      <c r="T1469" s="2"/>
      <c r="U1469" s="5"/>
      <c r="V1469" s="5"/>
      <c r="W1469" s="2"/>
      <c r="X1469" s="5"/>
      <c r="Y1469" s="1"/>
      <c r="Z1469" s="1"/>
      <c r="AA1469" s="1"/>
    </row>
    <row r="1470">
      <c r="A1470" s="1"/>
      <c r="B1470" s="14"/>
      <c r="C1470" s="2"/>
      <c r="D1470" s="2"/>
      <c r="E1470" s="2"/>
      <c r="F1470" s="2"/>
      <c r="G1470" s="2"/>
      <c r="H1470" s="3"/>
      <c r="I1470" s="2"/>
      <c r="J1470" s="2"/>
      <c r="K1470" s="4"/>
      <c r="L1470" s="4"/>
      <c r="M1470" s="2"/>
      <c r="N1470" s="2"/>
      <c r="O1470" s="2"/>
      <c r="P1470" s="2"/>
      <c r="Q1470" s="5"/>
      <c r="R1470" s="5"/>
      <c r="S1470" s="2"/>
      <c r="T1470" s="2"/>
      <c r="U1470" s="5"/>
      <c r="V1470" s="5"/>
      <c r="W1470" s="2"/>
      <c r="X1470" s="5"/>
      <c r="Y1470" s="1"/>
      <c r="Z1470" s="1"/>
      <c r="AA1470" s="1"/>
    </row>
    <row r="1471">
      <c r="A1471" s="1"/>
      <c r="B1471" s="14"/>
      <c r="C1471" s="2"/>
      <c r="D1471" s="2"/>
      <c r="E1471" s="2"/>
      <c r="F1471" s="2"/>
      <c r="G1471" s="2"/>
      <c r="H1471" s="3"/>
      <c r="I1471" s="2"/>
      <c r="J1471" s="2"/>
      <c r="K1471" s="4"/>
      <c r="L1471" s="4"/>
      <c r="M1471" s="2"/>
      <c r="N1471" s="2"/>
      <c r="O1471" s="2"/>
      <c r="P1471" s="2"/>
      <c r="Q1471" s="5"/>
      <c r="R1471" s="5"/>
      <c r="S1471" s="2"/>
      <c r="T1471" s="2"/>
      <c r="U1471" s="5"/>
      <c r="V1471" s="5"/>
      <c r="W1471" s="2"/>
      <c r="X1471" s="5"/>
      <c r="Y1471" s="1"/>
      <c r="Z1471" s="1"/>
      <c r="AA1471" s="1"/>
    </row>
    <row r="1472">
      <c r="A1472" s="1"/>
      <c r="B1472" s="14"/>
      <c r="C1472" s="2"/>
      <c r="D1472" s="2"/>
      <c r="E1472" s="2"/>
      <c r="F1472" s="2"/>
      <c r="G1472" s="2"/>
      <c r="H1472" s="3"/>
      <c r="I1472" s="2"/>
      <c r="J1472" s="2"/>
      <c r="K1472" s="4"/>
      <c r="L1472" s="4"/>
      <c r="M1472" s="2"/>
      <c r="N1472" s="2"/>
      <c r="O1472" s="2"/>
      <c r="P1472" s="2"/>
      <c r="Q1472" s="5"/>
      <c r="R1472" s="5"/>
      <c r="S1472" s="2"/>
      <c r="T1472" s="2"/>
      <c r="U1472" s="5"/>
      <c r="V1472" s="5"/>
      <c r="W1472" s="2"/>
      <c r="X1472" s="5"/>
      <c r="Y1472" s="1"/>
      <c r="Z1472" s="1"/>
      <c r="AA1472" s="1"/>
    </row>
    <row r="1473">
      <c r="A1473" s="1"/>
      <c r="B1473" s="14"/>
      <c r="C1473" s="2"/>
      <c r="D1473" s="2"/>
      <c r="E1473" s="2"/>
      <c r="F1473" s="2"/>
      <c r="G1473" s="2"/>
      <c r="H1473" s="3"/>
      <c r="I1473" s="2"/>
      <c r="J1473" s="2"/>
      <c r="K1473" s="4"/>
      <c r="L1473" s="4"/>
      <c r="M1473" s="2"/>
      <c r="N1473" s="2"/>
      <c r="O1473" s="2"/>
      <c r="P1473" s="2"/>
      <c r="Q1473" s="5"/>
      <c r="R1473" s="5"/>
      <c r="S1473" s="2"/>
      <c r="T1473" s="2"/>
      <c r="U1473" s="5"/>
      <c r="V1473" s="5"/>
      <c r="W1473" s="2"/>
      <c r="X1473" s="5"/>
      <c r="Y1473" s="1"/>
      <c r="Z1473" s="1"/>
      <c r="AA1473" s="1"/>
    </row>
    <row r="1474">
      <c r="A1474" s="1"/>
      <c r="B1474" s="14"/>
      <c r="C1474" s="2"/>
      <c r="D1474" s="2"/>
      <c r="E1474" s="2"/>
      <c r="F1474" s="2"/>
      <c r="G1474" s="2"/>
      <c r="H1474" s="3"/>
      <c r="I1474" s="2"/>
      <c r="J1474" s="2"/>
      <c r="K1474" s="4"/>
      <c r="L1474" s="4"/>
      <c r="M1474" s="2"/>
      <c r="N1474" s="2"/>
      <c r="O1474" s="2"/>
      <c r="P1474" s="2"/>
      <c r="Q1474" s="5"/>
      <c r="R1474" s="5"/>
      <c r="S1474" s="2"/>
      <c r="T1474" s="2"/>
      <c r="U1474" s="5"/>
      <c r="V1474" s="5"/>
      <c r="W1474" s="2"/>
      <c r="X1474" s="5"/>
      <c r="Y1474" s="1"/>
      <c r="Z1474" s="1"/>
      <c r="AA1474" s="1"/>
    </row>
    <row r="1475">
      <c r="A1475" s="1"/>
      <c r="B1475" s="14"/>
      <c r="C1475" s="2"/>
      <c r="D1475" s="2"/>
      <c r="E1475" s="2"/>
      <c r="F1475" s="2"/>
      <c r="G1475" s="2"/>
      <c r="H1475" s="3"/>
      <c r="I1475" s="2"/>
      <c r="J1475" s="2"/>
      <c r="K1475" s="4"/>
      <c r="L1475" s="4"/>
      <c r="M1475" s="2"/>
      <c r="N1475" s="2"/>
      <c r="O1475" s="2"/>
      <c r="P1475" s="2"/>
      <c r="Q1475" s="5"/>
      <c r="R1475" s="5"/>
      <c r="S1475" s="2"/>
      <c r="T1475" s="2"/>
      <c r="U1475" s="5"/>
      <c r="V1475" s="5"/>
      <c r="W1475" s="2"/>
      <c r="X1475" s="5"/>
      <c r="Y1475" s="1"/>
      <c r="Z1475" s="1"/>
      <c r="AA1475" s="1"/>
    </row>
    <row r="1476">
      <c r="A1476" s="1"/>
      <c r="B1476" s="14"/>
      <c r="C1476" s="2"/>
      <c r="D1476" s="2"/>
      <c r="E1476" s="2"/>
      <c r="F1476" s="2"/>
      <c r="G1476" s="2"/>
      <c r="H1476" s="3"/>
      <c r="I1476" s="2"/>
      <c r="J1476" s="2"/>
      <c r="K1476" s="4"/>
      <c r="L1476" s="4"/>
      <c r="M1476" s="2"/>
      <c r="N1476" s="2"/>
      <c r="O1476" s="2"/>
      <c r="P1476" s="2"/>
      <c r="Q1476" s="5"/>
      <c r="R1476" s="5"/>
      <c r="S1476" s="2"/>
      <c r="T1476" s="2"/>
      <c r="U1476" s="5"/>
      <c r="V1476" s="5"/>
      <c r="W1476" s="2"/>
      <c r="X1476" s="5"/>
      <c r="Y1476" s="1"/>
      <c r="Z1476" s="1"/>
      <c r="AA1476" s="1"/>
    </row>
    <row r="1477">
      <c r="A1477" s="1"/>
      <c r="B1477" s="14"/>
      <c r="C1477" s="2"/>
      <c r="D1477" s="2"/>
      <c r="E1477" s="2"/>
      <c r="F1477" s="2"/>
      <c r="G1477" s="2"/>
      <c r="H1477" s="3"/>
      <c r="I1477" s="2"/>
      <c r="J1477" s="2"/>
      <c r="K1477" s="4"/>
      <c r="L1477" s="4"/>
      <c r="M1477" s="2"/>
      <c r="N1477" s="2"/>
      <c r="O1477" s="2"/>
      <c r="P1477" s="2"/>
      <c r="Q1477" s="5"/>
      <c r="R1477" s="5"/>
      <c r="S1477" s="2"/>
      <c r="T1477" s="2"/>
      <c r="U1477" s="5"/>
      <c r="V1477" s="5"/>
      <c r="W1477" s="2"/>
      <c r="X1477" s="5"/>
      <c r="Y1477" s="1"/>
      <c r="Z1477" s="1"/>
      <c r="AA1477" s="1"/>
    </row>
    <row r="1478">
      <c r="A1478" s="1"/>
      <c r="B1478" s="14"/>
      <c r="C1478" s="2"/>
      <c r="D1478" s="2"/>
      <c r="E1478" s="2"/>
      <c r="F1478" s="2"/>
      <c r="G1478" s="2"/>
      <c r="H1478" s="3"/>
      <c r="I1478" s="2"/>
      <c r="J1478" s="2"/>
      <c r="K1478" s="4"/>
      <c r="L1478" s="4"/>
      <c r="M1478" s="2"/>
      <c r="N1478" s="2"/>
      <c r="O1478" s="2"/>
      <c r="P1478" s="2"/>
      <c r="Q1478" s="5"/>
      <c r="R1478" s="5"/>
      <c r="S1478" s="2"/>
      <c r="T1478" s="2"/>
      <c r="U1478" s="5"/>
      <c r="V1478" s="5"/>
      <c r="W1478" s="2"/>
      <c r="X1478" s="5"/>
      <c r="Y1478" s="1"/>
      <c r="Z1478" s="1"/>
      <c r="AA1478" s="1"/>
    </row>
    <row r="1479">
      <c r="A1479" s="1"/>
      <c r="B1479" s="14"/>
      <c r="C1479" s="2"/>
      <c r="D1479" s="2"/>
      <c r="E1479" s="2"/>
      <c r="F1479" s="2"/>
      <c r="G1479" s="2"/>
      <c r="H1479" s="3"/>
      <c r="I1479" s="2"/>
      <c r="J1479" s="2"/>
      <c r="K1479" s="4"/>
      <c r="L1479" s="4"/>
      <c r="M1479" s="2"/>
      <c r="N1479" s="2"/>
      <c r="O1479" s="2"/>
      <c r="P1479" s="2"/>
      <c r="Q1479" s="5"/>
      <c r="R1479" s="5"/>
      <c r="S1479" s="2"/>
      <c r="T1479" s="2"/>
      <c r="U1479" s="5"/>
      <c r="V1479" s="5"/>
      <c r="W1479" s="2"/>
      <c r="X1479" s="5"/>
      <c r="Y1479" s="1"/>
      <c r="Z1479" s="1"/>
      <c r="AA1479" s="1"/>
    </row>
    <row r="1480">
      <c r="A1480" s="1"/>
      <c r="B1480" s="14"/>
      <c r="C1480" s="2"/>
      <c r="D1480" s="2"/>
      <c r="E1480" s="2"/>
      <c r="F1480" s="2"/>
      <c r="G1480" s="2"/>
      <c r="H1480" s="3"/>
      <c r="I1480" s="2"/>
      <c r="J1480" s="2"/>
      <c r="K1480" s="4"/>
      <c r="L1480" s="4"/>
      <c r="M1480" s="2"/>
      <c r="N1480" s="2"/>
      <c r="O1480" s="2"/>
      <c r="P1480" s="2"/>
      <c r="Q1480" s="5"/>
      <c r="R1480" s="5"/>
      <c r="S1480" s="2"/>
      <c r="T1480" s="2"/>
      <c r="U1480" s="5"/>
      <c r="V1480" s="5"/>
      <c r="W1480" s="2"/>
      <c r="X1480" s="5"/>
      <c r="Y1480" s="1"/>
      <c r="Z1480" s="1"/>
      <c r="AA1480" s="1"/>
    </row>
    <row r="1481">
      <c r="A1481" s="1"/>
      <c r="B1481" s="14"/>
      <c r="C1481" s="2"/>
      <c r="D1481" s="2"/>
      <c r="E1481" s="2"/>
      <c r="F1481" s="2"/>
      <c r="G1481" s="2"/>
      <c r="H1481" s="3"/>
      <c r="I1481" s="2"/>
      <c r="J1481" s="2"/>
      <c r="K1481" s="4"/>
      <c r="L1481" s="4"/>
      <c r="M1481" s="2"/>
      <c r="N1481" s="2"/>
      <c r="O1481" s="2"/>
      <c r="P1481" s="2"/>
      <c r="Q1481" s="5"/>
      <c r="R1481" s="5"/>
      <c r="S1481" s="2"/>
      <c r="T1481" s="2"/>
      <c r="U1481" s="5"/>
      <c r="V1481" s="5"/>
      <c r="W1481" s="2"/>
      <c r="X1481" s="5"/>
      <c r="Y1481" s="1"/>
      <c r="Z1481" s="1"/>
      <c r="AA1481" s="1"/>
    </row>
    <row r="1482">
      <c r="A1482" s="1"/>
      <c r="B1482" s="14"/>
      <c r="C1482" s="2"/>
      <c r="D1482" s="2"/>
      <c r="E1482" s="2"/>
      <c r="F1482" s="2"/>
      <c r="G1482" s="2"/>
      <c r="H1482" s="3"/>
      <c r="I1482" s="2"/>
      <c r="J1482" s="2"/>
      <c r="K1482" s="4"/>
      <c r="L1482" s="4"/>
      <c r="M1482" s="2"/>
      <c r="N1482" s="2"/>
      <c r="O1482" s="2"/>
      <c r="P1482" s="2"/>
      <c r="Q1482" s="5"/>
      <c r="R1482" s="5"/>
      <c r="S1482" s="2"/>
      <c r="T1482" s="2"/>
      <c r="U1482" s="5"/>
      <c r="V1482" s="5"/>
      <c r="W1482" s="2"/>
      <c r="X1482" s="5"/>
      <c r="Y1482" s="1"/>
      <c r="Z1482" s="1"/>
      <c r="AA1482" s="1"/>
    </row>
    <row r="1483">
      <c r="A1483" s="1"/>
      <c r="B1483" s="14"/>
      <c r="C1483" s="2"/>
      <c r="D1483" s="2"/>
      <c r="E1483" s="2"/>
      <c r="F1483" s="2"/>
      <c r="G1483" s="2"/>
      <c r="H1483" s="3"/>
      <c r="I1483" s="2"/>
      <c r="J1483" s="2"/>
      <c r="K1483" s="4"/>
      <c r="L1483" s="4"/>
      <c r="M1483" s="2"/>
      <c r="N1483" s="2"/>
      <c r="O1483" s="2"/>
      <c r="P1483" s="2"/>
      <c r="Q1483" s="5"/>
      <c r="R1483" s="5"/>
      <c r="S1483" s="2"/>
      <c r="T1483" s="2"/>
      <c r="U1483" s="5"/>
      <c r="V1483" s="5"/>
      <c r="W1483" s="2"/>
      <c r="X1483" s="5"/>
      <c r="Y1483" s="1"/>
      <c r="Z1483" s="1"/>
      <c r="AA1483" s="1"/>
    </row>
    <row r="1484">
      <c r="A1484" s="1"/>
      <c r="B1484" s="14"/>
      <c r="C1484" s="2"/>
      <c r="D1484" s="2"/>
      <c r="E1484" s="2"/>
      <c r="F1484" s="2"/>
      <c r="G1484" s="2"/>
      <c r="H1484" s="3"/>
      <c r="I1484" s="2"/>
      <c r="J1484" s="2"/>
      <c r="K1484" s="4"/>
      <c r="L1484" s="4"/>
      <c r="M1484" s="2"/>
      <c r="N1484" s="2"/>
      <c r="O1484" s="2"/>
      <c r="P1484" s="2"/>
      <c r="Q1484" s="5"/>
      <c r="R1484" s="5"/>
      <c r="S1484" s="2"/>
      <c r="T1484" s="2"/>
      <c r="U1484" s="5"/>
      <c r="V1484" s="5"/>
      <c r="W1484" s="2"/>
      <c r="X1484" s="5"/>
      <c r="Y1484" s="1"/>
      <c r="Z1484" s="1"/>
      <c r="AA1484" s="1"/>
    </row>
    <row r="1485">
      <c r="A1485" s="1"/>
      <c r="B1485" s="14"/>
      <c r="C1485" s="2"/>
      <c r="D1485" s="2"/>
      <c r="E1485" s="2"/>
      <c r="F1485" s="2"/>
      <c r="G1485" s="2"/>
      <c r="H1485" s="3"/>
      <c r="I1485" s="2"/>
      <c r="J1485" s="2"/>
      <c r="K1485" s="4"/>
      <c r="L1485" s="4"/>
      <c r="M1485" s="2"/>
      <c r="N1485" s="2"/>
      <c r="O1485" s="2"/>
      <c r="P1485" s="2"/>
      <c r="Q1485" s="5"/>
      <c r="R1485" s="5"/>
      <c r="S1485" s="2"/>
      <c r="T1485" s="2"/>
      <c r="U1485" s="5"/>
      <c r="V1485" s="5"/>
      <c r="W1485" s="2"/>
      <c r="X1485" s="5"/>
      <c r="Y1485" s="1"/>
      <c r="Z1485" s="1"/>
      <c r="AA1485" s="1"/>
    </row>
    <row r="1486">
      <c r="A1486" s="1"/>
      <c r="B1486" s="14"/>
      <c r="C1486" s="2"/>
      <c r="D1486" s="2"/>
      <c r="E1486" s="2"/>
      <c r="F1486" s="2"/>
      <c r="G1486" s="2"/>
      <c r="H1486" s="3"/>
      <c r="I1486" s="2"/>
      <c r="J1486" s="2"/>
      <c r="K1486" s="4"/>
      <c r="L1486" s="4"/>
      <c r="M1486" s="2"/>
      <c r="N1486" s="2"/>
      <c r="O1486" s="2"/>
      <c r="P1486" s="2"/>
      <c r="Q1486" s="5"/>
      <c r="R1486" s="5"/>
      <c r="S1486" s="2"/>
      <c r="T1486" s="2"/>
      <c r="U1486" s="5"/>
      <c r="V1486" s="5"/>
      <c r="W1486" s="2"/>
      <c r="X1486" s="5"/>
      <c r="Y1486" s="1"/>
      <c r="Z1486" s="1"/>
      <c r="AA1486" s="1"/>
    </row>
    <row r="1487">
      <c r="A1487" s="1"/>
      <c r="B1487" s="14"/>
      <c r="C1487" s="2"/>
      <c r="D1487" s="2"/>
      <c r="E1487" s="2"/>
      <c r="F1487" s="2"/>
      <c r="G1487" s="2"/>
      <c r="H1487" s="3"/>
      <c r="I1487" s="2"/>
      <c r="J1487" s="2"/>
      <c r="K1487" s="4"/>
      <c r="L1487" s="4"/>
      <c r="M1487" s="2"/>
      <c r="N1487" s="2"/>
      <c r="O1487" s="2"/>
      <c r="P1487" s="2"/>
      <c r="Q1487" s="5"/>
      <c r="R1487" s="5"/>
      <c r="S1487" s="2"/>
      <c r="T1487" s="2"/>
      <c r="U1487" s="5"/>
      <c r="V1487" s="5"/>
      <c r="W1487" s="2"/>
      <c r="X1487" s="5"/>
      <c r="Y1487" s="1"/>
      <c r="Z1487" s="1"/>
      <c r="AA1487" s="1"/>
    </row>
    <row r="1488">
      <c r="A1488" s="1"/>
      <c r="B1488" s="14"/>
      <c r="C1488" s="2"/>
      <c r="D1488" s="2"/>
      <c r="E1488" s="2"/>
      <c r="F1488" s="2"/>
      <c r="G1488" s="2"/>
      <c r="H1488" s="3"/>
      <c r="I1488" s="2"/>
      <c r="J1488" s="2"/>
      <c r="K1488" s="4"/>
      <c r="L1488" s="4"/>
      <c r="M1488" s="2"/>
      <c r="N1488" s="2"/>
      <c r="O1488" s="2"/>
      <c r="P1488" s="2"/>
      <c r="Q1488" s="5"/>
      <c r="R1488" s="5"/>
      <c r="S1488" s="2"/>
      <c r="T1488" s="2"/>
      <c r="U1488" s="5"/>
      <c r="V1488" s="5"/>
      <c r="W1488" s="2"/>
      <c r="X1488" s="5"/>
      <c r="Y1488" s="1"/>
      <c r="Z1488" s="1"/>
      <c r="AA1488" s="1"/>
    </row>
    <row r="1489">
      <c r="A1489" s="1"/>
      <c r="B1489" s="14"/>
      <c r="C1489" s="2"/>
      <c r="D1489" s="2"/>
      <c r="E1489" s="2"/>
      <c r="F1489" s="2"/>
      <c r="G1489" s="2"/>
      <c r="H1489" s="3"/>
      <c r="I1489" s="2"/>
      <c r="J1489" s="2"/>
      <c r="K1489" s="4"/>
      <c r="L1489" s="4"/>
      <c r="M1489" s="2"/>
      <c r="N1489" s="2"/>
      <c r="O1489" s="2"/>
      <c r="P1489" s="2"/>
      <c r="Q1489" s="5"/>
      <c r="R1489" s="5"/>
      <c r="S1489" s="2"/>
      <c r="T1489" s="2"/>
      <c r="U1489" s="5"/>
      <c r="V1489" s="5"/>
      <c r="W1489" s="2"/>
      <c r="X1489" s="5"/>
      <c r="Y1489" s="1"/>
      <c r="Z1489" s="1"/>
      <c r="AA1489" s="1"/>
    </row>
    <row r="1490">
      <c r="A1490" s="1"/>
      <c r="B1490" s="14"/>
      <c r="C1490" s="2"/>
      <c r="D1490" s="2"/>
      <c r="E1490" s="2"/>
      <c r="F1490" s="2"/>
      <c r="G1490" s="2"/>
      <c r="H1490" s="3"/>
      <c r="I1490" s="2"/>
      <c r="J1490" s="2"/>
      <c r="K1490" s="4"/>
      <c r="L1490" s="4"/>
      <c r="M1490" s="2"/>
      <c r="N1490" s="2"/>
      <c r="O1490" s="2"/>
      <c r="P1490" s="2"/>
      <c r="Q1490" s="5"/>
      <c r="R1490" s="5"/>
      <c r="S1490" s="2"/>
      <c r="T1490" s="2"/>
      <c r="U1490" s="5"/>
      <c r="V1490" s="5"/>
      <c r="W1490" s="2"/>
      <c r="X1490" s="5"/>
      <c r="Y1490" s="1"/>
      <c r="Z1490" s="1"/>
      <c r="AA1490" s="1"/>
    </row>
    <row r="1491">
      <c r="A1491" s="1"/>
      <c r="B1491" s="14"/>
      <c r="C1491" s="2"/>
      <c r="D1491" s="2"/>
      <c r="E1491" s="2"/>
      <c r="F1491" s="2"/>
      <c r="G1491" s="2"/>
      <c r="H1491" s="3"/>
      <c r="I1491" s="2"/>
      <c r="J1491" s="2"/>
      <c r="K1491" s="4"/>
      <c r="L1491" s="4"/>
      <c r="M1491" s="2"/>
      <c r="N1491" s="2"/>
      <c r="O1491" s="2"/>
      <c r="P1491" s="2"/>
      <c r="Q1491" s="5"/>
      <c r="R1491" s="5"/>
      <c r="S1491" s="2"/>
      <c r="T1491" s="2"/>
      <c r="U1491" s="5"/>
      <c r="V1491" s="5"/>
      <c r="W1491" s="2"/>
      <c r="X1491" s="5"/>
      <c r="Y1491" s="1"/>
      <c r="Z1491" s="1"/>
      <c r="AA1491" s="1"/>
    </row>
    <row r="1492">
      <c r="A1492" s="1"/>
      <c r="B1492" s="14"/>
      <c r="C1492" s="2"/>
      <c r="D1492" s="2"/>
      <c r="E1492" s="2"/>
      <c r="F1492" s="2"/>
      <c r="G1492" s="2"/>
      <c r="H1492" s="3"/>
      <c r="I1492" s="2"/>
      <c r="J1492" s="2"/>
      <c r="K1492" s="4"/>
      <c r="L1492" s="4"/>
      <c r="M1492" s="2"/>
      <c r="N1492" s="2"/>
      <c r="O1492" s="2"/>
      <c r="P1492" s="2"/>
      <c r="Q1492" s="5"/>
      <c r="R1492" s="5"/>
      <c r="S1492" s="2"/>
      <c r="T1492" s="2"/>
      <c r="U1492" s="5"/>
      <c r="V1492" s="5"/>
      <c r="W1492" s="2"/>
      <c r="X1492" s="5"/>
      <c r="Y1492" s="1"/>
      <c r="Z1492" s="1"/>
      <c r="AA1492" s="1"/>
    </row>
    <row r="1493">
      <c r="A1493" s="1"/>
      <c r="B1493" s="14"/>
      <c r="C1493" s="2"/>
      <c r="D1493" s="2"/>
      <c r="E1493" s="2"/>
      <c r="F1493" s="2"/>
      <c r="G1493" s="2"/>
      <c r="H1493" s="3"/>
      <c r="I1493" s="2"/>
      <c r="J1493" s="2"/>
      <c r="K1493" s="4"/>
      <c r="L1493" s="4"/>
      <c r="M1493" s="2"/>
      <c r="N1493" s="2"/>
      <c r="O1493" s="2"/>
      <c r="P1493" s="2"/>
      <c r="Q1493" s="5"/>
      <c r="R1493" s="5"/>
      <c r="S1493" s="2"/>
      <c r="T1493" s="2"/>
      <c r="U1493" s="5"/>
      <c r="V1493" s="5"/>
      <c r="W1493" s="2"/>
      <c r="X1493" s="5"/>
      <c r="Y1493" s="1"/>
      <c r="Z1493" s="1"/>
      <c r="AA1493" s="1"/>
    </row>
    <row r="1494">
      <c r="A1494" s="1"/>
      <c r="B1494" s="14"/>
      <c r="C1494" s="2"/>
      <c r="D1494" s="2"/>
      <c r="E1494" s="2"/>
      <c r="F1494" s="2"/>
      <c r="G1494" s="2"/>
      <c r="H1494" s="3"/>
      <c r="I1494" s="2"/>
      <c r="J1494" s="2"/>
      <c r="K1494" s="4"/>
      <c r="L1494" s="4"/>
      <c r="M1494" s="2"/>
      <c r="N1494" s="2"/>
      <c r="O1494" s="2"/>
      <c r="P1494" s="2"/>
      <c r="Q1494" s="5"/>
      <c r="R1494" s="5"/>
      <c r="S1494" s="2"/>
      <c r="T1494" s="2"/>
      <c r="U1494" s="5"/>
      <c r="V1494" s="5"/>
      <c r="W1494" s="2"/>
      <c r="X1494" s="5"/>
      <c r="Y1494" s="1"/>
      <c r="Z1494" s="1"/>
      <c r="AA1494" s="1"/>
    </row>
    <row r="1495">
      <c r="A1495" s="1"/>
      <c r="B1495" s="14"/>
      <c r="C1495" s="2"/>
      <c r="D1495" s="2"/>
      <c r="E1495" s="2"/>
      <c r="F1495" s="2"/>
      <c r="G1495" s="2"/>
      <c r="H1495" s="3"/>
      <c r="I1495" s="2"/>
      <c r="J1495" s="2"/>
      <c r="K1495" s="4"/>
      <c r="L1495" s="4"/>
      <c r="M1495" s="2"/>
      <c r="N1495" s="2"/>
      <c r="O1495" s="2"/>
      <c r="P1495" s="2"/>
      <c r="Q1495" s="5"/>
      <c r="R1495" s="5"/>
      <c r="S1495" s="2"/>
      <c r="T1495" s="2"/>
      <c r="U1495" s="5"/>
      <c r="V1495" s="5"/>
      <c r="W1495" s="2"/>
      <c r="X1495" s="5"/>
      <c r="Y1495" s="1"/>
      <c r="Z1495" s="1"/>
      <c r="AA1495" s="1"/>
    </row>
    <row r="1496">
      <c r="A1496" s="1"/>
      <c r="B1496" s="14"/>
      <c r="C1496" s="2"/>
      <c r="D1496" s="2"/>
      <c r="E1496" s="2"/>
      <c r="F1496" s="2"/>
      <c r="G1496" s="2"/>
      <c r="H1496" s="3"/>
      <c r="I1496" s="2"/>
      <c r="J1496" s="2"/>
      <c r="K1496" s="4"/>
      <c r="L1496" s="4"/>
      <c r="M1496" s="2"/>
      <c r="N1496" s="2"/>
      <c r="O1496" s="2"/>
      <c r="P1496" s="2"/>
      <c r="Q1496" s="5"/>
      <c r="R1496" s="5"/>
      <c r="S1496" s="2"/>
      <c r="T1496" s="2"/>
      <c r="U1496" s="5"/>
      <c r="V1496" s="5"/>
      <c r="W1496" s="2"/>
      <c r="X1496" s="5"/>
      <c r="Y1496" s="1"/>
      <c r="Z1496" s="1"/>
      <c r="AA1496" s="1"/>
    </row>
    <row r="1497">
      <c r="A1497" s="1"/>
      <c r="B1497" s="14"/>
      <c r="C1497" s="2"/>
      <c r="D1497" s="2"/>
      <c r="E1497" s="2"/>
      <c r="F1497" s="2"/>
      <c r="G1497" s="2"/>
      <c r="H1497" s="3"/>
      <c r="I1497" s="2"/>
      <c r="J1497" s="2"/>
      <c r="K1497" s="4"/>
      <c r="L1497" s="4"/>
      <c r="M1497" s="2"/>
      <c r="N1497" s="2"/>
      <c r="O1497" s="2"/>
      <c r="P1497" s="2"/>
      <c r="Q1497" s="5"/>
      <c r="R1497" s="5"/>
      <c r="S1497" s="2"/>
      <c r="T1497" s="2"/>
      <c r="U1497" s="5"/>
      <c r="V1497" s="5"/>
      <c r="W1497" s="2"/>
      <c r="X1497" s="5"/>
      <c r="Y1497" s="1"/>
      <c r="Z1497" s="1"/>
      <c r="AA1497" s="1"/>
    </row>
    <row r="1498">
      <c r="A1498" s="1"/>
      <c r="B1498" s="14"/>
      <c r="C1498" s="2"/>
      <c r="D1498" s="2"/>
      <c r="E1498" s="2"/>
      <c r="F1498" s="2"/>
      <c r="G1498" s="2"/>
      <c r="H1498" s="3"/>
      <c r="I1498" s="2"/>
      <c r="J1498" s="2"/>
      <c r="K1498" s="4"/>
      <c r="L1498" s="4"/>
      <c r="M1498" s="2"/>
      <c r="N1498" s="2"/>
      <c r="O1498" s="2"/>
      <c r="P1498" s="2"/>
      <c r="Q1498" s="5"/>
      <c r="R1498" s="5"/>
      <c r="S1498" s="2"/>
      <c r="T1498" s="2"/>
      <c r="U1498" s="5"/>
      <c r="V1498" s="5"/>
      <c r="W1498" s="2"/>
      <c r="X1498" s="5"/>
      <c r="Y1498" s="1"/>
      <c r="Z1498" s="1"/>
      <c r="AA1498" s="1"/>
    </row>
    <row r="1499">
      <c r="A1499" s="1"/>
      <c r="B1499" s="14"/>
      <c r="C1499" s="2"/>
      <c r="D1499" s="2"/>
      <c r="E1499" s="2"/>
      <c r="F1499" s="2"/>
      <c r="G1499" s="2"/>
      <c r="H1499" s="3"/>
      <c r="I1499" s="2"/>
      <c r="J1499" s="2"/>
      <c r="K1499" s="4"/>
      <c r="L1499" s="4"/>
      <c r="M1499" s="2"/>
      <c r="N1499" s="2"/>
      <c r="O1499" s="2"/>
      <c r="P1499" s="2"/>
      <c r="Q1499" s="5"/>
      <c r="R1499" s="5"/>
      <c r="S1499" s="2"/>
      <c r="T1499" s="2"/>
      <c r="U1499" s="5"/>
      <c r="V1499" s="5"/>
      <c r="W1499" s="2"/>
      <c r="X1499" s="5"/>
      <c r="Y1499" s="1"/>
      <c r="Z1499" s="1"/>
      <c r="AA1499" s="1"/>
    </row>
    <row r="1500">
      <c r="A1500" s="1"/>
      <c r="B1500" s="14"/>
      <c r="C1500" s="2"/>
      <c r="D1500" s="2"/>
      <c r="E1500" s="2"/>
      <c r="F1500" s="2"/>
      <c r="G1500" s="2"/>
      <c r="H1500" s="3"/>
      <c r="I1500" s="2"/>
      <c r="J1500" s="2"/>
      <c r="K1500" s="4"/>
      <c r="L1500" s="4"/>
      <c r="M1500" s="2"/>
      <c r="N1500" s="2"/>
      <c r="O1500" s="2"/>
      <c r="P1500" s="2"/>
      <c r="Q1500" s="5"/>
      <c r="R1500" s="5"/>
      <c r="S1500" s="2"/>
      <c r="T1500" s="2"/>
      <c r="U1500" s="5"/>
      <c r="V1500" s="5"/>
      <c r="W1500" s="2"/>
      <c r="X1500" s="5"/>
      <c r="Y1500" s="1"/>
      <c r="Z1500" s="1"/>
      <c r="AA1500" s="1"/>
    </row>
    <row r="1501">
      <c r="A1501" s="1"/>
      <c r="B1501" s="14"/>
      <c r="C1501" s="2"/>
      <c r="D1501" s="2"/>
      <c r="E1501" s="2"/>
      <c r="F1501" s="2"/>
      <c r="G1501" s="2"/>
      <c r="H1501" s="3"/>
      <c r="I1501" s="2"/>
      <c r="J1501" s="2"/>
      <c r="K1501" s="4"/>
      <c r="L1501" s="4"/>
      <c r="M1501" s="2"/>
      <c r="N1501" s="2"/>
      <c r="O1501" s="2"/>
      <c r="P1501" s="2"/>
      <c r="Q1501" s="5"/>
      <c r="R1501" s="5"/>
      <c r="S1501" s="2"/>
      <c r="T1501" s="2"/>
      <c r="U1501" s="5"/>
      <c r="V1501" s="5"/>
      <c r="W1501" s="2"/>
      <c r="X1501" s="5"/>
      <c r="Y1501" s="1"/>
      <c r="Z1501" s="1"/>
      <c r="AA1501" s="1"/>
    </row>
    <row r="1502">
      <c r="A1502" s="1"/>
      <c r="B1502" s="14"/>
      <c r="C1502" s="2"/>
      <c r="D1502" s="2"/>
      <c r="E1502" s="2"/>
      <c r="F1502" s="2"/>
      <c r="G1502" s="2"/>
      <c r="H1502" s="3"/>
      <c r="I1502" s="2"/>
      <c r="J1502" s="2"/>
      <c r="K1502" s="4"/>
      <c r="L1502" s="4"/>
      <c r="M1502" s="2"/>
      <c r="N1502" s="2"/>
      <c r="O1502" s="2"/>
      <c r="P1502" s="2"/>
      <c r="Q1502" s="5"/>
      <c r="R1502" s="5"/>
      <c r="S1502" s="2"/>
      <c r="T1502" s="2"/>
      <c r="U1502" s="5"/>
      <c r="V1502" s="5"/>
      <c r="W1502" s="2"/>
      <c r="X1502" s="5"/>
      <c r="Y1502" s="1"/>
      <c r="Z1502" s="1"/>
      <c r="AA1502" s="1"/>
    </row>
    <row r="1503">
      <c r="A1503" s="1"/>
      <c r="B1503" s="14"/>
      <c r="C1503" s="2"/>
      <c r="D1503" s="2"/>
      <c r="E1503" s="2"/>
      <c r="F1503" s="2"/>
      <c r="G1503" s="2"/>
      <c r="H1503" s="3"/>
      <c r="I1503" s="2"/>
      <c r="J1503" s="2"/>
      <c r="K1503" s="4"/>
      <c r="L1503" s="4"/>
      <c r="M1503" s="2"/>
      <c r="N1503" s="2"/>
      <c r="O1503" s="2"/>
      <c r="P1503" s="2"/>
      <c r="Q1503" s="5"/>
      <c r="R1503" s="5"/>
      <c r="S1503" s="2"/>
      <c r="T1503" s="2"/>
      <c r="U1503" s="5"/>
      <c r="V1503" s="5"/>
      <c r="W1503" s="2"/>
      <c r="X1503" s="5"/>
      <c r="Y1503" s="1"/>
      <c r="Z1503" s="1"/>
      <c r="AA1503" s="1"/>
    </row>
    <row r="1504">
      <c r="A1504" s="1"/>
      <c r="B1504" s="14"/>
      <c r="C1504" s="2"/>
      <c r="D1504" s="2"/>
      <c r="E1504" s="2"/>
      <c r="F1504" s="2"/>
      <c r="G1504" s="2"/>
      <c r="H1504" s="3"/>
      <c r="I1504" s="2"/>
      <c r="J1504" s="2"/>
      <c r="K1504" s="4"/>
      <c r="L1504" s="4"/>
      <c r="M1504" s="2"/>
      <c r="N1504" s="2"/>
      <c r="O1504" s="2"/>
      <c r="P1504" s="2"/>
      <c r="Q1504" s="5"/>
      <c r="R1504" s="5"/>
      <c r="S1504" s="2"/>
      <c r="T1504" s="2"/>
      <c r="U1504" s="5"/>
      <c r="V1504" s="5"/>
      <c r="W1504" s="2"/>
      <c r="X1504" s="5"/>
      <c r="Y1504" s="1"/>
      <c r="Z1504" s="1"/>
      <c r="AA1504" s="1"/>
    </row>
    <row r="1505">
      <c r="A1505" s="1"/>
      <c r="B1505" s="14"/>
      <c r="C1505" s="2"/>
      <c r="D1505" s="2"/>
      <c r="E1505" s="2"/>
      <c r="F1505" s="2"/>
      <c r="G1505" s="2"/>
      <c r="H1505" s="3"/>
      <c r="I1505" s="2"/>
      <c r="J1505" s="2"/>
      <c r="K1505" s="4"/>
      <c r="L1505" s="4"/>
      <c r="M1505" s="2"/>
      <c r="N1505" s="2"/>
      <c r="O1505" s="2"/>
      <c r="P1505" s="2"/>
      <c r="Q1505" s="5"/>
      <c r="R1505" s="5"/>
      <c r="S1505" s="2"/>
      <c r="T1505" s="2"/>
      <c r="U1505" s="5"/>
      <c r="V1505" s="5"/>
      <c r="W1505" s="2"/>
      <c r="X1505" s="5"/>
      <c r="Y1505" s="1"/>
      <c r="Z1505" s="1"/>
      <c r="AA1505" s="1"/>
    </row>
    <row r="1506">
      <c r="A1506" s="1"/>
      <c r="B1506" s="14"/>
      <c r="C1506" s="2"/>
      <c r="D1506" s="2"/>
      <c r="E1506" s="2"/>
      <c r="F1506" s="2"/>
      <c r="G1506" s="2"/>
      <c r="H1506" s="3"/>
      <c r="I1506" s="2"/>
      <c r="J1506" s="2"/>
      <c r="K1506" s="4"/>
      <c r="L1506" s="4"/>
      <c r="M1506" s="2"/>
      <c r="N1506" s="2"/>
      <c r="O1506" s="2"/>
      <c r="P1506" s="2"/>
      <c r="Q1506" s="5"/>
      <c r="R1506" s="5"/>
      <c r="S1506" s="2"/>
      <c r="T1506" s="2"/>
      <c r="U1506" s="5"/>
      <c r="V1506" s="5"/>
      <c r="W1506" s="2"/>
      <c r="X1506" s="5"/>
      <c r="Y1506" s="1"/>
      <c r="Z1506" s="1"/>
      <c r="AA1506" s="1"/>
    </row>
    <row r="1507">
      <c r="A1507" s="1"/>
      <c r="B1507" s="14"/>
      <c r="C1507" s="2"/>
      <c r="D1507" s="2"/>
      <c r="E1507" s="2"/>
      <c r="F1507" s="2"/>
      <c r="G1507" s="2"/>
      <c r="H1507" s="3"/>
      <c r="I1507" s="2"/>
      <c r="J1507" s="2"/>
      <c r="K1507" s="4"/>
      <c r="L1507" s="4"/>
      <c r="M1507" s="2"/>
      <c r="N1507" s="2"/>
      <c r="O1507" s="2"/>
      <c r="P1507" s="2"/>
      <c r="Q1507" s="5"/>
      <c r="R1507" s="5"/>
      <c r="S1507" s="2"/>
      <c r="T1507" s="2"/>
      <c r="U1507" s="5"/>
      <c r="V1507" s="5"/>
      <c r="W1507" s="2"/>
      <c r="X1507" s="5"/>
      <c r="Y1507" s="1"/>
      <c r="Z1507" s="1"/>
      <c r="AA1507" s="1"/>
    </row>
    <row r="1508">
      <c r="A1508" s="1"/>
      <c r="B1508" s="14"/>
      <c r="C1508" s="2"/>
      <c r="D1508" s="2"/>
      <c r="E1508" s="2"/>
      <c r="F1508" s="2"/>
      <c r="G1508" s="2"/>
      <c r="H1508" s="3"/>
      <c r="I1508" s="2"/>
      <c r="J1508" s="2"/>
      <c r="K1508" s="4"/>
      <c r="L1508" s="4"/>
      <c r="M1508" s="2"/>
      <c r="N1508" s="2"/>
      <c r="O1508" s="2"/>
      <c r="P1508" s="2"/>
      <c r="Q1508" s="5"/>
      <c r="R1508" s="5"/>
      <c r="S1508" s="2"/>
      <c r="T1508" s="2"/>
      <c r="U1508" s="5"/>
      <c r="V1508" s="5"/>
      <c r="W1508" s="2"/>
      <c r="X1508" s="5"/>
      <c r="Y1508" s="1"/>
      <c r="Z1508" s="1"/>
      <c r="AA1508" s="1"/>
    </row>
    <row r="1509">
      <c r="A1509" s="1"/>
      <c r="B1509" s="14"/>
      <c r="C1509" s="2"/>
      <c r="D1509" s="2"/>
      <c r="E1509" s="2"/>
      <c r="F1509" s="2"/>
      <c r="G1509" s="2"/>
      <c r="H1509" s="3"/>
      <c r="I1509" s="2"/>
      <c r="J1509" s="2"/>
      <c r="K1509" s="4"/>
      <c r="L1509" s="4"/>
      <c r="M1509" s="2"/>
      <c r="N1509" s="2"/>
      <c r="O1509" s="2"/>
      <c r="P1509" s="2"/>
      <c r="Q1509" s="5"/>
      <c r="R1509" s="5"/>
      <c r="S1509" s="2"/>
      <c r="T1509" s="2"/>
      <c r="U1509" s="5"/>
      <c r="V1509" s="5"/>
      <c r="W1509" s="2"/>
      <c r="X1509" s="5"/>
      <c r="Y1509" s="1"/>
      <c r="Z1509" s="1"/>
      <c r="AA1509" s="1"/>
    </row>
    <row r="1510">
      <c r="A1510" s="1"/>
      <c r="B1510" s="14"/>
      <c r="C1510" s="2"/>
      <c r="D1510" s="2"/>
      <c r="E1510" s="2"/>
      <c r="F1510" s="2"/>
      <c r="G1510" s="2"/>
      <c r="H1510" s="3"/>
      <c r="I1510" s="2"/>
      <c r="J1510" s="2"/>
      <c r="K1510" s="4"/>
      <c r="L1510" s="4"/>
      <c r="M1510" s="2"/>
      <c r="N1510" s="2"/>
      <c r="O1510" s="2"/>
      <c r="P1510" s="2"/>
      <c r="Q1510" s="5"/>
      <c r="R1510" s="5"/>
      <c r="S1510" s="2"/>
      <c r="T1510" s="2"/>
      <c r="U1510" s="5"/>
      <c r="V1510" s="5"/>
      <c r="W1510" s="2"/>
      <c r="X1510" s="5"/>
      <c r="Y1510" s="1"/>
      <c r="Z1510" s="1"/>
      <c r="AA1510" s="1"/>
    </row>
    <row r="1511">
      <c r="A1511" s="1"/>
      <c r="B1511" s="14"/>
      <c r="C1511" s="2"/>
      <c r="D1511" s="2"/>
      <c r="E1511" s="2"/>
      <c r="F1511" s="2"/>
      <c r="G1511" s="2"/>
      <c r="H1511" s="3"/>
      <c r="I1511" s="2"/>
      <c r="J1511" s="2"/>
      <c r="K1511" s="4"/>
      <c r="L1511" s="4"/>
      <c r="M1511" s="2"/>
      <c r="N1511" s="2"/>
      <c r="O1511" s="2"/>
      <c r="P1511" s="2"/>
      <c r="Q1511" s="5"/>
      <c r="R1511" s="5"/>
      <c r="S1511" s="2"/>
      <c r="T1511" s="2"/>
      <c r="U1511" s="5"/>
      <c r="V1511" s="5"/>
      <c r="W1511" s="2"/>
      <c r="X1511" s="5"/>
      <c r="Y1511" s="1"/>
      <c r="Z1511" s="1"/>
      <c r="AA1511" s="1"/>
    </row>
    <row r="1512">
      <c r="A1512" s="1"/>
      <c r="B1512" s="14"/>
      <c r="C1512" s="2"/>
      <c r="D1512" s="2"/>
      <c r="E1512" s="2"/>
      <c r="F1512" s="2"/>
      <c r="G1512" s="2"/>
      <c r="H1512" s="3"/>
      <c r="I1512" s="2"/>
      <c r="J1512" s="2"/>
      <c r="K1512" s="4"/>
      <c r="L1512" s="4"/>
      <c r="M1512" s="2"/>
      <c r="N1512" s="2"/>
      <c r="O1512" s="2"/>
      <c r="P1512" s="2"/>
      <c r="Q1512" s="5"/>
      <c r="R1512" s="5"/>
      <c r="S1512" s="2"/>
      <c r="T1512" s="2"/>
      <c r="U1512" s="5"/>
      <c r="V1512" s="5"/>
      <c r="W1512" s="2"/>
      <c r="X1512" s="5"/>
      <c r="Y1512" s="1"/>
      <c r="Z1512" s="1"/>
      <c r="AA1512" s="1"/>
    </row>
    <row r="1513">
      <c r="A1513" s="1"/>
      <c r="B1513" s="14"/>
      <c r="C1513" s="2"/>
      <c r="D1513" s="2"/>
      <c r="E1513" s="2"/>
      <c r="F1513" s="2"/>
      <c r="G1513" s="2"/>
      <c r="H1513" s="3"/>
      <c r="I1513" s="2"/>
      <c r="J1513" s="2"/>
      <c r="K1513" s="4"/>
      <c r="L1513" s="4"/>
      <c r="M1513" s="2"/>
      <c r="N1513" s="2"/>
      <c r="O1513" s="2"/>
      <c r="P1513" s="2"/>
      <c r="Q1513" s="5"/>
      <c r="R1513" s="5"/>
      <c r="S1513" s="2"/>
      <c r="T1513" s="2"/>
      <c r="U1513" s="5"/>
      <c r="V1513" s="5"/>
      <c r="W1513" s="2"/>
      <c r="X1513" s="5"/>
      <c r="Y1513" s="1"/>
      <c r="Z1513" s="1"/>
      <c r="AA1513" s="1"/>
    </row>
    <row r="1514">
      <c r="A1514" s="1"/>
      <c r="B1514" s="14"/>
      <c r="C1514" s="2"/>
      <c r="D1514" s="2"/>
      <c r="E1514" s="2"/>
      <c r="F1514" s="2"/>
      <c r="G1514" s="2"/>
      <c r="H1514" s="3"/>
      <c r="I1514" s="2"/>
      <c r="J1514" s="2"/>
      <c r="K1514" s="4"/>
      <c r="L1514" s="4"/>
      <c r="M1514" s="2"/>
      <c r="N1514" s="2"/>
      <c r="O1514" s="2"/>
      <c r="P1514" s="2"/>
      <c r="Q1514" s="5"/>
      <c r="R1514" s="5"/>
      <c r="S1514" s="2"/>
      <c r="T1514" s="2"/>
      <c r="U1514" s="5"/>
      <c r="V1514" s="5"/>
      <c r="W1514" s="2"/>
      <c r="X1514" s="5"/>
      <c r="Y1514" s="1"/>
      <c r="Z1514" s="1"/>
      <c r="AA1514" s="1"/>
    </row>
    <row r="1515">
      <c r="A1515" s="1"/>
      <c r="B1515" s="14"/>
      <c r="C1515" s="2"/>
      <c r="D1515" s="2"/>
      <c r="E1515" s="2"/>
      <c r="F1515" s="2"/>
      <c r="G1515" s="2"/>
      <c r="H1515" s="3"/>
      <c r="I1515" s="2"/>
      <c r="J1515" s="2"/>
      <c r="K1515" s="4"/>
      <c r="L1515" s="4"/>
      <c r="M1515" s="2"/>
      <c r="N1515" s="2"/>
      <c r="O1515" s="2"/>
      <c r="P1515" s="2"/>
      <c r="Q1515" s="5"/>
      <c r="R1515" s="5"/>
      <c r="S1515" s="2"/>
      <c r="T1515" s="2"/>
      <c r="U1515" s="5"/>
      <c r="V1515" s="5"/>
      <c r="W1515" s="2"/>
      <c r="X1515" s="5"/>
      <c r="Y1515" s="1"/>
      <c r="Z1515" s="1"/>
      <c r="AA1515" s="1"/>
    </row>
    <row r="1516">
      <c r="A1516" s="1"/>
      <c r="B1516" s="14"/>
      <c r="C1516" s="2"/>
      <c r="D1516" s="2"/>
      <c r="E1516" s="2"/>
      <c r="F1516" s="2"/>
      <c r="G1516" s="2"/>
      <c r="H1516" s="3"/>
      <c r="I1516" s="2"/>
      <c r="J1516" s="2"/>
      <c r="K1516" s="4"/>
      <c r="L1516" s="4"/>
      <c r="M1516" s="2"/>
      <c r="N1516" s="2"/>
      <c r="O1516" s="2"/>
      <c r="P1516" s="2"/>
      <c r="Q1516" s="5"/>
      <c r="R1516" s="5"/>
      <c r="S1516" s="2"/>
      <c r="T1516" s="2"/>
      <c r="U1516" s="5"/>
      <c r="V1516" s="5"/>
      <c r="W1516" s="2"/>
      <c r="X1516" s="5"/>
      <c r="Y1516" s="1"/>
      <c r="Z1516" s="1"/>
      <c r="AA1516" s="1"/>
    </row>
    <row r="1517">
      <c r="A1517" s="1"/>
      <c r="B1517" s="14"/>
      <c r="C1517" s="2"/>
      <c r="D1517" s="2"/>
      <c r="E1517" s="2"/>
      <c r="F1517" s="2"/>
      <c r="G1517" s="2"/>
      <c r="H1517" s="3"/>
      <c r="I1517" s="2"/>
      <c r="J1517" s="2"/>
      <c r="K1517" s="4"/>
      <c r="L1517" s="4"/>
      <c r="M1517" s="2"/>
      <c r="N1517" s="2"/>
      <c r="O1517" s="2"/>
      <c r="P1517" s="2"/>
      <c r="Q1517" s="5"/>
      <c r="R1517" s="5"/>
      <c r="S1517" s="2"/>
      <c r="T1517" s="2"/>
      <c r="U1517" s="5"/>
      <c r="V1517" s="5"/>
      <c r="W1517" s="2"/>
      <c r="X1517" s="5"/>
      <c r="Y1517" s="1"/>
      <c r="Z1517" s="1"/>
      <c r="AA1517" s="1"/>
    </row>
    <row r="1518">
      <c r="A1518" s="1"/>
      <c r="B1518" s="14"/>
      <c r="C1518" s="2"/>
      <c r="D1518" s="2"/>
      <c r="E1518" s="2"/>
      <c r="F1518" s="2"/>
      <c r="G1518" s="2"/>
      <c r="H1518" s="3"/>
      <c r="I1518" s="2"/>
      <c r="J1518" s="2"/>
      <c r="K1518" s="4"/>
      <c r="L1518" s="4"/>
      <c r="M1518" s="2"/>
      <c r="N1518" s="2"/>
      <c r="O1518" s="2"/>
      <c r="P1518" s="2"/>
      <c r="Q1518" s="5"/>
      <c r="R1518" s="5"/>
      <c r="S1518" s="2"/>
      <c r="T1518" s="2"/>
      <c r="U1518" s="5"/>
      <c r="V1518" s="5"/>
      <c r="W1518" s="2"/>
      <c r="X1518" s="5"/>
      <c r="Y1518" s="1"/>
      <c r="Z1518" s="1"/>
      <c r="AA1518" s="1"/>
    </row>
    <row r="1519">
      <c r="A1519" s="1"/>
      <c r="B1519" s="14"/>
      <c r="C1519" s="2"/>
      <c r="D1519" s="2"/>
      <c r="E1519" s="2"/>
      <c r="F1519" s="2"/>
      <c r="G1519" s="2"/>
      <c r="H1519" s="3"/>
      <c r="I1519" s="2"/>
      <c r="J1519" s="2"/>
      <c r="K1519" s="4"/>
      <c r="L1519" s="4"/>
      <c r="M1519" s="2"/>
      <c r="N1519" s="2"/>
      <c r="O1519" s="2"/>
      <c r="P1519" s="2"/>
      <c r="Q1519" s="5"/>
      <c r="R1519" s="5"/>
      <c r="S1519" s="2"/>
      <c r="T1519" s="2"/>
      <c r="U1519" s="5"/>
      <c r="V1519" s="5"/>
      <c r="W1519" s="2"/>
      <c r="X1519" s="5"/>
      <c r="Y1519" s="1"/>
      <c r="Z1519" s="1"/>
      <c r="AA1519" s="1"/>
    </row>
    <row r="1520">
      <c r="A1520" s="1"/>
      <c r="B1520" s="14"/>
      <c r="C1520" s="2"/>
      <c r="D1520" s="2"/>
      <c r="E1520" s="2"/>
      <c r="F1520" s="2"/>
      <c r="G1520" s="2"/>
      <c r="H1520" s="3"/>
      <c r="I1520" s="2"/>
      <c r="J1520" s="2"/>
      <c r="K1520" s="4"/>
      <c r="L1520" s="4"/>
      <c r="M1520" s="2"/>
      <c r="N1520" s="2"/>
      <c r="O1520" s="2"/>
      <c r="P1520" s="2"/>
      <c r="Q1520" s="5"/>
      <c r="R1520" s="5"/>
      <c r="S1520" s="2"/>
      <c r="T1520" s="2"/>
      <c r="U1520" s="5"/>
      <c r="V1520" s="5"/>
      <c r="W1520" s="2"/>
      <c r="X1520" s="5"/>
      <c r="Y1520" s="1"/>
      <c r="Z1520" s="1"/>
      <c r="AA1520" s="1"/>
    </row>
    <row r="1521">
      <c r="A1521" s="1"/>
      <c r="B1521" s="14"/>
      <c r="C1521" s="2"/>
      <c r="D1521" s="2"/>
      <c r="E1521" s="2"/>
      <c r="F1521" s="2"/>
      <c r="G1521" s="2"/>
      <c r="H1521" s="3"/>
      <c r="I1521" s="2"/>
      <c r="J1521" s="2"/>
      <c r="K1521" s="4"/>
      <c r="L1521" s="4"/>
      <c r="M1521" s="2"/>
      <c r="N1521" s="2"/>
      <c r="O1521" s="2"/>
      <c r="P1521" s="2"/>
      <c r="Q1521" s="5"/>
      <c r="R1521" s="5"/>
      <c r="S1521" s="2"/>
      <c r="T1521" s="2"/>
      <c r="U1521" s="5"/>
      <c r="V1521" s="5"/>
      <c r="W1521" s="2"/>
      <c r="X1521" s="5"/>
      <c r="Y1521" s="1"/>
      <c r="Z1521" s="1"/>
      <c r="AA1521" s="1"/>
    </row>
    <row r="1522">
      <c r="A1522" s="1"/>
      <c r="B1522" s="14"/>
      <c r="C1522" s="2"/>
      <c r="D1522" s="2"/>
      <c r="E1522" s="2"/>
      <c r="F1522" s="2"/>
      <c r="G1522" s="2"/>
      <c r="H1522" s="3"/>
      <c r="I1522" s="2"/>
      <c r="J1522" s="2"/>
      <c r="K1522" s="4"/>
      <c r="L1522" s="4"/>
      <c r="M1522" s="2"/>
      <c r="N1522" s="2"/>
      <c r="O1522" s="2"/>
      <c r="P1522" s="2"/>
      <c r="Q1522" s="5"/>
      <c r="R1522" s="5"/>
      <c r="S1522" s="2"/>
      <c r="T1522" s="2"/>
      <c r="U1522" s="5"/>
      <c r="V1522" s="5"/>
      <c r="W1522" s="2"/>
      <c r="X1522" s="5"/>
      <c r="Y1522" s="1"/>
      <c r="Z1522" s="1"/>
      <c r="AA1522" s="1"/>
    </row>
    <row r="1523">
      <c r="A1523" s="1"/>
      <c r="B1523" s="14"/>
      <c r="C1523" s="2"/>
      <c r="D1523" s="2"/>
      <c r="E1523" s="2"/>
      <c r="F1523" s="2"/>
      <c r="G1523" s="2"/>
      <c r="H1523" s="3"/>
      <c r="I1523" s="2"/>
      <c r="J1523" s="2"/>
      <c r="K1523" s="4"/>
      <c r="L1523" s="4"/>
      <c r="M1523" s="2"/>
      <c r="N1523" s="2"/>
      <c r="O1523" s="2"/>
      <c r="P1523" s="2"/>
      <c r="Q1523" s="5"/>
      <c r="R1523" s="5"/>
      <c r="S1523" s="2"/>
      <c r="T1523" s="2"/>
      <c r="U1523" s="5"/>
      <c r="V1523" s="5"/>
      <c r="W1523" s="2"/>
      <c r="X1523" s="5"/>
      <c r="Y1523" s="1"/>
      <c r="Z1523" s="1"/>
      <c r="AA1523" s="1"/>
    </row>
    <row r="1524">
      <c r="A1524" s="1"/>
      <c r="B1524" s="14"/>
      <c r="C1524" s="2"/>
      <c r="D1524" s="2"/>
      <c r="E1524" s="2"/>
      <c r="F1524" s="2"/>
      <c r="G1524" s="2"/>
      <c r="H1524" s="3"/>
      <c r="I1524" s="2"/>
      <c r="J1524" s="2"/>
      <c r="K1524" s="4"/>
      <c r="L1524" s="4"/>
      <c r="M1524" s="2"/>
      <c r="N1524" s="2"/>
      <c r="O1524" s="2"/>
      <c r="P1524" s="2"/>
      <c r="Q1524" s="5"/>
      <c r="R1524" s="5"/>
      <c r="S1524" s="2"/>
      <c r="T1524" s="2"/>
      <c r="U1524" s="5"/>
      <c r="V1524" s="5"/>
      <c r="W1524" s="2"/>
      <c r="X1524" s="5"/>
      <c r="Y1524" s="1"/>
      <c r="Z1524" s="1"/>
      <c r="AA1524" s="1"/>
    </row>
    <row r="1525">
      <c r="A1525" s="1"/>
      <c r="B1525" s="14"/>
      <c r="C1525" s="2"/>
      <c r="D1525" s="2"/>
      <c r="E1525" s="2"/>
      <c r="F1525" s="2"/>
      <c r="G1525" s="2"/>
      <c r="H1525" s="3"/>
      <c r="I1525" s="2"/>
      <c r="J1525" s="2"/>
      <c r="K1525" s="4"/>
      <c r="L1525" s="4"/>
      <c r="M1525" s="2"/>
      <c r="N1525" s="2"/>
      <c r="O1525" s="2"/>
      <c r="P1525" s="2"/>
      <c r="Q1525" s="5"/>
      <c r="R1525" s="5"/>
      <c r="S1525" s="2"/>
      <c r="T1525" s="2"/>
      <c r="U1525" s="5"/>
      <c r="V1525" s="5"/>
      <c r="W1525" s="2"/>
      <c r="X1525" s="5"/>
      <c r="Y1525" s="1"/>
      <c r="Z1525" s="1"/>
      <c r="AA1525" s="1"/>
    </row>
    <row r="1526">
      <c r="A1526" s="1"/>
      <c r="B1526" s="14"/>
      <c r="C1526" s="2"/>
      <c r="D1526" s="2"/>
      <c r="E1526" s="2"/>
      <c r="F1526" s="2"/>
      <c r="G1526" s="2"/>
      <c r="H1526" s="3"/>
      <c r="I1526" s="2"/>
      <c r="J1526" s="2"/>
      <c r="K1526" s="4"/>
      <c r="L1526" s="4"/>
      <c r="M1526" s="2"/>
      <c r="N1526" s="2"/>
      <c r="O1526" s="2"/>
      <c r="P1526" s="2"/>
      <c r="Q1526" s="5"/>
      <c r="R1526" s="5"/>
      <c r="S1526" s="2"/>
      <c r="T1526" s="2"/>
      <c r="U1526" s="5"/>
      <c r="V1526" s="5"/>
      <c r="W1526" s="2"/>
      <c r="X1526" s="5"/>
      <c r="Y1526" s="1"/>
      <c r="Z1526" s="1"/>
      <c r="AA1526" s="1"/>
    </row>
    <row r="1527">
      <c r="A1527" s="1"/>
      <c r="B1527" s="14"/>
      <c r="C1527" s="2"/>
      <c r="D1527" s="2"/>
      <c r="E1527" s="2"/>
      <c r="F1527" s="2"/>
      <c r="G1527" s="2"/>
      <c r="H1527" s="3"/>
      <c r="I1527" s="2"/>
      <c r="J1527" s="2"/>
      <c r="K1527" s="4"/>
      <c r="L1527" s="4"/>
      <c r="M1527" s="2"/>
      <c r="N1527" s="2"/>
      <c r="O1527" s="2"/>
      <c r="P1527" s="2"/>
      <c r="Q1527" s="5"/>
      <c r="R1527" s="5"/>
      <c r="S1527" s="2"/>
      <c r="T1527" s="2"/>
      <c r="U1527" s="5"/>
      <c r="V1527" s="5"/>
      <c r="W1527" s="2"/>
      <c r="X1527" s="5"/>
      <c r="Y1527" s="1"/>
      <c r="Z1527" s="1"/>
      <c r="AA1527" s="1"/>
    </row>
    <row r="1528">
      <c r="A1528" s="1"/>
      <c r="B1528" s="14"/>
      <c r="C1528" s="2"/>
      <c r="D1528" s="2"/>
      <c r="E1528" s="2"/>
      <c r="F1528" s="2"/>
      <c r="G1528" s="2"/>
      <c r="H1528" s="3"/>
      <c r="I1528" s="2"/>
      <c r="J1528" s="2"/>
      <c r="K1528" s="4"/>
      <c r="L1528" s="4"/>
      <c r="M1528" s="2"/>
      <c r="N1528" s="2"/>
      <c r="O1528" s="2"/>
      <c r="P1528" s="2"/>
      <c r="Q1528" s="5"/>
      <c r="R1528" s="5"/>
      <c r="S1528" s="2"/>
      <c r="T1528" s="2"/>
      <c r="U1528" s="5"/>
      <c r="V1528" s="5"/>
      <c r="W1528" s="2"/>
      <c r="X1528" s="5"/>
      <c r="Y1528" s="1"/>
      <c r="Z1528" s="1"/>
      <c r="AA1528" s="1"/>
    </row>
    <row r="1529">
      <c r="A1529" s="1"/>
      <c r="B1529" s="14"/>
      <c r="C1529" s="2"/>
      <c r="D1529" s="2"/>
      <c r="E1529" s="2"/>
      <c r="F1529" s="2"/>
      <c r="G1529" s="2"/>
      <c r="H1529" s="3"/>
      <c r="I1529" s="2"/>
      <c r="J1529" s="2"/>
      <c r="K1529" s="4"/>
      <c r="L1529" s="4"/>
      <c r="M1529" s="2"/>
      <c r="N1529" s="2"/>
      <c r="O1529" s="2"/>
      <c r="P1529" s="2"/>
      <c r="Q1529" s="5"/>
      <c r="R1529" s="5"/>
      <c r="S1529" s="2"/>
      <c r="T1529" s="2"/>
      <c r="U1529" s="5"/>
      <c r="V1529" s="5"/>
      <c r="W1529" s="2"/>
      <c r="X1529" s="5"/>
      <c r="Y1529" s="1"/>
      <c r="Z1529" s="1"/>
      <c r="AA1529" s="1"/>
    </row>
    <row r="1530">
      <c r="A1530" s="1"/>
      <c r="B1530" s="14"/>
      <c r="C1530" s="2"/>
      <c r="D1530" s="2"/>
      <c r="E1530" s="2"/>
      <c r="F1530" s="2"/>
      <c r="G1530" s="2"/>
      <c r="H1530" s="3"/>
      <c r="I1530" s="2"/>
      <c r="J1530" s="2"/>
      <c r="K1530" s="4"/>
      <c r="L1530" s="4"/>
      <c r="M1530" s="2"/>
      <c r="N1530" s="2"/>
      <c r="O1530" s="2"/>
      <c r="P1530" s="2"/>
      <c r="Q1530" s="5"/>
      <c r="R1530" s="5"/>
      <c r="S1530" s="2"/>
      <c r="T1530" s="2"/>
      <c r="U1530" s="5"/>
      <c r="V1530" s="5"/>
      <c r="W1530" s="2"/>
      <c r="X1530" s="5"/>
      <c r="Y1530" s="1"/>
      <c r="Z1530" s="1"/>
      <c r="AA1530" s="1"/>
    </row>
    <row r="1531">
      <c r="A1531" s="1"/>
      <c r="B1531" s="14"/>
      <c r="C1531" s="2"/>
      <c r="D1531" s="2"/>
      <c r="E1531" s="2"/>
      <c r="F1531" s="2"/>
      <c r="G1531" s="2"/>
      <c r="H1531" s="3"/>
      <c r="I1531" s="2"/>
      <c r="J1531" s="2"/>
      <c r="K1531" s="4"/>
      <c r="L1531" s="4"/>
      <c r="M1531" s="2"/>
      <c r="N1531" s="2"/>
      <c r="O1531" s="2"/>
      <c r="P1531" s="2"/>
      <c r="Q1531" s="5"/>
      <c r="R1531" s="5"/>
      <c r="S1531" s="2"/>
      <c r="T1531" s="2"/>
      <c r="U1531" s="5"/>
      <c r="V1531" s="5"/>
      <c r="W1531" s="2"/>
      <c r="X1531" s="5"/>
      <c r="Y1531" s="1"/>
      <c r="Z1531" s="1"/>
      <c r="AA1531" s="1"/>
    </row>
    <row r="1532">
      <c r="A1532" s="1"/>
      <c r="B1532" s="14"/>
      <c r="C1532" s="2"/>
      <c r="D1532" s="2"/>
      <c r="E1532" s="2"/>
      <c r="F1532" s="2"/>
      <c r="G1532" s="2"/>
      <c r="H1532" s="3"/>
      <c r="I1532" s="2"/>
      <c r="J1532" s="2"/>
      <c r="K1532" s="4"/>
      <c r="L1532" s="4"/>
      <c r="M1532" s="2"/>
      <c r="N1532" s="2"/>
      <c r="O1532" s="2"/>
      <c r="P1532" s="2"/>
      <c r="Q1532" s="5"/>
      <c r="R1532" s="5"/>
      <c r="S1532" s="2"/>
      <c r="T1532" s="2"/>
      <c r="U1532" s="5"/>
      <c r="V1532" s="5"/>
      <c r="W1532" s="2"/>
      <c r="X1532" s="5"/>
      <c r="Y1532" s="1"/>
      <c r="Z1532" s="1"/>
      <c r="AA1532" s="1"/>
    </row>
    <row r="1533">
      <c r="A1533" s="1"/>
      <c r="B1533" s="14"/>
      <c r="C1533" s="2"/>
      <c r="D1533" s="2"/>
      <c r="E1533" s="2"/>
      <c r="F1533" s="2"/>
      <c r="G1533" s="2"/>
      <c r="H1533" s="3"/>
      <c r="I1533" s="2"/>
      <c r="J1533" s="2"/>
      <c r="K1533" s="4"/>
      <c r="L1533" s="4"/>
      <c r="M1533" s="2"/>
      <c r="N1533" s="2"/>
      <c r="O1533" s="2"/>
      <c r="P1533" s="2"/>
      <c r="Q1533" s="5"/>
      <c r="R1533" s="5"/>
      <c r="S1533" s="2"/>
      <c r="T1533" s="2"/>
      <c r="U1533" s="5"/>
      <c r="V1533" s="5"/>
      <c r="W1533" s="2"/>
      <c r="X1533" s="5"/>
      <c r="Y1533" s="1"/>
      <c r="Z1533" s="1"/>
      <c r="AA1533" s="1"/>
    </row>
    <row r="1534">
      <c r="A1534" s="1"/>
      <c r="B1534" s="14"/>
      <c r="C1534" s="2"/>
      <c r="D1534" s="2"/>
      <c r="E1534" s="2"/>
      <c r="F1534" s="2"/>
      <c r="G1534" s="2"/>
      <c r="H1534" s="3"/>
      <c r="I1534" s="2"/>
      <c r="J1534" s="2"/>
      <c r="K1534" s="4"/>
      <c r="L1534" s="4"/>
      <c r="M1534" s="2"/>
      <c r="N1534" s="2"/>
      <c r="O1534" s="2"/>
      <c r="P1534" s="2"/>
      <c r="Q1534" s="5"/>
      <c r="R1534" s="5"/>
      <c r="S1534" s="2"/>
      <c r="T1534" s="2"/>
      <c r="U1534" s="5"/>
      <c r="V1534" s="5"/>
      <c r="W1534" s="2"/>
      <c r="X1534" s="5"/>
      <c r="Y1534" s="1"/>
      <c r="Z1534" s="1"/>
      <c r="AA1534" s="1"/>
    </row>
    <row r="1535">
      <c r="A1535" s="1"/>
      <c r="B1535" s="14"/>
      <c r="C1535" s="2"/>
      <c r="D1535" s="2"/>
      <c r="E1535" s="2"/>
      <c r="F1535" s="2"/>
      <c r="G1535" s="2"/>
      <c r="H1535" s="3"/>
      <c r="I1535" s="2"/>
      <c r="J1535" s="2"/>
      <c r="K1535" s="4"/>
      <c r="L1535" s="4"/>
      <c r="M1535" s="2"/>
      <c r="N1535" s="2"/>
      <c r="O1535" s="2"/>
      <c r="P1535" s="2"/>
      <c r="Q1535" s="5"/>
      <c r="R1535" s="5"/>
      <c r="S1535" s="2"/>
      <c r="T1535" s="2"/>
      <c r="U1535" s="5"/>
      <c r="V1535" s="5"/>
      <c r="W1535" s="2"/>
      <c r="X1535" s="5"/>
      <c r="Y1535" s="1"/>
      <c r="Z1535" s="1"/>
      <c r="AA1535" s="1"/>
    </row>
    <row r="1536">
      <c r="A1536" s="1"/>
      <c r="B1536" s="14"/>
      <c r="C1536" s="2"/>
      <c r="D1536" s="2"/>
      <c r="E1536" s="2"/>
      <c r="F1536" s="2"/>
      <c r="G1536" s="2"/>
      <c r="H1536" s="3"/>
      <c r="I1536" s="2"/>
      <c r="J1536" s="2"/>
      <c r="K1536" s="4"/>
      <c r="L1536" s="4"/>
      <c r="M1536" s="2"/>
      <c r="N1536" s="2"/>
      <c r="O1536" s="2"/>
      <c r="P1536" s="2"/>
      <c r="Q1536" s="5"/>
      <c r="R1536" s="5"/>
      <c r="S1536" s="2"/>
      <c r="T1536" s="2"/>
      <c r="U1536" s="5"/>
      <c r="V1536" s="5"/>
      <c r="W1536" s="2"/>
      <c r="X1536" s="5"/>
      <c r="Y1536" s="1"/>
      <c r="Z1536" s="1"/>
      <c r="AA1536" s="1"/>
    </row>
    <row r="1537">
      <c r="A1537" s="1"/>
      <c r="B1537" s="14"/>
      <c r="C1537" s="2"/>
      <c r="D1537" s="2"/>
      <c r="E1537" s="2"/>
      <c r="F1537" s="2"/>
      <c r="G1537" s="2"/>
      <c r="H1537" s="3"/>
      <c r="I1537" s="2"/>
      <c r="J1537" s="2"/>
      <c r="K1537" s="4"/>
      <c r="L1537" s="4"/>
      <c r="M1537" s="2"/>
      <c r="N1537" s="2"/>
      <c r="O1537" s="2"/>
      <c r="P1537" s="2"/>
      <c r="Q1537" s="5"/>
      <c r="R1537" s="5"/>
      <c r="S1537" s="2"/>
      <c r="T1537" s="2"/>
      <c r="U1537" s="5"/>
      <c r="V1537" s="5"/>
      <c r="W1537" s="2"/>
      <c r="X1537" s="5"/>
      <c r="Y1537" s="1"/>
      <c r="Z1537" s="1"/>
      <c r="AA1537" s="1"/>
    </row>
    <row r="1538">
      <c r="A1538" s="1"/>
      <c r="B1538" s="14"/>
      <c r="C1538" s="2"/>
      <c r="D1538" s="2"/>
      <c r="E1538" s="2"/>
      <c r="F1538" s="2"/>
      <c r="G1538" s="2"/>
      <c r="H1538" s="3"/>
      <c r="I1538" s="2"/>
      <c r="J1538" s="2"/>
      <c r="K1538" s="4"/>
      <c r="L1538" s="4"/>
      <c r="M1538" s="2"/>
      <c r="N1538" s="2"/>
      <c r="O1538" s="2"/>
      <c r="P1538" s="2"/>
      <c r="Q1538" s="5"/>
      <c r="R1538" s="5"/>
      <c r="S1538" s="2"/>
      <c r="T1538" s="2"/>
      <c r="U1538" s="5"/>
      <c r="V1538" s="5"/>
      <c r="W1538" s="2"/>
      <c r="X1538" s="5"/>
      <c r="Y1538" s="1"/>
      <c r="Z1538" s="1"/>
      <c r="AA1538" s="1"/>
    </row>
    <row r="1539">
      <c r="A1539" s="1"/>
      <c r="B1539" s="14"/>
      <c r="C1539" s="2"/>
      <c r="D1539" s="2"/>
      <c r="E1539" s="2"/>
      <c r="F1539" s="2"/>
      <c r="G1539" s="2"/>
      <c r="H1539" s="3"/>
      <c r="I1539" s="2"/>
      <c r="J1539" s="2"/>
      <c r="K1539" s="4"/>
      <c r="L1539" s="4"/>
      <c r="M1539" s="2"/>
      <c r="N1539" s="2"/>
      <c r="O1539" s="2"/>
      <c r="P1539" s="2"/>
      <c r="Q1539" s="5"/>
      <c r="R1539" s="5"/>
      <c r="S1539" s="2"/>
      <c r="T1539" s="2"/>
      <c r="U1539" s="5"/>
      <c r="V1539" s="5"/>
      <c r="W1539" s="2"/>
      <c r="X1539" s="5"/>
      <c r="Y1539" s="1"/>
      <c r="Z1539" s="1"/>
      <c r="AA1539" s="1"/>
    </row>
    <row r="1540">
      <c r="A1540" s="1"/>
      <c r="B1540" s="14"/>
      <c r="C1540" s="2"/>
      <c r="D1540" s="2"/>
      <c r="E1540" s="2"/>
      <c r="F1540" s="2"/>
      <c r="G1540" s="2"/>
      <c r="H1540" s="3"/>
      <c r="I1540" s="2"/>
      <c r="J1540" s="2"/>
      <c r="K1540" s="4"/>
      <c r="L1540" s="4"/>
      <c r="M1540" s="2"/>
      <c r="N1540" s="2"/>
      <c r="O1540" s="2"/>
      <c r="P1540" s="2"/>
      <c r="Q1540" s="5"/>
      <c r="R1540" s="5"/>
      <c r="S1540" s="2"/>
      <c r="T1540" s="2"/>
      <c r="U1540" s="5"/>
      <c r="V1540" s="5"/>
      <c r="W1540" s="2"/>
      <c r="X1540" s="5"/>
      <c r="Y1540" s="1"/>
      <c r="Z1540" s="1"/>
      <c r="AA1540" s="1"/>
    </row>
    <row r="1541">
      <c r="A1541" s="1"/>
      <c r="B1541" s="14"/>
      <c r="C1541" s="2"/>
      <c r="D1541" s="2"/>
      <c r="E1541" s="2"/>
      <c r="F1541" s="2"/>
      <c r="G1541" s="2"/>
      <c r="H1541" s="3"/>
      <c r="I1541" s="2"/>
      <c r="J1541" s="2"/>
      <c r="K1541" s="4"/>
      <c r="L1541" s="4"/>
      <c r="M1541" s="2"/>
      <c r="N1541" s="2"/>
      <c r="O1541" s="2"/>
      <c r="P1541" s="2"/>
      <c r="Q1541" s="5"/>
      <c r="R1541" s="5"/>
      <c r="S1541" s="2"/>
      <c r="T1541" s="2"/>
      <c r="U1541" s="5"/>
      <c r="V1541" s="5"/>
      <c r="W1541" s="2"/>
      <c r="X1541" s="5"/>
      <c r="Y1541" s="1"/>
      <c r="Z1541" s="1"/>
      <c r="AA1541" s="1"/>
    </row>
    <row r="1542">
      <c r="A1542" s="1"/>
      <c r="B1542" s="14"/>
      <c r="C1542" s="2"/>
      <c r="D1542" s="2"/>
      <c r="E1542" s="2"/>
      <c r="F1542" s="2"/>
      <c r="G1542" s="2"/>
      <c r="H1542" s="3"/>
      <c r="I1542" s="2"/>
      <c r="J1542" s="2"/>
      <c r="K1542" s="4"/>
      <c r="L1542" s="4"/>
      <c r="M1542" s="2"/>
      <c r="N1542" s="2"/>
      <c r="O1542" s="2"/>
      <c r="P1542" s="2"/>
      <c r="Q1542" s="5"/>
      <c r="R1542" s="5"/>
      <c r="S1542" s="2"/>
      <c r="T1542" s="2"/>
      <c r="U1542" s="5"/>
      <c r="V1542" s="5"/>
      <c r="W1542" s="2"/>
      <c r="X1542" s="5"/>
      <c r="Y1542" s="1"/>
      <c r="Z1542" s="1"/>
      <c r="AA1542" s="1"/>
    </row>
    <row r="1543">
      <c r="A1543" s="1"/>
      <c r="B1543" s="14"/>
      <c r="C1543" s="2"/>
      <c r="D1543" s="2"/>
      <c r="E1543" s="2"/>
      <c r="F1543" s="2"/>
      <c r="G1543" s="2"/>
      <c r="H1543" s="3"/>
      <c r="I1543" s="2"/>
      <c r="J1543" s="2"/>
      <c r="K1543" s="4"/>
      <c r="L1543" s="4"/>
      <c r="M1543" s="2"/>
      <c r="N1543" s="2"/>
      <c r="O1543" s="2"/>
      <c r="P1543" s="2"/>
      <c r="Q1543" s="5"/>
      <c r="R1543" s="5"/>
      <c r="S1543" s="2"/>
      <c r="T1543" s="2"/>
      <c r="U1543" s="5"/>
      <c r="V1543" s="5"/>
      <c r="W1543" s="2"/>
      <c r="X1543" s="5"/>
      <c r="Y1543" s="1"/>
      <c r="Z1543" s="1"/>
      <c r="AA1543" s="1"/>
    </row>
    <row r="1544">
      <c r="A1544" s="1"/>
      <c r="B1544" s="14"/>
      <c r="C1544" s="2"/>
      <c r="D1544" s="2"/>
      <c r="E1544" s="2"/>
      <c r="F1544" s="2"/>
      <c r="G1544" s="2"/>
      <c r="H1544" s="3"/>
      <c r="I1544" s="2"/>
      <c r="J1544" s="2"/>
      <c r="K1544" s="4"/>
      <c r="L1544" s="4"/>
      <c r="M1544" s="2"/>
      <c r="N1544" s="2"/>
      <c r="O1544" s="2"/>
      <c r="P1544" s="2"/>
      <c r="Q1544" s="5"/>
      <c r="R1544" s="5"/>
      <c r="S1544" s="2"/>
      <c r="T1544" s="2"/>
      <c r="U1544" s="5"/>
      <c r="V1544" s="5"/>
      <c r="W1544" s="2"/>
      <c r="X1544" s="5"/>
      <c r="Y1544" s="1"/>
      <c r="Z1544" s="1"/>
      <c r="AA1544" s="1"/>
    </row>
    <row r="1545">
      <c r="A1545" s="1"/>
      <c r="B1545" s="14"/>
      <c r="C1545" s="2"/>
      <c r="D1545" s="2"/>
      <c r="E1545" s="2"/>
      <c r="F1545" s="2"/>
      <c r="G1545" s="2"/>
      <c r="H1545" s="3"/>
      <c r="I1545" s="2"/>
      <c r="J1545" s="2"/>
      <c r="K1545" s="4"/>
      <c r="L1545" s="4"/>
      <c r="M1545" s="2"/>
      <c r="N1545" s="2"/>
      <c r="O1545" s="2"/>
      <c r="P1545" s="2"/>
      <c r="Q1545" s="5"/>
      <c r="R1545" s="5"/>
      <c r="S1545" s="2"/>
      <c r="T1545" s="2"/>
      <c r="U1545" s="5"/>
      <c r="V1545" s="5"/>
      <c r="W1545" s="2"/>
      <c r="X1545" s="5"/>
      <c r="Y1545" s="1"/>
      <c r="Z1545" s="1"/>
      <c r="AA1545" s="1"/>
    </row>
    <row r="1546">
      <c r="A1546" s="1"/>
      <c r="B1546" s="14"/>
      <c r="C1546" s="2"/>
      <c r="D1546" s="2"/>
      <c r="E1546" s="2"/>
      <c r="F1546" s="2"/>
      <c r="G1546" s="2"/>
      <c r="H1546" s="3"/>
      <c r="I1546" s="2"/>
      <c r="J1546" s="2"/>
      <c r="K1546" s="4"/>
      <c r="L1546" s="4"/>
      <c r="M1546" s="2"/>
      <c r="N1546" s="2"/>
      <c r="O1546" s="2"/>
      <c r="P1546" s="2"/>
      <c r="Q1546" s="5"/>
      <c r="R1546" s="5"/>
      <c r="S1546" s="2"/>
      <c r="T1546" s="2"/>
      <c r="U1546" s="5"/>
      <c r="V1546" s="5"/>
      <c r="W1546" s="2"/>
      <c r="X1546" s="5"/>
      <c r="Y1546" s="1"/>
      <c r="Z1546" s="1"/>
      <c r="AA1546" s="1"/>
    </row>
    <row r="1547">
      <c r="A1547" s="1"/>
      <c r="B1547" s="14"/>
      <c r="C1547" s="2"/>
      <c r="D1547" s="2"/>
      <c r="E1547" s="2"/>
      <c r="F1547" s="2"/>
      <c r="G1547" s="2"/>
      <c r="H1547" s="3"/>
      <c r="I1547" s="2"/>
      <c r="J1547" s="2"/>
      <c r="K1547" s="4"/>
      <c r="L1547" s="4"/>
      <c r="M1547" s="2"/>
      <c r="N1547" s="2"/>
      <c r="O1547" s="2"/>
      <c r="P1547" s="2"/>
      <c r="Q1547" s="5"/>
      <c r="R1547" s="5"/>
      <c r="S1547" s="2"/>
      <c r="T1547" s="2"/>
      <c r="U1547" s="5"/>
      <c r="V1547" s="5"/>
      <c r="W1547" s="2"/>
      <c r="X1547" s="5"/>
      <c r="Y1547" s="1"/>
      <c r="Z1547" s="1"/>
      <c r="AA1547" s="1"/>
    </row>
    <row r="1548">
      <c r="A1548" s="1"/>
      <c r="B1548" s="14"/>
      <c r="C1548" s="2"/>
      <c r="D1548" s="2"/>
      <c r="E1548" s="2"/>
      <c r="F1548" s="2"/>
      <c r="G1548" s="2"/>
      <c r="H1548" s="3"/>
      <c r="I1548" s="2"/>
      <c r="J1548" s="2"/>
      <c r="K1548" s="4"/>
      <c r="L1548" s="4"/>
      <c r="M1548" s="2"/>
      <c r="N1548" s="2"/>
      <c r="O1548" s="2"/>
      <c r="P1548" s="2"/>
      <c r="Q1548" s="5"/>
      <c r="R1548" s="5"/>
      <c r="S1548" s="2"/>
      <c r="T1548" s="2"/>
      <c r="U1548" s="5"/>
      <c r="V1548" s="5"/>
      <c r="W1548" s="2"/>
      <c r="X1548" s="5"/>
      <c r="Y1548" s="1"/>
      <c r="Z1548" s="1"/>
      <c r="AA1548" s="1"/>
    </row>
    <row r="1549">
      <c r="A1549" s="1"/>
      <c r="B1549" s="14"/>
      <c r="C1549" s="2"/>
      <c r="D1549" s="2"/>
      <c r="E1549" s="2"/>
      <c r="F1549" s="2"/>
      <c r="G1549" s="2"/>
      <c r="H1549" s="3"/>
      <c r="I1549" s="2"/>
      <c r="J1549" s="2"/>
      <c r="K1549" s="4"/>
      <c r="L1549" s="4"/>
      <c r="M1549" s="2"/>
      <c r="N1549" s="2"/>
      <c r="O1549" s="2"/>
      <c r="P1549" s="2"/>
      <c r="Q1549" s="5"/>
      <c r="R1549" s="5"/>
      <c r="S1549" s="2"/>
      <c r="T1549" s="2"/>
      <c r="U1549" s="5"/>
      <c r="V1549" s="5"/>
      <c r="W1549" s="2"/>
      <c r="X1549" s="5"/>
      <c r="Y1549" s="1"/>
      <c r="Z1549" s="1"/>
      <c r="AA1549" s="1"/>
    </row>
    <row r="1550">
      <c r="A1550" s="1"/>
      <c r="B1550" s="14"/>
      <c r="C1550" s="2"/>
      <c r="D1550" s="2"/>
      <c r="E1550" s="2"/>
      <c r="F1550" s="2"/>
      <c r="G1550" s="2"/>
      <c r="H1550" s="3"/>
      <c r="I1550" s="2"/>
      <c r="J1550" s="2"/>
      <c r="K1550" s="4"/>
      <c r="L1550" s="4"/>
      <c r="M1550" s="2"/>
      <c r="N1550" s="2"/>
      <c r="O1550" s="2"/>
      <c r="P1550" s="2"/>
      <c r="Q1550" s="5"/>
      <c r="R1550" s="5"/>
      <c r="S1550" s="2"/>
      <c r="T1550" s="2"/>
      <c r="U1550" s="5"/>
      <c r="V1550" s="5"/>
      <c r="W1550" s="2"/>
      <c r="X1550" s="5"/>
      <c r="Y1550" s="1"/>
      <c r="Z1550" s="1"/>
      <c r="AA1550" s="1"/>
    </row>
    <row r="1551">
      <c r="A1551" s="1"/>
      <c r="B1551" s="14"/>
      <c r="C1551" s="2"/>
      <c r="D1551" s="2"/>
      <c r="E1551" s="2"/>
      <c r="F1551" s="2"/>
      <c r="G1551" s="2"/>
      <c r="H1551" s="3"/>
      <c r="I1551" s="2"/>
      <c r="J1551" s="2"/>
      <c r="K1551" s="4"/>
      <c r="L1551" s="4"/>
      <c r="M1551" s="2"/>
      <c r="N1551" s="2"/>
      <c r="O1551" s="2"/>
      <c r="P1551" s="2"/>
      <c r="Q1551" s="5"/>
      <c r="R1551" s="5"/>
      <c r="S1551" s="2"/>
      <c r="T1551" s="2"/>
      <c r="U1551" s="5"/>
      <c r="V1551" s="5"/>
      <c r="W1551" s="2"/>
      <c r="X1551" s="5"/>
      <c r="Y1551" s="1"/>
      <c r="Z1551" s="1"/>
      <c r="AA1551" s="1"/>
    </row>
    <row r="1552">
      <c r="A1552" s="1"/>
      <c r="B1552" s="14"/>
      <c r="C1552" s="2"/>
      <c r="D1552" s="2"/>
      <c r="E1552" s="2"/>
      <c r="F1552" s="2"/>
      <c r="G1552" s="2"/>
      <c r="H1552" s="3"/>
      <c r="I1552" s="2"/>
      <c r="J1552" s="2"/>
      <c r="K1552" s="4"/>
      <c r="L1552" s="4"/>
      <c r="M1552" s="2"/>
      <c r="N1552" s="2"/>
      <c r="O1552" s="2"/>
      <c r="P1552" s="2"/>
      <c r="Q1552" s="5"/>
      <c r="R1552" s="5"/>
      <c r="S1552" s="2"/>
      <c r="T1552" s="2"/>
      <c r="U1552" s="5"/>
      <c r="V1552" s="5"/>
      <c r="W1552" s="2"/>
      <c r="X1552" s="5"/>
      <c r="Y1552" s="1"/>
      <c r="Z1552" s="1"/>
      <c r="AA1552" s="1"/>
    </row>
    <row r="1553">
      <c r="A1553" s="1"/>
      <c r="B1553" s="14"/>
      <c r="C1553" s="2"/>
      <c r="D1553" s="2"/>
      <c r="E1553" s="2"/>
      <c r="F1553" s="2"/>
      <c r="G1553" s="2"/>
      <c r="H1553" s="3"/>
      <c r="I1553" s="2"/>
      <c r="J1553" s="2"/>
      <c r="K1553" s="4"/>
      <c r="L1553" s="4"/>
      <c r="M1553" s="2"/>
      <c r="N1553" s="2"/>
      <c r="O1553" s="2"/>
      <c r="P1553" s="2"/>
      <c r="Q1553" s="5"/>
      <c r="R1553" s="5"/>
      <c r="S1553" s="2"/>
      <c r="T1553" s="2"/>
      <c r="U1553" s="5"/>
      <c r="V1553" s="5"/>
      <c r="W1553" s="2"/>
      <c r="X1553" s="5"/>
      <c r="Y1553" s="1"/>
      <c r="Z1553" s="1"/>
      <c r="AA1553" s="1"/>
    </row>
    <row r="1554">
      <c r="A1554" s="1"/>
      <c r="B1554" s="14"/>
      <c r="C1554" s="2"/>
      <c r="D1554" s="2"/>
      <c r="E1554" s="2"/>
      <c r="F1554" s="2"/>
      <c r="G1554" s="2"/>
      <c r="H1554" s="3"/>
      <c r="I1554" s="2"/>
      <c r="J1554" s="2"/>
      <c r="K1554" s="4"/>
      <c r="L1554" s="4"/>
      <c r="M1554" s="2"/>
      <c r="N1554" s="2"/>
      <c r="O1554" s="2"/>
      <c r="P1554" s="2"/>
      <c r="Q1554" s="5"/>
      <c r="R1554" s="5"/>
      <c r="S1554" s="2"/>
      <c r="T1554" s="2"/>
      <c r="U1554" s="5"/>
      <c r="V1554" s="5"/>
      <c r="W1554" s="2"/>
      <c r="X1554" s="5"/>
      <c r="Y1554" s="1"/>
      <c r="Z1554" s="1"/>
      <c r="AA1554" s="1"/>
    </row>
    <row r="1555">
      <c r="A1555" s="1"/>
      <c r="B1555" s="14"/>
      <c r="C1555" s="2"/>
      <c r="D1555" s="2"/>
      <c r="E1555" s="2"/>
      <c r="F1555" s="2"/>
      <c r="G1555" s="2"/>
      <c r="H1555" s="3"/>
      <c r="I1555" s="2"/>
      <c r="J1555" s="2"/>
      <c r="K1555" s="4"/>
      <c r="L1555" s="4"/>
      <c r="M1555" s="2"/>
      <c r="N1555" s="2"/>
      <c r="O1555" s="2"/>
      <c r="P1555" s="2"/>
      <c r="Q1555" s="5"/>
      <c r="R1555" s="5"/>
      <c r="S1555" s="2"/>
      <c r="T1555" s="2"/>
      <c r="U1555" s="5"/>
      <c r="V1555" s="5"/>
      <c r="W1555" s="2"/>
      <c r="X1555" s="5"/>
      <c r="Y1555" s="1"/>
      <c r="Z1555" s="1"/>
      <c r="AA1555" s="1"/>
    </row>
    <row r="1556">
      <c r="A1556" s="1"/>
      <c r="B1556" s="14"/>
      <c r="C1556" s="2"/>
      <c r="D1556" s="2"/>
      <c r="E1556" s="2"/>
      <c r="F1556" s="2"/>
      <c r="G1556" s="2"/>
      <c r="H1556" s="3"/>
      <c r="I1556" s="2"/>
      <c r="J1556" s="2"/>
      <c r="K1556" s="4"/>
      <c r="L1556" s="4"/>
      <c r="M1556" s="2"/>
      <c r="N1556" s="2"/>
      <c r="O1556" s="2"/>
      <c r="P1556" s="2"/>
      <c r="Q1556" s="5"/>
      <c r="R1556" s="5"/>
      <c r="S1556" s="2"/>
      <c r="T1556" s="2"/>
      <c r="U1556" s="5"/>
      <c r="V1556" s="5"/>
      <c r="W1556" s="2"/>
      <c r="X1556" s="5"/>
      <c r="Y1556" s="1"/>
      <c r="Z1556" s="1"/>
      <c r="AA1556" s="1"/>
    </row>
    <row r="1557">
      <c r="A1557" s="1"/>
      <c r="B1557" s="14"/>
      <c r="C1557" s="2"/>
      <c r="D1557" s="2"/>
      <c r="E1557" s="2"/>
      <c r="F1557" s="2"/>
      <c r="G1557" s="2"/>
      <c r="H1557" s="3"/>
      <c r="I1557" s="2"/>
      <c r="J1557" s="2"/>
      <c r="K1557" s="4"/>
      <c r="L1557" s="4"/>
      <c r="M1557" s="2"/>
      <c r="N1557" s="2"/>
      <c r="O1557" s="2"/>
      <c r="P1557" s="2"/>
      <c r="Q1557" s="5"/>
      <c r="R1557" s="5"/>
      <c r="S1557" s="2"/>
      <c r="T1557" s="2"/>
      <c r="U1557" s="5"/>
      <c r="V1557" s="5"/>
      <c r="W1557" s="2"/>
      <c r="X1557" s="5"/>
      <c r="Y1557" s="1"/>
      <c r="Z1557" s="1"/>
      <c r="AA1557" s="1"/>
    </row>
    <row r="1558">
      <c r="A1558" s="1"/>
      <c r="B1558" s="14"/>
      <c r="C1558" s="2"/>
      <c r="D1558" s="2"/>
      <c r="E1558" s="2"/>
      <c r="F1558" s="2"/>
      <c r="G1558" s="2"/>
      <c r="H1558" s="3"/>
      <c r="I1558" s="2"/>
      <c r="J1558" s="2"/>
      <c r="K1558" s="4"/>
      <c r="L1558" s="4"/>
      <c r="M1558" s="2"/>
      <c r="N1558" s="2"/>
      <c r="O1558" s="2"/>
      <c r="P1558" s="2"/>
      <c r="Q1558" s="5"/>
      <c r="R1558" s="5"/>
      <c r="S1558" s="2"/>
      <c r="T1558" s="2"/>
      <c r="U1558" s="5"/>
      <c r="V1558" s="5"/>
      <c r="W1558" s="2"/>
      <c r="X1558" s="5"/>
      <c r="Y1558" s="1"/>
      <c r="Z1558" s="1"/>
      <c r="AA1558" s="1"/>
    </row>
    <row r="1559">
      <c r="A1559" s="1"/>
      <c r="B1559" s="14"/>
      <c r="C1559" s="2"/>
      <c r="D1559" s="2"/>
      <c r="E1559" s="2"/>
      <c r="F1559" s="2"/>
      <c r="G1559" s="2"/>
      <c r="H1559" s="3"/>
      <c r="I1559" s="2"/>
      <c r="J1559" s="2"/>
      <c r="K1559" s="4"/>
      <c r="L1559" s="4"/>
      <c r="M1559" s="2"/>
      <c r="N1559" s="2"/>
      <c r="O1559" s="2"/>
      <c r="P1559" s="2"/>
      <c r="Q1559" s="5"/>
      <c r="R1559" s="5"/>
      <c r="S1559" s="2"/>
      <c r="T1559" s="2"/>
      <c r="U1559" s="5"/>
      <c r="V1559" s="5"/>
      <c r="W1559" s="2"/>
      <c r="X1559" s="5"/>
      <c r="Y1559" s="1"/>
      <c r="Z1559" s="1"/>
      <c r="AA1559" s="1"/>
    </row>
    <row r="1560">
      <c r="A1560" s="1"/>
      <c r="B1560" s="14"/>
      <c r="C1560" s="2"/>
      <c r="D1560" s="2"/>
      <c r="E1560" s="2"/>
      <c r="F1560" s="2"/>
      <c r="G1560" s="2"/>
      <c r="H1560" s="3"/>
      <c r="I1560" s="2"/>
      <c r="J1560" s="2"/>
      <c r="K1560" s="4"/>
      <c r="L1560" s="4"/>
      <c r="M1560" s="2"/>
      <c r="N1560" s="2"/>
      <c r="O1560" s="2"/>
      <c r="P1560" s="2"/>
      <c r="Q1560" s="5"/>
      <c r="R1560" s="5"/>
      <c r="S1560" s="2"/>
      <c r="T1560" s="2"/>
      <c r="U1560" s="5"/>
      <c r="V1560" s="5"/>
      <c r="W1560" s="2"/>
      <c r="X1560" s="5"/>
      <c r="Y1560" s="1"/>
      <c r="Z1560" s="1"/>
      <c r="AA1560" s="1"/>
    </row>
    <row r="1561">
      <c r="A1561" s="1"/>
      <c r="B1561" s="14"/>
      <c r="C1561" s="2"/>
      <c r="D1561" s="2"/>
      <c r="E1561" s="2"/>
      <c r="F1561" s="2"/>
      <c r="G1561" s="2"/>
      <c r="H1561" s="3"/>
      <c r="I1561" s="2"/>
      <c r="J1561" s="2"/>
      <c r="K1561" s="4"/>
      <c r="L1561" s="4"/>
      <c r="M1561" s="2"/>
      <c r="N1561" s="2"/>
      <c r="O1561" s="2"/>
      <c r="P1561" s="2"/>
      <c r="Q1561" s="5"/>
      <c r="R1561" s="5"/>
      <c r="S1561" s="2"/>
      <c r="T1561" s="2"/>
      <c r="U1561" s="5"/>
      <c r="V1561" s="5"/>
      <c r="W1561" s="2"/>
      <c r="X1561" s="5"/>
      <c r="Y1561" s="1"/>
      <c r="Z1561" s="1"/>
      <c r="AA1561" s="1"/>
    </row>
    <row r="1562">
      <c r="A1562" s="1"/>
      <c r="B1562" s="14"/>
      <c r="C1562" s="2"/>
      <c r="D1562" s="2"/>
      <c r="E1562" s="2"/>
      <c r="F1562" s="2"/>
      <c r="G1562" s="2"/>
      <c r="H1562" s="3"/>
      <c r="I1562" s="2"/>
      <c r="J1562" s="2"/>
      <c r="K1562" s="4"/>
      <c r="L1562" s="4"/>
      <c r="M1562" s="2"/>
      <c r="N1562" s="2"/>
      <c r="O1562" s="2"/>
      <c r="P1562" s="2"/>
      <c r="Q1562" s="5"/>
      <c r="R1562" s="5"/>
      <c r="S1562" s="2"/>
      <c r="T1562" s="2"/>
      <c r="U1562" s="5"/>
      <c r="V1562" s="5"/>
      <c r="W1562" s="2"/>
      <c r="X1562" s="5"/>
      <c r="Y1562" s="1"/>
      <c r="Z1562" s="1"/>
      <c r="AA1562" s="1"/>
    </row>
    <row r="1563">
      <c r="A1563" s="1"/>
      <c r="B1563" s="14"/>
      <c r="C1563" s="2"/>
      <c r="D1563" s="2"/>
      <c r="E1563" s="2"/>
      <c r="F1563" s="2"/>
      <c r="G1563" s="2"/>
      <c r="H1563" s="3"/>
      <c r="I1563" s="2"/>
      <c r="J1563" s="2"/>
      <c r="K1563" s="4"/>
      <c r="L1563" s="4"/>
      <c r="M1563" s="2"/>
      <c r="N1563" s="2"/>
      <c r="O1563" s="2"/>
      <c r="P1563" s="2"/>
      <c r="Q1563" s="5"/>
      <c r="R1563" s="5"/>
      <c r="S1563" s="2"/>
      <c r="T1563" s="2"/>
      <c r="U1563" s="5"/>
      <c r="V1563" s="5"/>
      <c r="W1563" s="2"/>
      <c r="X1563" s="5"/>
      <c r="Y1563" s="1"/>
      <c r="Z1563" s="1"/>
      <c r="AA1563" s="1"/>
    </row>
    <row r="1564">
      <c r="A1564" s="1"/>
      <c r="B1564" s="14"/>
      <c r="C1564" s="2"/>
      <c r="D1564" s="2"/>
      <c r="E1564" s="2"/>
      <c r="F1564" s="2"/>
      <c r="G1564" s="2"/>
      <c r="H1564" s="3"/>
      <c r="I1564" s="2"/>
      <c r="J1564" s="2"/>
      <c r="K1564" s="4"/>
      <c r="L1564" s="4"/>
      <c r="M1564" s="2"/>
      <c r="N1564" s="2"/>
      <c r="O1564" s="2"/>
      <c r="P1564" s="2"/>
      <c r="Q1564" s="5"/>
      <c r="R1564" s="5"/>
      <c r="S1564" s="2"/>
      <c r="T1564" s="2"/>
      <c r="U1564" s="5"/>
      <c r="V1564" s="5"/>
      <c r="W1564" s="2"/>
      <c r="X1564" s="5"/>
      <c r="Y1564" s="1"/>
      <c r="Z1564" s="1"/>
      <c r="AA1564" s="1"/>
    </row>
    <row r="1565">
      <c r="A1565" s="1"/>
      <c r="B1565" s="14"/>
      <c r="C1565" s="2"/>
      <c r="D1565" s="2"/>
      <c r="E1565" s="2"/>
      <c r="F1565" s="2"/>
      <c r="G1565" s="2"/>
      <c r="H1565" s="3"/>
      <c r="I1565" s="2"/>
      <c r="J1565" s="2"/>
      <c r="K1565" s="4"/>
      <c r="L1565" s="4"/>
      <c r="M1565" s="2"/>
      <c r="N1565" s="2"/>
      <c r="O1565" s="2"/>
      <c r="P1565" s="2"/>
      <c r="Q1565" s="5"/>
      <c r="R1565" s="5"/>
      <c r="S1565" s="2"/>
      <c r="T1565" s="2"/>
      <c r="U1565" s="5"/>
      <c r="V1565" s="5"/>
      <c r="W1565" s="2"/>
      <c r="X1565" s="5"/>
      <c r="Y1565" s="1"/>
      <c r="Z1565" s="1"/>
      <c r="AA1565" s="1"/>
    </row>
    <row r="1566">
      <c r="A1566" s="1"/>
      <c r="B1566" s="14"/>
      <c r="C1566" s="2"/>
      <c r="D1566" s="2"/>
      <c r="E1566" s="2"/>
      <c r="F1566" s="2"/>
      <c r="G1566" s="2"/>
      <c r="H1566" s="3"/>
      <c r="I1566" s="2"/>
      <c r="J1566" s="2"/>
      <c r="K1566" s="4"/>
      <c r="L1566" s="4"/>
      <c r="M1566" s="2"/>
      <c r="N1566" s="2"/>
      <c r="O1566" s="2"/>
      <c r="P1566" s="2"/>
      <c r="Q1566" s="5"/>
      <c r="R1566" s="5"/>
      <c r="S1566" s="2"/>
      <c r="T1566" s="2"/>
      <c r="U1566" s="5"/>
      <c r="V1566" s="5"/>
      <c r="W1566" s="2"/>
      <c r="X1566" s="5"/>
      <c r="Y1566" s="1"/>
      <c r="Z1566" s="1"/>
      <c r="AA1566" s="1"/>
    </row>
    <row r="1567">
      <c r="A1567" s="1"/>
      <c r="B1567" s="14"/>
      <c r="C1567" s="2"/>
      <c r="D1567" s="2"/>
      <c r="E1567" s="2"/>
      <c r="F1567" s="2"/>
      <c r="G1567" s="2"/>
      <c r="H1567" s="3"/>
      <c r="I1567" s="2"/>
      <c r="J1567" s="2"/>
      <c r="K1567" s="4"/>
      <c r="L1567" s="4"/>
      <c r="M1567" s="2"/>
      <c r="N1567" s="2"/>
      <c r="O1567" s="2"/>
      <c r="P1567" s="2"/>
      <c r="Q1567" s="5"/>
      <c r="R1567" s="5"/>
      <c r="S1567" s="2"/>
      <c r="T1567" s="2"/>
      <c r="U1567" s="5"/>
      <c r="V1567" s="5"/>
      <c r="W1567" s="2"/>
      <c r="X1567" s="5"/>
      <c r="Y1567" s="1"/>
      <c r="Z1567" s="1"/>
      <c r="AA1567" s="1"/>
    </row>
    <row r="1568">
      <c r="A1568" s="1"/>
      <c r="B1568" s="14"/>
      <c r="C1568" s="2"/>
      <c r="D1568" s="2"/>
      <c r="E1568" s="2"/>
      <c r="F1568" s="2"/>
      <c r="G1568" s="2"/>
      <c r="H1568" s="3"/>
      <c r="I1568" s="2"/>
      <c r="J1568" s="2"/>
      <c r="K1568" s="4"/>
      <c r="L1568" s="4"/>
      <c r="M1568" s="2"/>
      <c r="N1568" s="2"/>
      <c r="O1568" s="2"/>
      <c r="P1568" s="2"/>
      <c r="Q1568" s="5"/>
      <c r="R1568" s="5"/>
      <c r="S1568" s="2"/>
      <c r="T1568" s="2"/>
      <c r="U1568" s="5"/>
      <c r="V1568" s="5"/>
      <c r="W1568" s="2"/>
      <c r="X1568" s="5"/>
      <c r="Y1568" s="1"/>
      <c r="Z1568" s="1"/>
      <c r="AA1568" s="1"/>
    </row>
    <row r="1569">
      <c r="A1569" s="1"/>
      <c r="B1569" s="14"/>
      <c r="C1569" s="2"/>
      <c r="D1569" s="2"/>
      <c r="E1569" s="2"/>
      <c r="F1569" s="2"/>
      <c r="G1569" s="2"/>
      <c r="H1569" s="3"/>
      <c r="I1569" s="2"/>
      <c r="J1569" s="2"/>
      <c r="K1569" s="4"/>
      <c r="L1569" s="4"/>
      <c r="M1569" s="2"/>
      <c r="N1569" s="2"/>
      <c r="O1569" s="2"/>
      <c r="P1569" s="2"/>
      <c r="Q1569" s="5"/>
      <c r="R1569" s="5"/>
      <c r="S1569" s="2"/>
      <c r="T1569" s="2"/>
      <c r="U1569" s="5"/>
      <c r="V1569" s="5"/>
      <c r="W1569" s="2"/>
      <c r="X1569" s="5"/>
      <c r="Y1569" s="1"/>
      <c r="Z1569" s="1"/>
      <c r="AA1569" s="1"/>
    </row>
    <row r="1570">
      <c r="A1570" s="1"/>
      <c r="B1570" s="14"/>
      <c r="C1570" s="2"/>
      <c r="D1570" s="2"/>
      <c r="E1570" s="2"/>
      <c r="F1570" s="2"/>
      <c r="G1570" s="2"/>
      <c r="H1570" s="3"/>
      <c r="I1570" s="2"/>
      <c r="J1570" s="2"/>
      <c r="K1570" s="4"/>
      <c r="L1570" s="4"/>
      <c r="M1570" s="2"/>
      <c r="N1570" s="2"/>
      <c r="O1570" s="2"/>
      <c r="P1570" s="2"/>
      <c r="Q1570" s="5"/>
      <c r="R1570" s="5"/>
      <c r="S1570" s="2"/>
      <c r="T1570" s="2"/>
      <c r="U1570" s="5"/>
      <c r="V1570" s="5"/>
      <c r="W1570" s="2"/>
      <c r="X1570" s="5"/>
      <c r="Y1570" s="1"/>
      <c r="Z1570" s="1"/>
      <c r="AA1570" s="1"/>
    </row>
    <row r="1571">
      <c r="A1571" s="1"/>
      <c r="B1571" s="14"/>
      <c r="C1571" s="2"/>
      <c r="D1571" s="2"/>
      <c r="E1571" s="2"/>
      <c r="F1571" s="2"/>
      <c r="G1571" s="2"/>
      <c r="H1571" s="3"/>
      <c r="I1571" s="2"/>
      <c r="J1571" s="2"/>
      <c r="K1571" s="4"/>
      <c r="L1571" s="4"/>
      <c r="M1571" s="2"/>
      <c r="N1571" s="2"/>
      <c r="O1571" s="2"/>
      <c r="P1571" s="2"/>
      <c r="Q1571" s="5"/>
      <c r="R1571" s="5"/>
      <c r="S1571" s="2"/>
      <c r="T1571" s="2"/>
      <c r="U1571" s="5"/>
      <c r="V1571" s="5"/>
      <c r="W1571" s="2"/>
      <c r="X1571" s="5"/>
      <c r="Y1571" s="1"/>
      <c r="Z1571" s="1"/>
      <c r="AA1571" s="1"/>
    </row>
    <row r="1572">
      <c r="A1572" s="1"/>
      <c r="B1572" s="14"/>
      <c r="C1572" s="2"/>
      <c r="D1572" s="2"/>
      <c r="E1572" s="2"/>
      <c r="F1572" s="2"/>
      <c r="G1572" s="2"/>
      <c r="H1572" s="3"/>
      <c r="I1572" s="2"/>
      <c r="J1572" s="2"/>
      <c r="K1572" s="4"/>
      <c r="L1572" s="4"/>
      <c r="M1572" s="2"/>
      <c r="N1572" s="2"/>
      <c r="O1572" s="2"/>
      <c r="P1572" s="2"/>
      <c r="Q1572" s="5"/>
      <c r="R1572" s="5"/>
      <c r="S1572" s="2"/>
      <c r="T1572" s="2"/>
      <c r="U1572" s="5"/>
      <c r="V1572" s="5"/>
      <c r="W1572" s="2"/>
      <c r="X1572" s="5"/>
      <c r="Y1572" s="1"/>
      <c r="Z1572" s="1"/>
      <c r="AA1572" s="1"/>
    </row>
    <row r="1573">
      <c r="A1573" s="1"/>
      <c r="B1573" s="14"/>
      <c r="C1573" s="2"/>
      <c r="D1573" s="2"/>
      <c r="E1573" s="2"/>
      <c r="F1573" s="2"/>
      <c r="G1573" s="2"/>
      <c r="H1573" s="3"/>
      <c r="I1573" s="2"/>
      <c r="J1573" s="2"/>
      <c r="K1573" s="4"/>
      <c r="L1573" s="4"/>
      <c r="M1573" s="2"/>
      <c r="N1573" s="2"/>
      <c r="O1573" s="2"/>
      <c r="P1573" s="2"/>
      <c r="Q1573" s="5"/>
      <c r="R1573" s="5"/>
      <c r="S1573" s="2"/>
      <c r="T1573" s="2"/>
      <c r="U1573" s="5"/>
      <c r="V1573" s="5"/>
      <c r="W1573" s="2"/>
      <c r="X1573" s="5"/>
      <c r="Y1573" s="1"/>
      <c r="Z1573" s="1"/>
      <c r="AA1573" s="1"/>
    </row>
    <row r="1574">
      <c r="A1574" s="1"/>
      <c r="B1574" s="14"/>
      <c r="C1574" s="2"/>
      <c r="D1574" s="2"/>
      <c r="E1574" s="2"/>
      <c r="F1574" s="2"/>
      <c r="G1574" s="2"/>
      <c r="H1574" s="3"/>
      <c r="I1574" s="2"/>
      <c r="J1574" s="2"/>
      <c r="K1574" s="4"/>
      <c r="L1574" s="4"/>
      <c r="M1574" s="2"/>
      <c r="N1574" s="2"/>
      <c r="O1574" s="2"/>
      <c r="P1574" s="2"/>
      <c r="Q1574" s="5"/>
      <c r="R1574" s="5"/>
      <c r="S1574" s="2"/>
      <c r="T1574" s="2"/>
      <c r="U1574" s="5"/>
      <c r="V1574" s="5"/>
      <c r="W1574" s="2"/>
      <c r="X1574" s="5"/>
      <c r="Y1574" s="1"/>
      <c r="Z1574" s="1"/>
      <c r="AA1574" s="1"/>
    </row>
    <row r="1575">
      <c r="A1575" s="1"/>
      <c r="B1575" s="14"/>
      <c r="C1575" s="2"/>
      <c r="D1575" s="2"/>
      <c r="E1575" s="2"/>
      <c r="F1575" s="2"/>
      <c r="G1575" s="2"/>
      <c r="H1575" s="3"/>
      <c r="I1575" s="2"/>
      <c r="J1575" s="2"/>
      <c r="K1575" s="4"/>
      <c r="L1575" s="4"/>
      <c r="M1575" s="2"/>
      <c r="N1575" s="2"/>
      <c r="O1575" s="2"/>
      <c r="P1575" s="2"/>
      <c r="Q1575" s="5"/>
      <c r="R1575" s="5"/>
      <c r="S1575" s="2"/>
      <c r="T1575" s="2"/>
      <c r="U1575" s="5"/>
      <c r="V1575" s="5"/>
      <c r="W1575" s="2"/>
      <c r="X1575" s="5"/>
      <c r="Y1575" s="1"/>
      <c r="Z1575" s="1"/>
      <c r="AA1575" s="1"/>
    </row>
    <row r="1576">
      <c r="A1576" s="1"/>
      <c r="B1576" s="14"/>
      <c r="C1576" s="2"/>
      <c r="D1576" s="2"/>
      <c r="E1576" s="2"/>
      <c r="F1576" s="2"/>
      <c r="G1576" s="2"/>
      <c r="H1576" s="3"/>
      <c r="I1576" s="2"/>
      <c r="J1576" s="2"/>
      <c r="K1576" s="4"/>
      <c r="L1576" s="4"/>
      <c r="M1576" s="2"/>
      <c r="N1576" s="2"/>
      <c r="O1576" s="2"/>
      <c r="P1576" s="2"/>
      <c r="Q1576" s="5"/>
      <c r="R1576" s="5"/>
      <c r="S1576" s="2"/>
      <c r="T1576" s="2"/>
      <c r="U1576" s="5"/>
      <c r="V1576" s="5"/>
      <c r="W1576" s="2"/>
      <c r="X1576" s="5"/>
      <c r="Y1576" s="1"/>
      <c r="Z1576" s="1"/>
      <c r="AA1576" s="1"/>
    </row>
    <row r="1577">
      <c r="A1577" s="1"/>
      <c r="B1577" s="14"/>
      <c r="C1577" s="2"/>
      <c r="D1577" s="2"/>
      <c r="E1577" s="2"/>
      <c r="F1577" s="2"/>
      <c r="G1577" s="2"/>
      <c r="H1577" s="3"/>
      <c r="I1577" s="2"/>
      <c r="J1577" s="2"/>
      <c r="K1577" s="4"/>
      <c r="L1577" s="4"/>
      <c r="M1577" s="2"/>
      <c r="N1577" s="2"/>
      <c r="O1577" s="2"/>
      <c r="P1577" s="2"/>
      <c r="Q1577" s="5"/>
      <c r="R1577" s="5"/>
      <c r="S1577" s="2"/>
      <c r="T1577" s="2"/>
      <c r="U1577" s="5"/>
      <c r="V1577" s="5"/>
      <c r="W1577" s="2"/>
      <c r="X1577" s="5"/>
      <c r="Y1577" s="1"/>
      <c r="Z1577" s="1"/>
      <c r="AA1577" s="1"/>
    </row>
    <row r="1578">
      <c r="A1578" s="1"/>
      <c r="B1578" s="14"/>
      <c r="C1578" s="2"/>
      <c r="D1578" s="2"/>
      <c r="E1578" s="2"/>
      <c r="F1578" s="2"/>
      <c r="G1578" s="2"/>
      <c r="H1578" s="3"/>
      <c r="I1578" s="2"/>
      <c r="J1578" s="2"/>
      <c r="K1578" s="4"/>
      <c r="L1578" s="4"/>
      <c r="M1578" s="2"/>
      <c r="N1578" s="2"/>
      <c r="O1578" s="2"/>
      <c r="P1578" s="2"/>
      <c r="Q1578" s="5"/>
      <c r="R1578" s="5"/>
      <c r="S1578" s="2"/>
      <c r="T1578" s="2"/>
      <c r="U1578" s="5"/>
      <c r="V1578" s="5"/>
      <c r="W1578" s="2"/>
      <c r="X1578" s="5"/>
      <c r="Y1578" s="1"/>
      <c r="Z1578" s="1"/>
      <c r="AA1578" s="1"/>
    </row>
    <row r="1579">
      <c r="A1579" s="1"/>
      <c r="B1579" s="14"/>
      <c r="C1579" s="2"/>
      <c r="D1579" s="2"/>
      <c r="E1579" s="2"/>
      <c r="F1579" s="2"/>
      <c r="G1579" s="2"/>
      <c r="H1579" s="3"/>
      <c r="I1579" s="2"/>
      <c r="J1579" s="2"/>
      <c r="K1579" s="4"/>
      <c r="L1579" s="4"/>
      <c r="M1579" s="2"/>
      <c r="N1579" s="2"/>
      <c r="O1579" s="2"/>
      <c r="P1579" s="2"/>
      <c r="Q1579" s="5"/>
      <c r="R1579" s="5"/>
      <c r="S1579" s="2"/>
      <c r="T1579" s="2"/>
      <c r="U1579" s="5"/>
      <c r="V1579" s="5"/>
      <c r="W1579" s="2"/>
      <c r="X1579" s="5"/>
      <c r="Y1579" s="1"/>
      <c r="Z1579" s="1"/>
      <c r="AA1579" s="1"/>
    </row>
    <row r="1580">
      <c r="A1580" s="1"/>
      <c r="B1580" s="14"/>
      <c r="C1580" s="2"/>
      <c r="D1580" s="2"/>
      <c r="E1580" s="2"/>
      <c r="F1580" s="2"/>
      <c r="G1580" s="2"/>
      <c r="H1580" s="3"/>
      <c r="I1580" s="2"/>
      <c r="J1580" s="2"/>
      <c r="K1580" s="4"/>
      <c r="L1580" s="4"/>
      <c r="M1580" s="2"/>
      <c r="N1580" s="2"/>
      <c r="O1580" s="2"/>
      <c r="P1580" s="2"/>
      <c r="Q1580" s="5"/>
      <c r="R1580" s="5"/>
      <c r="S1580" s="2"/>
      <c r="T1580" s="2"/>
      <c r="U1580" s="5"/>
      <c r="V1580" s="5"/>
      <c r="W1580" s="2"/>
      <c r="X1580" s="5"/>
      <c r="Y1580" s="1"/>
      <c r="Z1580" s="1"/>
      <c r="AA1580" s="1"/>
    </row>
    <row r="1581">
      <c r="A1581" s="1"/>
      <c r="B1581" s="14"/>
      <c r="C1581" s="2"/>
      <c r="D1581" s="2"/>
      <c r="E1581" s="2"/>
      <c r="F1581" s="2"/>
      <c r="G1581" s="2"/>
      <c r="H1581" s="3"/>
      <c r="I1581" s="2"/>
      <c r="J1581" s="2"/>
      <c r="K1581" s="4"/>
      <c r="L1581" s="4"/>
      <c r="M1581" s="2"/>
      <c r="N1581" s="2"/>
      <c r="O1581" s="2"/>
      <c r="P1581" s="2"/>
      <c r="Q1581" s="5"/>
      <c r="R1581" s="5"/>
      <c r="S1581" s="2"/>
      <c r="T1581" s="2"/>
      <c r="U1581" s="5"/>
      <c r="V1581" s="5"/>
      <c r="W1581" s="2"/>
      <c r="X1581" s="5"/>
      <c r="Y1581" s="1"/>
      <c r="Z1581" s="1"/>
      <c r="AA1581" s="1"/>
    </row>
    <row r="1582">
      <c r="A1582" s="1"/>
      <c r="B1582" s="14"/>
      <c r="C1582" s="2"/>
      <c r="D1582" s="2"/>
      <c r="E1582" s="2"/>
      <c r="F1582" s="2"/>
      <c r="G1582" s="2"/>
      <c r="H1582" s="3"/>
      <c r="I1582" s="2"/>
      <c r="J1582" s="2"/>
      <c r="K1582" s="4"/>
      <c r="L1582" s="4"/>
      <c r="M1582" s="2"/>
      <c r="N1582" s="2"/>
      <c r="O1582" s="2"/>
      <c r="P1582" s="2"/>
      <c r="Q1582" s="5"/>
      <c r="R1582" s="5"/>
      <c r="S1582" s="2"/>
      <c r="T1582" s="2"/>
      <c r="U1582" s="5"/>
      <c r="V1582" s="5"/>
      <c r="W1582" s="2"/>
      <c r="X1582" s="5"/>
      <c r="Y1582" s="1"/>
      <c r="Z1582" s="1"/>
      <c r="AA1582" s="1"/>
    </row>
    <row r="1583">
      <c r="A1583" s="1"/>
      <c r="B1583" s="14"/>
      <c r="C1583" s="2"/>
      <c r="D1583" s="2"/>
      <c r="E1583" s="2"/>
      <c r="F1583" s="2"/>
      <c r="G1583" s="2"/>
      <c r="H1583" s="3"/>
      <c r="I1583" s="2"/>
      <c r="J1583" s="2"/>
      <c r="K1583" s="4"/>
      <c r="L1583" s="4"/>
      <c r="M1583" s="2"/>
      <c r="N1583" s="2"/>
      <c r="O1583" s="2"/>
      <c r="P1583" s="2"/>
      <c r="Q1583" s="5"/>
      <c r="R1583" s="5"/>
      <c r="S1583" s="2"/>
      <c r="T1583" s="2"/>
      <c r="U1583" s="5"/>
      <c r="V1583" s="5"/>
      <c r="W1583" s="2"/>
      <c r="X1583" s="5"/>
      <c r="Y1583" s="1"/>
      <c r="Z1583" s="1"/>
      <c r="AA1583" s="1"/>
    </row>
    <row r="1584">
      <c r="A1584" s="1"/>
      <c r="B1584" s="14"/>
      <c r="C1584" s="2"/>
      <c r="D1584" s="2"/>
      <c r="E1584" s="2"/>
      <c r="F1584" s="2"/>
      <c r="G1584" s="2"/>
      <c r="H1584" s="3"/>
      <c r="I1584" s="2"/>
      <c r="J1584" s="2"/>
      <c r="K1584" s="4"/>
      <c r="L1584" s="4"/>
      <c r="M1584" s="2"/>
      <c r="N1584" s="2"/>
      <c r="O1584" s="2"/>
      <c r="P1584" s="2"/>
      <c r="Q1584" s="5"/>
      <c r="R1584" s="5"/>
      <c r="S1584" s="2"/>
      <c r="T1584" s="2"/>
      <c r="U1584" s="5"/>
      <c r="V1584" s="5"/>
      <c r="W1584" s="2"/>
      <c r="X1584" s="5"/>
      <c r="Y1584" s="1"/>
      <c r="Z1584" s="1"/>
      <c r="AA1584" s="1"/>
    </row>
    <row r="1585">
      <c r="A1585" s="1"/>
      <c r="B1585" s="14"/>
      <c r="C1585" s="2"/>
      <c r="D1585" s="2"/>
      <c r="E1585" s="2"/>
      <c r="F1585" s="2"/>
      <c r="G1585" s="2"/>
      <c r="H1585" s="3"/>
      <c r="I1585" s="2"/>
      <c r="J1585" s="2"/>
      <c r="K1585" s="4"/>
      <c r="L1585" s="4"/>
      <c r="M1585" s="2"/>
      <c r="N1585" s="2"/>
      <c r="O1585" s="2"/>
      <c r="P1585" s="2"/>
      <c r="Q1585" s="5"/>
      <c r="R1585" s="5"/>
      <c r="S1585" s="2"/>
      <c r="T1585" s="2"/>
      <c r="U1585" s="5"/>
      <c r="V1585" s="5"/>
      <c r="W1585" s="2"/>
      <c r="X1585" s="5"/>
      <c r="Y1585" s="1"/>
      <c r="Z1585" s="1"/>
      <c r="AA1585" s="1"/>
    </row>
    <row r="1586">
      <c r="A1586" s="1"/>
      <c r="B1586" s="14"/>
      <c r="C1586" s="2"/>
      <c r="D1586" s="2"/>
      <c r="E1586" s="2"/>
      <c r="F1586" s="2"/>
      <c r="G1586" s="2"/>
      <c r="H1586" s="3"/>
      <c r="I1586" s="2"/>
      <c r="J1586" s="2"/>
      <c r="K1586" s="4"/>
      <c r="L1586" s="4"/>
      <c r="M1586" s="2"/>
      <c r="N1586" s="2"/>
      <c r="O1586" s="2"/>
      <c r="P1586" s="2"/>
      <c r="Q1586" s="5"/>
      <c r="R1586" s="5"/>
      <c r="S1586" s="2"/>
      <c r="T1586" s="2"/>
      <c r="U1586" s="5"/>
      <c r="V1586" s="5"/>
      <c r="W1586" s="2"/>
      <c r="X1586" s="5"/>
      <c r="Y1586" s="1"/>
      <c r="Z1586" s="1"/>
      <c r="AA1586" s="1"/>
    </row>
    <row r="1587">
      <c r="A1587" s="1"/>
      <c r="B1587" s="14"/>
      <c r="C1587" s="2"/>
      <c r="D1587" s="2"/>
      <c r="E1587" s="2"/>
      <c r="F1587" s="2"/>
      <c r="G1587" s="2"/>
      <c r="H1587" s="3"/>
      <c r="I1587" s="2"/>
      <c r="J1587" s="2"/>
      <c r="K1587" s="4"/>
      <c r="L1587" s="4"/>
      <c r="M1587" s="2"/>
      <c r="N1587" s="2"/>
      <c r="O1587" s="2"/>
      <c r="P1587" s="2"/>
      <c r="Q1587" s="5"/>
      <c r="R1587" s="5"/>
      <c r="S1587" s="2"/>
      <c r="T1587" s="2"/>
      <c r="U1587" s="5"/>
      <c r="V1587" s="5"/>
      <c r="W1587" s="2"/>
      <c r="X1587" s="5"/>
      <c r="Y1587" s="1"/>
      <c r="Z1587" s="1"/>
      <c r="AA1587" s="1"/>
    </row>
    <row r="1588">
      <c r="A1588" s="1"/>
      <c r="B1588" s="14"/>
      <c r="C1588" s="2"/>
      <c r="D1588" s="2"/>
      <c r="E1588" s="2"/>
      <c r="F1588" s="2"/>
      <c r="G1588" s="2"/>
      <c r="H1588" s="3"/>
      <c r="I1588" s="2"/>
      <c r="J1588" s="2"/>
      <c r="K1588" s="4"/>
      <c r="L1588" s="4"/>
      <c r="M1588" s="2"/>
      <c r="N1588" s="2"/>
      <c r="O1588" s="2"/>
      <c r="P1588" s="2"/>
      <c r="Q1588" s="5"/>
      <c r="R1588" s="5"/>
      <c r="S1588" s="2"/>
      <c r="T1588" s="2"/>
      <c r="U1588" s="5"/>
      <c r="V1588" s="5"/>
      <c r="W1588" s="2"/>
      <c r="X1588" s="5"/>
      <c r="Y1588" s="1"/>
      <c r="Z1588" s="1"/>
      <c r="AA1588" s="1"/>
    </row>
    <row r="1589">
      <c r="A1589" s="1"/>
      <c r="B1589" s="14"/>
      <c r="C1589" s="2"/>
      <c r="D1589" s="2"/>
      <c r="E1589" s="2"/>
      <c r="F1589" s="2"/>
      <c r="G1589" s="2"/>
      <c r="H1589" s="3"/>
      <c r="I1589" s="2"/>
      <c r="J1589" s="2"/>
      <c r="K1589" s="4"/>
      <c r="L1589" s="4"/>
      <c r="M1589" s="2"/>
      <c r="N1589" s="2"/>
      <c r="O1589" s="2"/>
      <c r="P1589" s="2"/>
      <c r="Q1589" s="5"/>
      <c r="R1589" s="5"/>
      <c r="S1589" s="2"/>
      <c r="T1589" s="2"/>
      <c r="U1589" s="5"/>
      <c r="V1589" s="5"/>
      <c r="W1589" s="2"/>
      <c r="X1589" s="5"/>
      <c r="Y1589" s="1"/>
      <c r="Z1589" s="1"/>
      <c r="AA1589" s="1"/>
    </row>
    <row r="1590">
      <c r="A1590" s="1"/>
      <c r="B1590" s="14"/>
      <c r="C1590" s="2"/>
      <c r="D1590" s="2"/>
      <c r="E1590" s="2"/>
      <c r="F1590" s="2"/>
      <c r="G1590" s="2"/>
      <c r="H1590" s="3"/>
      <c r="I1590" s="2"/>
      <c r="J1590" s="2"/>
      <c r="K1590" s="4"/>
      <c r="L1590" s="4"/>
      <c r="M1590" s="2"/>
      <c r="N1590" s="2"/>
      <c r="O1590" s="2"/>
      <c r="P1590" s="2"/>
      <c r="Q1590" s="5"/>
      <c r="R1590" s="5"/>
      <c r="S1590" s="2"/>
      <c r="T1590" s="2"/>
      <c r="U1590" s="5"/>
      <c r="V1590" s="5"/>
      <c r="W1590" s="2"/>
      <c r="X1590" s="5"/>
      <c r="Y1590" s="1"/>
      <c r="Z1590" s="1"/>
      <c r="AA1590" s="1"/>
    </row>
    <row r="1591">
      <c r="A1591" s="1"/>
      <c r="B1591" s="14"/>
      <c r="C1591" s="2"/>
      <c r="D1591" s="2"/>
      <c r="E1591" s="2"/>
      <c r="F1591" s="2"/>
      <c r="G1591" s="2"/>
      <c r="H1591" s="3"/>
      <c r="I1591" s="2"/>
      <c r="J1591" s="2"/>
      <c r="K1591" s="4"/>
      <c r="L1591" s="4"/>
      <c r="M1591" s="2"/>
      <c r="N1591" s="2"/>
      <c r="O1591" s="2"/>
      <c r="P1591" s="2"/>
      <c r="Q1591" s="5"/>
      <c r="R1591" s="5"/>
      <c r="S1591" s="2"/>
      <c r="T1591" s="2"/>
      <c r="U1591" s="5"/>
      <c r="V1591" s="5"/>
      <c r="W1591" s="2"/>
      <c r="X1591" s="5"/>
      <c r="Y1591" s="1"/>
      <c r="Z1591" s="1"/>
      <c r="AA1591" s="1"/>
    </row>
    <row r="1592">
      <c r="A1592" s="1"/>
      <c r="B1592" s="14"/>
      <c r="C1592" s="2"/>
      <c r="D1592" s="2"/>
      <c r="E1592" s="2"/>
      <c r="F1592" s="2"/>
      <c r="G1592" s="2"/>
      <c r="H1592" s="3"/>
      <c r="I1592" s="2"/>
      <c r="J1592" s="2"/>
      <c r="K1592" s="4"/>
      <c r="L1592" s="4"/>
      <c r="M1592" s="2"/>
      <c r="N1592" s="2"/>
      <c r="O1592" s="2"/>
      <c r="P1592" s="2"/>
      <c r="Q1592" s="5"/>
      <c r="R1592" s="5"/>
      <c r="S1592" s="2"/>
      <c r="T1592" s="2"/>
      <c r="U1592" s="5"/>
      <c r="V1592" s="5"/>
      <c r="W1592" s="2"/>
      <c r="X1592" s="5"/>
      <c r="Y1592" s="1"/>
      <c r="Z1592" s="1"/>
      <c r="AA1592" s="1"/>
    </row>
    <row r="1593">
      <c r="A1593" s="1"/>
      <c r="B1593" s="14"/>
      <c r="C1593" s="2"/>
      <c r="D1593" s="2"/>
      <c r="E1593" s="2"/>
      <c r="F1593" s="2"/>
      <c r="G1593" s="2"/>
      <c r="H1593" s="3"/>
      <c r="I1593" s="2"/>
      <c r="J1593" s="2"/>
      <c r="K1593" s="4"/>
      <c r="L1593" s="4"/>
      <c r="M1593" s="2"/>
      <c r="N1593" s="2"/>
      <c r="O1593" s="2"/>
      <c r="P1593" s="2"/>
      <c r="Q1593" s="5"/>
      <c r="R1593" s="5"/>
      <c r="S1593" s="2"/>
      <c r="T1593" s="2"/>
      <c r="U1593" s="5"/>
      <c r="V1593" s="5"/>
      <c r="W1593" s="2"/>
      <c r="X1593" s="5"/>
      <c r="Y1593" s="1"/>
      <c r="Z1593" s="1"/>
      <c r="AA1593" s="1"/>
    </row>
    <row r="1594">
      <c r="A1594" s="1"/>
      <c r="B1594" s="14"/>
      <c r="C1594" s="2"/>
      <c r="D1594" s="2"/>
      <c r="E1594" s="2"/>
      <c r="F1594" s="2"/>
      <c r="G1594" s="2"/>
      <c r="H1594" s="3"/>
      <c r="I1594" s="2"/>
      <c r="J1594" s="2"/>
      <c r="K1594" s="4"/>
      <c r="L1594" s="4"/>
      <c r="M1594" s="2"/>
      <c r="N1594" s="2"/>
      <c r="O1594" s="2"/>
      <c r="P1594" s="2"/>
      <c r="Q1594" s="5"/>
      <c r="R1594" s="5"/>
      <c r="S1594" s="2"/>
      <c r="T1594" s="2"/>
      <c r="U1594" s="5"/>
      <c r="V1594" s="5"/>
      <c r="W1594" s="2"/>
      <c r="X1594" s="5"/>
      <c r="Y1594" s="1"/>
      <c r="Z1594" s="1"/>
      <c r="AA1594" s="1"/>
    </row>
    <row r="1595">
      <c r="A1595" s="1"/>
      <c r="B1595" s="14"/>
      <c r="C1595" s="2"/>
      <c r="D1595" s="2"/>
      <c r="E1595" s="2"/>
      <c r="F1595" s="2"/>
      <c r="G1595" s="2"/>
      <c r="H1595" s="3"/>
      <c r="I1595" s="2"/>
      <c r="J1595" s="2"/>
      <c r="K1595" s="4"/>
      <c r="L1595" s="4"/>
      <c r="M1595" s="2"/>
      <c r="N1595" s="2"/>
      <c r="O1595" s="2"/>
      <c r="P1595" s="2"/>
      <c r="Q1595" s="5"/>
      <c r="R1595" s="5"/>
      <c r="S1595" s="2"/>
      <c r="T1595" s="2"/>
      <c r="U1595" s="5"/>
      <c r="V1595" s="5"/>
      <c r="W1595" s="2"/>
      <c r="X1595" s="5"/>
      <c r="Y1595" s="1"/>
      <c r="Z1595" s="1"/>
      <c r="AA1595" s="1"/>
    </row>
    <row r="1596">
      <c r="A1596" s="1"/>
      <c r="B1596" s="14"/>
      <c r="C1596" s="2"/>
      <c r="D1596" s="2"/>
      <c r="E1596" s="2"/>
      <c r="F1596" s="2"/>
      <c r="G1596" s="2"/>
      <c r="H1596" s="3"/>
      <c r="I1596" s="2"/>
      <c r="J1596" s="2"/>
      <c r="K1596" s="4"/>
      <c r="L1596" s="4"/>
      <c r="M1596" s="2"/>
      <c r="N1596" s="2"/>
      <c r="O1596" s="2"/>
      <c r="P1596" s="2"/>
      <c r="Q1596" s="5"/>
      <c r="R1596" s="5"/>
      <c r="S1596" s="2"/>
      <c r="T1596" s="2"/>
      <c r="U1596" s="5"/>
      <c r="V1596" s="5"/>
      <c r="W1596" s="2"/>
      <c r="X1596" s="5"/>
      <c r="Y1596" s="1"/>
      <c r="Z1596" s="1"/>
      <c r="AA1596" s="1"/>
    </row>
    <row r="1597">
      <c r="A1597" s="1"/>
      <c r="B1597" s="14"/>
      <c r="C1597" s="2"/>
      <c r="D1597" s="2"/>
      <c r="E1597" s="2"/>
      <c r="F1597" s="2"/>
      <c r="G1597" s="2"/>
      <c r="H1597" s="3"/>
      <c r="I1597" s="2"/>
      <c r="J1597" s="2"/>
      <c r="K1597" s="4"/>
      <c r="L1597" s="4"/>
      <c r="M1597" s="2"/>
      <c r="N1597" s="2"/>
      <c r="O1597" s="2"/>
      <c r="P1597" s="2"/>
      <c r="Q1597" s="5"/>
      <c r="R1597" s="5"/>
      <c r="S1597" s="2"/>
      <c r="T1597" s="2"/>
      <c r="U1597" s="5"/>
      <c r="V1597" s="5"/>
      <c r="W1597" s="2"/>
      <c r="X1597" s="5"/>
      <c r="Y1597" s="1"/>
      <c r="Z1597" s="1"/>
      <c r="AA1597" s="1"/>
    </row>
    <row r="1598">
      <c r="A1598" s="1"/>
      <c r="B1598" s="14"/>
      <c r="C1598" s="2"/>
      <c r="D1598" s="2"/>
      <c r="E1598" s="2"/>
      <c r="F1598" s="2"/>
      <c r="G1598" s="2"/>
      <c r="H1598" s="3"/>
      <c r="I1598" s="2"/>
      <c r="J1598" s="2"/>
      <c r="K1598" s="4"/>
      <c r="L1598" s="4"/>
      <c r="M1598" s="2"/>
      <c r="N1598" s="2"/>
      <c r="O1598" s="2"/>
      <c r="P1598" s="2"/>
      <c r="Q1598" s="5"/>
      <c r="R1598" s="5"/>
      <c r="S1598" s="2"/>
      <c r="T1598" s="2"/>
      <c r="U1598" s="5"/>
      <c r="V1598" s="5"/>
      <c r="W1598" s="2"/>
      <c r="X1598" s="5"/>
      <c r="Y1598" s="1"/>
      <c r="Z1598" s="1"/>
      <c r="AA1598" s="1"/>
    </row>
    <row r="1599">
      <c r="A1599" s="1"/>
      <c r="B1599" s="14"/>
      <c r="C1599" s="2"/>
      <c r="D1599" s="2"/>
      <c r="E1599" s="2"/>
      <c r="F1599" s="2"/>
      <c r="G1599" s="2"/>
      <c r="H1599" s="3"/>
      <c r="I1599" s="2"/>
      <c r="J1599" s="2"/>
      <c r="K1599" s="4"/>
      <c r="L1599" s="4"/>
      <c r="M1599" s="2"/>
      <c r="N1599" s="2"/>
      <c r="O1599" s="2"/>
      <c r="P1599" s="2"/>
      <c r="Q1599" s="5"/>
      <c r="R1599" s="5"/>
      <c r="S1599" s="2"/>
      <c r="T1599" s="2"/>
      <c r="U1599" s="5"/>
      <c r="V1599" s="5"/>
      <c r="W1599" s="2"/>
      <c r="X1599" s="5"/>
      <c r="Y1599" s="1"/>
      <c r="Z1599" s="1"/>
      <c r="AA1599" s="1"/>
    </row>
    <row r="1600">
      <c r="A1600" s="1"/>
      <c r="B1600" s="14"/>
      <c r="C1600" s="2"/>
      <c r="D1600" s="2"/>
      <c r="E1600" s="2"/>
      <c r="F1600" s="2"/>
      <c r="G1600" s="2"/>
      <c r="H1600" s="3"/>
      <c r="I1600" s="2"/>
      <c r="J1600" s="2"/>
      <c r="K1600" s="4"/>
      <c r="L1600" s="4"/>
      <c r="M1600" s="2"/>
      <c r="N1600" s="2"/>
      <c r="O1600" s="2"/>
      <c r="P1600" s="2"/>
      <c r="Q1600" s="5"/>
      <c r="R1600" s="5"/>
      <c r="S1600" s="2"/>
      <c r="T1600" s="2"/>
      <c r="U1600" s="5"/>
      <c r="V1600" s="5"/>
      <c r="W1600" s="2"/>
      <c r="X1600" s="5"/>
      <c r="Y1600" s="1"/>
      <c r="Z1600" s="1"/>
      <c r="AA1600" s="1"/>
    </row>
    <row r="1601">
      <c r="A1601" s="1"/>
      <c r="B1601" s="14"/>
      <c r="C1601" s="2"/>
      <c r="D1601" s="2"/>
      <c r="E1601" s="2"/>
      <c r="F1601" s="2"/>
      <c r="G1601" s="2"/>
      <c r="H1601" s="3"/>
      <c r="I1601" s="2"/>
      <c r="J1601" s="2"/>
      <c r="K1601" s="4"/>
      <c r="L1601" s="4"/>
      <c r="M1601" s="2"/>
      <c r="N1601" s="2"/>
      <c r="O1601" s="2"/>
      <c r="P1601" s="2"/>
      <c r="Q1601" s="5"/>
      <c r="R1601" s="5"/>
      <c r="S1601" s="2"/>
      <c r="T1601" s="2"/>
      <c r="U1601" s="5"/>
      <c r="V1601" s="5"/>
      <c r="W1601" s="2"/>
      <c r="X1601" s="5"/>
      <c r="Y1601" s="1"/>
      <c r="Z1601" s="1"/>
      <c r="AA1601" s="1"/>
    </row>
    <row r="1602">
      <c r="A1602" s="1"/>
      <c r="B1602" s="14"/>
      <c r="C1602" s="2"/>
      <c r="D1602" s="2"/>
      <c r="E1602" s="2"/>
      <c r="F1602" s="2"/>
      <c r="G1602" s="2"/>
      <c r="H1602" s="3"/>
      <c r="I1602" s="2"/>
      <c r="J1602" s="2"/>
      <c r="K1602" s="4"/>
      <c r="L1602" s="4"/>
      <c r="M1602" s="2"/>
      <c r="N1602" s="2"/>
      <c r="O1602" s="2"/>
      <c r="P1602" s="2"/>
      <c r="Q1602" s="5"/>
      <c r="R1602" s="5"/>
      <c r="S1602" s="2"/>
      <c r="T1602" s="2"/>
      <c r="U1602" s="5"/>
      <c r="V1602" s="5"/>
      <c r="W1602" s="2"/>
      <c r="X1602" s="5"/>
      <c r="Y1602" s="1"/>
      <c r="Z1602" s="1"/>
      <c r="AA1602" s="1"/>
    </row>
    <row r="1603">
      <c r="A1603" s="1"/>
      <c r="B1603" s="14"/>
      <c r="C1603" s="2"/>
      <c r="D1603" s="2"/>
      <c r="E1603" s="2"/>
      <c r="F1603" s="2"/>
      <c r="G1603" s="2"/>
      <c r="H1603" s="3"/>
      <c r="I1603" s="2"/>
      <c r="J1603" s="2"/>
      <c r="K1603" s="4"/>
      <c r="L1603" s="4"/>
      <c r="M1603" s="2"/>
      <c r="N1603" s="2"/>
      <c r="O1603" s="2"/>
      <c r="P1603" s="2"/>
      <c r="Q1603" s="5"/>
      <c r="R1603" s="5"/>
      <c r="S1603" s="2"/>
      <c r="T1603" s="2"/>
      <c r="U1603" s="5"/>
      <c r="V1603" s="5"/>
      <c r="W1603" s="2"/>
      <c r="X1603" s="5"/>
      <c r="Y1603" s="1"/>
      <c r="Z1603" s="1"/>
      <c r="AA1603" s="1"/>
    </row>
    <row r="1604">
      <c r="A1604" s="1"/>
      <c r="B1604" s="14"/>
      <c r="C1604" s="2"/>
      <c r="D1604" s="2"/>
      <c r="E1604" s="2"/>
      <c r="F1604" s="2"/>
      <c r="G1604" s="2"/>
      <c r="H1604" s="3"/>
      <c r="I1604" s="2"/>
      <c r="J1604" s="2"/>
      <c r="K1604" s="4"/>
      <c r="L1604" s="4"/>
      <c r="M1604" s="2"/>
      <c r="N1604" s="2"/>
      <c r="O1604" s="2"/>
      <c r="P1604" s="2"/>
      <c r="Q1604" s="5"/>
      <c r="R1604" s="5"/>
      <c r="S1604" s="2"/>
      <c r="T1604" s="2"/>
      <c r="U1604" s="5"/>
      <c r="V1604" s="5"/>
      <c r="W1604" s="2"/>
      <c r="X1604" s="5"/>
      <c r="Y1604" s="1"/>
      <c r="Z1604" s="1"/>
      <c r="AA1604" s="1"/>
    </row>
    <row r="1605">
      <c r="A1605" s="1"/>
      <c r="B1605" s="14"/>
      <c r="C1605" s="2"/>
      <c r="D1605" s="2"/>
      <c r="E1605" s="2"/>
      <c r="F1605" s="2"/>
      <c r="G1605" s="2"/>
      <c r="H1605" s="3"/>
      <c r="I1605" s="2"/>
      <c r="J1605" s="2"/>
      <c r="K1605" s="4"/>
      <c r="L1605" s="4"/>
      <c r="M1605" s="2"/>
      <c r="N1605" s="2"/>
      <c r="O1605" s="2"/>
      <c r="P1605" s="2"/>
      <c r="Q1605" s="5"/>
      <c r="R1605" s="5"/>
      <c r="S1605" s="2"/>
      <c r="T1605" s="2"/>
      <c r="U1605" s="5"/>
      <c r="V1605" s="5"/>
      <c r="W1605" s="2"/>
      <c r="X1605" s="5"/>
      <c r="Y1605" s="1"/>
      <c r="Z1605" s="1"/>
      <c r="AA1605" s="1"/>
    </row>
    <row r="1606">
      <c r="A1606" s="1"/>
      <c r="B1606" s="14"/>
      <c r="C1606" s="2"/>
      <c r="D1606" s="2"/>
      <c r="E1606" s="2"/>
      <c r="F1606" s="2"/>
      <c r="G1606" s="2"/>
      <c r="H1606" s="3"/>
      <c r="I1606" s="2"/>
      <c r="J1606" s="2"/>
      <c r="K1606" s="4"/>
      <c r="L1606" s="4"/>
      <c r="M1606" s="2"/>
      <c r="N1606" s="2"/>
      <c r="O1606" s="2"/>
      <c r="P1606" s="2"/>
      <c r="Q1606" s="5"/>
      <c r="R1606" s="5"/>
      <c r="S1606" s="2"/>
      <c r="T1606" s="2"/>
      <c r="U1606" s="5"/>
      <c r="V1606" s="5"/>
      <c r="W1606" s="2"/>
      <c r="X1606" s="5"/>
      <c r="Y1606" s="1"/>
      <c r="Z1606" s="1"/>
      <c r="AA1606" s="1"/>
    </row>
    <row r="1607">
      <c r="A1607" s="1"/>
      <c r="B1607" s="14"/>
      <c r="C1607" s="2"/>
      <c r="D1607" s="2"/>
      <c r="E1607" s="2"/>
      <c r="F1607" s="2"/>
      <c r="G1607" s="2"/>
      <c r="H1607" s="3"/>
      <c r="I1607" s="2"/>
      <c r="J1607" s="2"/>
      <c r="K1607" s="4"/>
      <c r="L1607" s="4"/>
      <c r="M1607" s="2"/>
      <c r="N1607" s="2"/>
      <c r="O1607" s="2"/>
      <c r="P1607" s="2"/>
      <c r="Q1607" s="5"/>
      <c r="R1607" s="5"/>
      <c r="S1607" s="2"/>
      <c r="T1607" s="2"/>
      <c r="U1607" s="5"/>
      <c r="V1607" s="5"/>
      <c r="W1607" s="2"/>
      <c r="X1607" s="5"/>
      <c r="Y1607" s="1"/>
      <c r="Z1607" s="1"/>
      <c r="AA1607" s="1"/>
    </row>
    <row r="1608">
      <c r="A1608" s="1"/>
      <c r="B1608" s="14"/>
      <c r="C1608" s="2"/>
      <c r="D1608" s="2"/>
      <c r="E1608" s="2"/>
      <c r="F1608" s="2"/>
      <c r="G1608" s="2"/>
      <c r="H1608" s="3"/>
      <c r="I1608" s="2"/>
      <c r="J1608" s="2"/>
      <c r="K1608" s="4"/>
      <c r="L1608" s="4"/>
      <c r="M1608" s="2"/>
      <c r="N1608" s="2"/>
      <c r="O1608" s="2"/>
      <c r="P1608" s="2"/>
      <c r="Q1608" s="5"/>
      <c r="R1608" s="5"/>
      <c r="S1608" s="2"/>
      <c r="T1608" s="2"/>
      <c r="U1608" s="5"/>
      <c r="V1608" s="5"/>
      <c r="W1608" s="2"/>
      <c r="X1608" s="5"/>
      <c r="Y1608" s="1"/>
      <c r="Z1608" s="1"/>
      <c r="AA1608" s="1"/>
    </row>
    <row r="1609">
      <c r="A1609" s="1"/>
      <c r="B1609" s="14"/>
      <c r="C1609" s="2"/>
      <c r="D1609" s="2"/>
      <c r="E1609" s="2"/>
      <c r="F1609" s="2"/>
      <c r="G1609" s="2"/>
      <c r="H1609" s="3"/>
      <c r="I1609" s="2"/>
      <c r="J1609" s="2"/>
      <c r="K1609" s="4"/>
      <c r="L1609" s="4"/>
      <c r="M1609" s="2"/>
      <c r="N1609" s="2"/>
      <c r="O1609" s="2"/>
      <c r="P1609" s="2"/>
      <c r="Q1609" s="5"/>
      <c r="R1609" s="5"/>
      <c r="S1609" s="2"/>
      <c r="T1609" s="2"/>
      <c r="U1609" s="5"/>
      <c r="V1609" s="5"/>
      <c r="W1609" s="2"/>
      <c r="X1609" s="5"/>
      <c r="Y1609" s="1"/>
      <c r="Z1609" s="1"/>
      <c r="AA1609" s="1"/>
    </row>
    <row r="1610">
      <c r="A1610" s="1"/>
      <c r="B1610" s="14"/>
      <c r="C1610" s="2"/>
      <c r="D1610" s="2"/>
      <c r="E1610" s="2"/>
      <c r="F1610" s="2"/>
      <c r="G1610" s="2"/>
      <c r="H1610" s="3"/>
      <c r="I1610" s="2"/>
      <c r="J1610" s="2"/>
      <c r="K1610" s="4"/>
      <c r="L1610" s="4"/>
      <c r="M1610" s="2"/>
      <c r="N1610" s="2"/>
      <c r="O1610" s="2"/>
      <c r="P1610" s="2"/>
      <c r="Q1610" s="5"/>
      <c r="R1610" s="5"/>
      <c r="S1610" s="2"/>
      <c r="T1610" s="2"/>
      <c r="U1610" s="5"/>
      <c r="V1610" s="5"/>
      <c r="W1610" s="2"/>
      <c r="X1610" s="5"/>
      <c r="Y1610" s="1"/>
      <c r="Z1610" s="1"/>
      <c r="AA1610" s="1"/>
    </row>
    <row r="1611">
      <c r="A1611" s="1"/>
      <c r="B1611" s="14"/>
      <c r="C1611" s="2"/>
      <c r="D1611" s="2"/>
      <c r="E1611" s="2"/>
      <c r="F1611" s="2"/>
      <c r="G1611" s="2"/>
      <c r="H1611" s="3"/>
      <c r="I1611" s="2"/>
      <c r="J1611" s="2"/>
      <c r="K1611" s="4"/>
      <c r="L1611" s="4"/>
      <c r="M1611" s="2"/>
      <c r="N1611" s="2"/>
      <c r="O1611" s="2"/>
      <c r="P1611" s="2"/>
      <c r="Q1611" s="5"/>
      <c r="R1611" s="5"/>
      <c r="S1611" s="2"/>
      <c r="T1611" s="2"/>
      <c r="U1611" s="5"/>
      <c r="V1611" s="5"/>
      <c r="W1611" s="2"/>
      <c r="X1611" s="5"/>
      <c r="Y1611" s="1"/>
      <c r="Z1611" s="1"/>
      <c r="AA1611" s="1"/>
    </row>
    <row r="1612">
      <c r="A1612" s="1"/>
      <c r="B1612" s="14"/>
      <c r="C1612" s="2"/>
      <c r="D1612" s="2"/>
      <c r="E1612" s="2"/>
      <c r="F1612" s="2"/>
      <c r="G1612" s="2"/>
      <c r="H1612" s="3"/>
      <c r="I1612" s="2"/>
      <c r="J1612" s="2"/>
      <c r="K1612" s="4"/>
      <c r="L1612" s="4"/>
      <c r="M1612" s="2"/>
      <c r="N1612" s="2"/>
      <c r="O1612" s="2"/>
      <c r="P1612" s="2"/>
      <c r="Q1612" s="5"/>
      <c r="R1612" s="5"/>
      <c r="S1612" s="2"/>
      <c r="T1612" s="2"/>
      <c r="U1612" s="5"/>
      <c r="V1612" s="5"/>
      <c r="W1612" s="2"/>
      <c r="X1612" s="5"/>
      <c r="Y1612" s="1"/>
      <c r="Z1612" s="1"/>
      <c r="AA1612" s="1"/>
    </row>
    <row r="1613">
      <c r="A1613" s="1"/>
      <c r="B1613" s="14"/>
      <c r="C1613" s="2"/>
      <c r="D1613" s="2"/>
      <c r="E1613" s="2"/>
      <c r="F1613" s="2"/>
      <c r="G1613" s="2"/>
      <c r="H1613" s="3"/>
      <c r="I1613" s="2"/>
      <c r="J1613" s="2"/>
      <c r="K1613" s="4"/>
      <c r="L1613" s="4"/>
      <c r="M1613" s="2"/>
      <c r="N1613" s="2"/>
      <c r="O1613" s="2"/>
      <c r="P1613" s="2"/>
      <c r="Q1613" s="5"/>
      <c r="R1613" s="5"/>
      <c r="S1613" s="2"/>
      <c r="T1613" s="2"/>
      <c r="U1613" s="5"/>
      <c r="V1613" s="5"/>
      <c r="W1613" s="2"/>
      <c r="X1613" s="5"/>
      <c r="Y1613" s="1"/>
      <c r="Z1613" s="1"/>
      <c r="AA1613" s="1"/>
    </row>
    <row r="1614">
      <c r="A1614" s="1"/>
      <c r="B1614" s="14"/>
      <c r="C1614" s="2"/>
      <c r="D1614" s="2"/>
      <c r="E1614" s="2"/>
      <c r="F1614" s="2"/>
      <c r="G1614" s="2"/>
      <c r="H1614" s="3"/>
      <c r="I1614" s="2"/>
      <c r="J1614" s="2"/>
      <c r="K1614" s="4"/>
      <c r="L1614" s="4"/>
      <c r="M1614" s="2"/>
      <c r="N1614" s="2"/>
      <c r="O1614" s="2"/>
      <c r="P1614" s="2"/>
      <c r="Q1614" s="5"/>
      <c r="R1614" s="5"/>
      <c r="S1614" s="2"/>
      <c r="T1614" s="2"/>
      <c r="U1614" s="5"/>
      <c r="V1614" s="5"/>
      <c r="W1614" s="2"/>
      <c r="X1614" s="5"/>
      <c r="Y1614" s="1"/>
      <c r="Z1614" s="1"/>
      <c r="AA1614" s="1"/>
    </row>
    <row r="1615">
      <c r="A1615" s="1"/>
      <c r="B1615" s="14"/>
      <c r="C1615" s="2"/>
      <c r="D1615" s="2"/>
      <c r="E1615" s="2"/>
      <c r="F1615" s="2"/>
      <c r="G1615" s="2"/>
      <c r="H1615" s="3"/>
      <c r="I1615" s="2"/>
      <c r="J1615" s="2"/>
      <c r="K1615" s="4"/>
      <c r="L1615" s="4"/>
      <c r="M1615" s="2"/>
      <c r="N1615" s="2"/>
      <c r="O1615" s="2"/>
      <c r="P1615" s="2"/>
      <c r="Q1615" s="5"/>
      <c r="R1615" s="5"/>
      <c r="S1615" s="2"/>
      <c r="T1615" s="2"/>
      <c r="U1615" s="5"/>
      <c r="V1615" s="5"/>
      <c r="W1615" s="2"/>
      <c r="X1615" s="5"/>
      <c r="Y1615" s="1"/>
      <c r="Z1615" s="1"/>
      <c r="AA1615" s="1"/>
    </row>
    <row r="1616">
      <c r="A1616" s="1"/>
      <c r="B1616" s="14"/>
      <c r="C1616" s="2"/>
      <c r="D1616" s="2"/>
      <c r="E1616" s="2"/>
      <c r="F1616" s="2"/>
      <c r="G1616" s="2"/>
      <c r="H1616" s="3"/>
      <c r="I1616" s="2"/>
      <c r="J1616" s="2"/>
      <c r="K1616" s="4"/>
      <c r="L1616" s="4"/>
      <c r="M1616" s="2"/>
      <c r="N1616" s="2"/>
      <c r="O1616" s="2"/>
      <c r="P1616" s="2"/>
      <c r="Q1616" s="5"/>
      <c r="R1616" s="5"/>
      <c r="S1616" s="2"/>
      <c r="T1616" s="2"/>
      <c r="U1616" s="5"/>
      <c r="V1616" s="5"/>
      <c r="W1616" s="2"/>
      <c r="X1616" s="5"/>
      <c r="Y1616" s="1"/>
      <c r="Z1616" s="1"/>
      <c r="AA1616" s="1"/>
    </row>
    <row r="1617">
      <c r="A1617" s="1"/>
      <c r="B1617" s="14"/>
      <c r="C1617" s="2"/>
      <c r="D1617" s="2"/>
      <c r="E1617" s="2"/>
      <c r="F1617" s="2"/>
      <c r="G1617" s="2"/>
      <c r="H1617" s="3"/>
      <c r="I1617" s="2"/>
      <c r="J1617" s="2"/>
      <c r="K1617" s="4"/>
      <c r="L1617" s="4"/>
      <c r="M1617" s="2"/>
      <c r="N1617" s="2"/>
      <c r="O1617" s="2"/>
      <c r="P1617" s="2"/>
      <c r="Q1617" s="5"/>
      <c r="R1617" s="5"/>
      <c r="S1617" s="2"/>
      <c r="T1617" s="2"/>
      <c r="U1617" s="5"/>
      <c r="V1617" s="5"/>
      <c r="W1617" s="2"/>
      <c r="X1617" s="5"/>
      <c r="Y1617" s="1"/>
      <c r="Z1617" s="1"/>
      <c r="AA1617" s="1"/>
    </row>
    <row r="1618">
      <c r="A1618" s="1"/>
      <c r="B1618" s="14"/>
      <c r="C1618" s="2"/>
      <c r="D1618" s="2"/>
      <c r="E1618" s="2"/>
      <c r="F1618" s="2"/>
      <c r="G1618" s="2"/>
      <c r="H1618" s="3"/>
      <c r="I1618" s="2"/>
      <c r="J1618" s="2"/>
      <c r="K1618" s="4"/>
      <c r="L1618" s="4"/>
      <c r="M1618" s="2"/>
      <c r="N1618" s="2"/>
      <c r="O1618" s="2"/>
      <c r="P1618" s="2"/>
      <c r="Q1618" s="5"/>
      <c r="R1618" s="5"/>
      <c r="S1618" s="2"/>
      <c r="T1618" s="2"/>
      <c r="U1618" s="5"/>
      <c r="V1618" s="5"/>
      <c r="W1618" s="2"/>
      <c r="X1618" s="5"/>
      <c r="Y1618" s="1"/>
      <c r="Z1618" s="1"/>
      <c r="AA1618" s="1"/>
    </row>
    <row r="1619">
      <c r="A1619" s="1"/>
      <c r="B1619" s="14"/>
      <c r="C1619" s="2"/>
      <c r="D1619" s="2"/>
      <c r="E1619" s="2"/>
      <c r="F1619" s="2"/>
      <c r="G1619" s="2"/>
      <c r="H1619" s="3"/>
      <c r="I1619" s="2"/>
      <c r="J1619" s="2"/>
      <c r="K1619" s="4"/>
      <c r="L1619" s="4"/>
      <c r="M1619" s="2"/>
      <c r="N1619" s="2"/>
      <c r="O1619" s="2"/>
      <c r="P1619" s="2"/>
      <c r="Q1619" s="5"/>
      <c r="R1619" s="5"/>
      <c r="S1619" s="2"/>
      <c r="T1619" s="2"/>
      <c r="U1619" s="5"/>
      <c r="V1619" s="5"/>
      <c r="W1619" s="2"/>
      <c r="X1619" s="5"/>
      <c r="Y1619" s="1"/>
      <c r="Z1619" s="1"/>
      <c r="AA1619" s="1"/>
    </row>
    <row r="1620">
      <c r="A1620" s="1"/>
      <c r="B1620" s="14"/>
      <c r="C1620" s="2"/>
      <c r="D1620" s="2"/>
      <c r="E1620" s="2"/>
      <c r="F1620" s="2"/>
      <c r="G1620" s="2"/>
      <c r="H1620" s="3"/>
      <c r="I1620" s="2"/>
      <c r="J1620" s="2"/>
      <c r="K1620" s="4"/>
      <c r="L1620" s="4"/>
      <c r="M1620" s="2"/>
      <c r="N1620" s="2"/>
      <c r="O1620" s="2"/>
      <c r="P1620" s="2"/>
      <c r="Q1620" s="5"/>
      <c r="R1620" s="5"/>
      <c r="S1620" s="2"/>
      <c r="T1620" s="2"/>
      <c r="U1620" s="5"/>
      <c r="V1620" s="5"/>
      <c r="W1620" s="2"/>
      <c r="X1620" s="5"/>
      <c r="Y1620" s="1"/>
      <c r="Z1620" s="1"/>
      <c r="AA1620" s="1"/>
    </row>
    <row r="1621">
      <c r="A1621" s="1"/>
      <c r="B1621" s="14"/>
      <c r="C1621" s="2"/>
      <c r="D1621" s="2"/>
      <c r="E1621" s="2"/>
      <c r="F1621" s="2"/>
      <c r="G1621" s="2"/>
      <c r="H1621" s="3"/>
      <c r="I1621" s="2"/>
      <c r="J1621" s="2"/>
      <c r="K1621" s="4"/>
      <c r="L1621" s="4"/>
      <c r="M1621" s="2"/>
      <c r="N1621" s="2"/>
      <c r="O1621" s="2"/>
      <c r="P1621" s="2"/>
      <c r="Q1621" s="5"/>
      <c r="R1621" s="5"/>
      <c r="S1621" s="2"/>
      <c r="T1621" s="2"/>
      <c r="U1621" s="5"/>
      <c r="V1621" s="5"/>
      <c r="W1621" s="2"/>
      <c r="X1621" s="5"/>
      <c r="Y1621" s="1"/>
      <c r="Z1621" s="1"/>
      <c r="AA1621" s="1"/>
    </row>
    <row r="1622">
      <c r="A1622" s="1"/>
      <c r="B1622" s="14"/>
      <c r="C1622" s="2"/>
      <c r="D1622" s="2"/>
      <c r="E1622" s="2"/>
      <c r="F1622" s="2"/>
      <c r="G1622" s="2"/>
      <c r="H1622" s="3"/>
      <c r="I1622" s="2"/>
      <c r="J1622" s="2"/>
      <c r="K1622" s="4"/>
      <c r="L1622" s="4"/>
      <c r="M1622" s="2"/>
      <c r="N1622" s="2"/>
      <c r="O1622" s="2"/>
      <c r="P1622" s="2"/>
      <c r="Q1622" s="5"/>
      <c r="R1622" s="5"/>
      <c r="S1622" s="2"/>
      <c r="T1622" s="2"/>
      <c r="U1622" s="5"/>
      <c r="V1622" s="5"/>
      <c r="W1622" s="2"/>
      <c r="X1622" s="5"/>
      <c r="Y1622" s="1"/>
      <c r="Z1622" s="1"/>
      <c r="AA1622" s="1"/>
    </row>
    <row r="1623">
      <c r="A1623" s="1"/>
      <c r="B1623" s="14"/>
      <c r="C1623" s="2"/>
      <c r="D1623" s="2"/>
      <c r="E1623" s="2"/>
      <c r="F1623" s="2"/>
      <c r="G1623" s="2"/>
      <c r="H1623" s="3"/>
      <c r="I1623" s="2"/>
      <c r="J1623" s="2"/>
      <c r="K1623" s="4"/>
      <c r="L1623" s="4"/>
      <c r="M1623" s="2"/>
      <c r="N1623" s="2"/>
      <c r="O1623" s="2"/>
      <c r="P1623" s="2"/>
      <c r="Q1623" s="5"/>
      <c r="R1623" s="5"/>
      <c r="S1623" s="2"/>
      <c r="T1623" s="2"/>
      <c r="U1623" s="5"/>
      <c r="V1623" s="5"/>
      <c r="W1623" s="2"/>
      <c r="X1623" s="5"/>
      <c r="Y1623" s="1"/>
      <c r="Z1623" s="1"/>
      <c r="AA1623" s="1"/>
    </row>
    <row r="1624">
      <c r="A1624" s="1"/>
      <c r="B1624" s="14"/>
      <c r="C1624" s="2"/>
      <c r="D1624" s="2"/>
      <c r="E1624" s="2"/>
      <c r="F1624" s="2"/>
      <c r="G1624" s="2"/>
      <c r="H1624" s="3"/>
      <c r="I1624" s="2"/>
      <c r="J1624" s="2"/>
      <c r="K1624" s="4"/>
      <c r="L1624" s="4"/>
      <c r="M1624" s="2"/>
      <c r="N1624" s="2"/>
      <c r="O1624" s="2"/>
      <c r="P1624" s="2"/>
      <c r="Q1624" s="5"/>
      <c r="R1624" s="5"/>
      <c r="S1624" s="2"/>
      <c r="T1624" s="2"/>
      <c r="U1624" s="5"/>
      <c r="V1624" s="5"/>
      <c r="W1624" s="2"/>
      <c r="X1624" s="5"/>
      <c r="Y1624" s="1"/>
      <c r="Z1624" s="1"/>
      <c r="AA1624" s="1"/>
    </row>
    <row r="1625">
      <c r="A1625" s="1"/>
      <c r="B1625" s="14"/>
      <c r="C1625" s="2"/>
      <c r="D1625" s="2"/>
      <c r="E1625" s="2"/>
      <c r="F1625" s="2"/>
      <c r="G1625" s="2"/>
      <c r="H1625" s="3"/>
      <c r="I1625" s="2"/>
      <c r="J1625" s="2"/>
      <c r="K1625" s="4"/>
      <c r="L1625" s="4"/>
      <c r="M1625" s="2"/>
      <c r="N1625" s="2"/>
      <c r="O1625" s="2"/>
      <c r="P1625" s="2"/>
      <c r="Q1625" s="5"/>
      <c r="R1625" s="5"/>
      <c r="S1625" s="2"/>
      <c r="T1625" s="2"/>
      <c r="U1625" s="5"/>
      <c r="V1625" s="5"/>
      <c r="W1625" s="2"/>
      <c r="X1625" s="5"/>
      <c r="Y1625" s="1"/>
      <c r="Z1625" s="1"/>
      <c r="AA1625" s="1"/>
    </row>
    <row r="1626">
      <c r="A1626" s="1"/>
      <c r="B1626" s="14"/>
      <c r="C1626" s="2"/>
      <c r="D1626" s="2"/>
      <c r="E1626" s="2"/>
      <c r="F1626" s="2"/>
      <c r="G1626" s="2"/>
      <c r="H1626" s="3"/>
      <c r="I1626" s="2"/>
      <c r="J1626" s="2"/>
      <c r="K1626" s="4"/>
      <c r="L1626" s="4"/>
      <c r="M1626" s="2"/>
      <c r="N1626" s="2"/>
      <c r="O1626" s="2"/>
      <c r="P1626" s="2"/>
      <c r="Q1626" s="5"/>
      <c r="R1626" s="5"/>
      <c r="S1626" s="2"/>
      <c r="T1626" s="2"/>
      <c r="U1626" s="5"/>
      <c r="V1626" s="5"/>
      <c r="W1626" s="2"/>
      <c r="X1626" s="5"/>
      <c r="Y1626" s="1"/>
      <c r="Z1626" s="1"/>
      <c r="AA1626" s="1"/>
    </row>
    <row r="1627">
      <c r="A1627" s="1"/>
      <c r="B1627" s="14"/>
      <c r="C1627" s="2"/>
      <c r="D1627" s="2"/>
      <c r="E1627" s="2"/>
      <c r="F1627" s="2"/>
      <c r="G1627" s="2"/>
      <c r="H1627" s="3"/>
      <c r="I1627" s="2"/>
      <c r="J1627" s="2"/>
      <c r="K1627" s="4"/>
      <c r="L1627" s="4"/>
      <c r="M1627" s="2"/>
      <c r="N1627" s="2"/>
      <c r="O1627" s="2"/>
      <c r="P1627" s="2"/>
      <c r="Q1627" s="5"/>
      <c r="R1627" s="5"/>
      <c r="S1627" s="2"/>
      <c r="T1627" s="2"/>
      <c r="U1627" s="5"/>
      <c r="V1627" s="5"/>
      <c r="W1627" s="2"/>
      <c r="X1627" s="5"/>
      <c r="Y1627" s="1"/>
      <c r="Z1627" s="1"/>
      <c r="AA1627" s="1"/>
    </row>
    <row r="1628">
      <c r="A1628" s="1"/>
      <c r="B1628" s="14"/>
      <c r="C1628" s="2"/>
      <c r="D1628" s="2"/>
      <c r="E1628" s="2"/>
      <c r="F1628" s="2"/>
      <c r="G1628" s="2"/>
      <c r="H1628" s="3"/>
      <c r="I1628" s="2"/>
      <c r="J1628" s="2"/>
      <c r="K1628" s="4"/>
      <c r="L1628" s="4"/>
      <c r="M1628" s="2"/>
      <c r="N1628" s="2"/>
      <c r="O1628" s="2"/>
      <c r="P1628" s="2"/>
      <c r="Q1628" s="5"/>
      <c r="R1628" s="5"/>
      <c r="S1628" s="2"/>
      <c r="T1628" s="2"/>
      <c r="U1628" s="5"/>
      <c r="V1628" s="5"/>
      <c r="W1628" s="2"/>
      <c r="X1628" s="5"/>
      <c r="Y1628" s="1"/>
      <c r="Z1628" s="1"/>
      <c r="AA1628" s="1"/>
    </row>
    <row r="1629">
      <c r="A1629" s="1"/>
      <c r="B1629" s="14"/>
      <c r="C1629" s="2"/>
      <c r="D1629" s="2"/>
      <c r="E1629" s="2"/>
      <c r="F1629" s="2"/>
      <c r="G1629" s="2"/>
      <c r="H1629" s="3"/>
      <c r="I1629" s="2"/>
      <c r="J1629" s="2"/>
      <c r="K1629" s="4"/>
      <c r="L1629" s="4"/>
      <c r="M1629" s="2"/>
      <c r="N1629" s="2"/>
      <c r="O1629" s="2"/>
      <c r="P1629" s="2"/>
      <c r="Q1629" s="5"/>
      <c r="R1629" s="5"/>
      <c r="S1629" s="2"/>
      <c r="T1629" s="2"/>
      <c r="U1629" s="5"/>
      <c r="V1629" s="5"/>
      <c r="W1629" s="2"/>
      <c r="X1629" s="5"/>
      <c r="Y1629" s="1"/>
      <c r="Z1629" s="1"/>
      <c r="AA1629" s="1"/>
    </row>
    <row r="1630">
      <c r="A1630" s="1"/>
      <c r="B1630" s="14"/>
      <c r="C1630" s="2"/>
      <c r="D1630" s="2"/>
      <c r="E1630" s="2"/>
      <c r="F1630" s="2"/>
      <c r="G1630" s="2"/>
      <c r="H1630" s="3"/>
      <c r="I1630" s="2"/>
      <c r="J1630" s="2"/>
      <c r="K1630" s="4"/>
      <c r="L1630" s="4"/>
      <c r="M1630" s="2"/>
      <c r="N1630" s="2"/>
      <c r="O1630" s="2"/>
      <c r="P1630" s="2"/>
      <c r="Q1630" s="5"/>
      <c r="R1630" s="5"/>
      <c r="S1630" s="2"/>
      <c r="T1630" s="2"/>
      <c r="U1630" s="5"/>
      <c r="V1630" s="5"/>
      <c r="W1630" s="2"/>
      <c r="X1630" s="5"/>
      <c r="Y1630" s="1"/>
      <c r="Z1630" s="1"/>
      <c r="AA1630" s="1"/>
    </row>
    <row r="1631">
      <c r="A1631" s="1"/>
      <c r="B1631" s="14"/>
      <c r="C1631" s="2"/>
      <c r="D1631" s="2"/>
      <c r="E1631" s="2"/>
      <c r="F1631" s="2"/>
      <c r="G1631" s="2"/>
      <c r="H1631" s="3"/>
      <c r="I1631" s="2"/>
      <c r="J1631" s="2"/>
      <c r="K1631" s="4"/>
      <c r="L1631" s="4"/>
      <c r="M1631" s="2"/>
      <c r="N1631" s="2"/>
      <c r="O1631" s="2"/>
      <c r="P1631" s="2"/>
      <c r="Q1631" s="5"/>
      <c r="R1631" s="5"/>
      <c r="S1631" s="2"/>
      <c r="T1631" s="2"/>
      <c r="U1631" s="5"/>
      <c r="V1631" s="5"/>
      <c r="W1631" s="2"/>
      <c r="X1631" s="5"/>
      <c r="Y1631" s="1"/>
      <c r="Z1631" s="1"/>
      <c r="AA1631" s="1"/>
    </row>
    <row r="1632">
      <c r="A1632" s="1"/>
      <c r="B1632" s="14"/>
      <c r="C1632" s="2"/>
      <c r="D1632" s="2"/>
      <c r="E1632" s="2"/>
      <c r="F1632" s="2"/>
      <c r="G1632" s="2"/>
      <c r="H1632" s="3"/>
      <c r="I1632" s="2"/>
      <c r="J1632" s="2"/>
      <c r="K1632" s="4"/>
      <c r="L1632" s="4"/>
      <c r="M1632" s="2"/>
      <c r="N1632" s="2"/>
      <c r="O1632" s="2"/>
      <c r="P1632" s="2"/>
      <c r="Q1632" s="5"/>
      <c r="R1632" s="5"/>
      <c r="S1632" s="2"/>
      <c r="T1632" s="2"/>
      <c r="U1632" s="5"/>
      <c r="V1632" s="5"/>
      <c r="W1632" s="2"/>
      <c r="X1632" s="5"/>
      <c r="Y1632" s="1"/>
      <c r="Z1632" s="1"/>
      <c r="AA1632" s="1"/>
    </row>
    <row r="1633">
      <c r="A1633" s="1"/>
      <c r="B1633" s="14"/>
      <c r="C1633" s="2"/>
      <c r="D1633" s="2"/>
      <c r="E1633" s="2"/>
      <c r="F1633" s="2"/>
      <c r="G1633" s="2"/>
      <c r="H1633" s="3"/>
      <c r="I1633" s="2"/>
      <c r="J1633" s="2"/>
      <c r="K1633" s="4"/>
      <c r="L1633" s="4"/>
      <c r="M1633" s="2"/>
      <c r="N1633" s="2"/>
      <c r="O1633" s="2"/>
      <c r="P1633" s="2"/>
      <c r="Q1633" s="5"/>
      <c r="R1633" s="5"/>
      <c r="S1633" s="2"/>
      <c r="T1633" s="2"/>
      <c r="U1633" s="5"/>
      <c r="V1633" s="5"/>
      <c r="W1633" s="2"/>
      <c r="X1633" s="5"/>
      <c r="Y1633" s="1"/>
      <c r="Z1633" s="1"/>
      <c r="AA1633" s="1"/>
    </row>
    <row r="1634">
      <c r="A1634" s="1"/>
      <c r="B1634" s="14"/>
      <c r="C1634" s="2"/>
      <c r="D1634" s="2"/>
      <c r="E1634" s="2"/>
      <c r="F1634" s="2"/>
      <c r="G1634" s="2"/>
      <c r="H1634" s="3"/>
      <c r="I1634" s="2"/>
      <c r="J1634" s="2"/>
      <c r="K1634" s="4"/>
      <c r="L1634" s="4"/>
      <c r="M1634" s="2"/>
      <c r="N1634" s="2"/>
      <c r="O1634" s="2"/>
      <c r="P1634" s="2"/>
      <c r="Q1634" s="5"/>
      <c r="R1634" s="5"/>
      <c r="S1634" s="2"/>
      <c r="T1634" s="2"/>
      <c r="U1634" s="5"/>
      <c r="V1634" s="5"/>
      <c r="W1634" s="2"/>
      <c r="X1634" s="5"/>
      <c r="Y1634" s="1"/>
      <c r="Z1634" s="1"/>
      <c r="AA1634" s="1"/>
    </row>
    <row r="1635">
      <c r="A1635" s="1"/>
      <c r="B1635" s="14"/>
      <c r="C1635" s="2"/>
      <c r="D1635" s="2"/>
      <c r="E1635" s="2"/>
      <c r="F1635" s="2"/>
      <c r="G1635" s="2"/>
      <c r="H1635" s="3"/>
      <c r="I1635" s="2"/>
      <c r="J1635" s="2"/>
      <c r="K1635" s="4"/>
      <c r="L1635" s="4"/>
      <c r="M1635" s="2"/>
      <c r="N1635" s="2"/>
      <c r="O1635" s="2"/>
      <c r="P1635" s="2"/>
      <c r="Q1635" s="5"/>
      <c r="R1635" s="5"/>
      <c r="S1635" s="2"/>
      <c r="T1635" s="2"/>
      <c r="U1635" s="5"/>
      <c r="V1635" s="5"/>
      <c r="W1635" s="2"/>
      <c r="X1635" s="5"/>
      <c r="Y1635" s="1"/>
      <c r="Z1635" s="1"/>
      <c r="AA1635" s="1"/>
    </row>
    <row r="1636">
      <c r="A1636" s="1"/>
      <c r="B1636" s="14"/>
      <c r="C1636" s="2"/>
      <c r="D1636" s="2"/>
      <c r="E1636" s="2"/>
      <c r="F1636" s="2"/>
      <c r="G1636" s="2"/>
      <c r="H1636" s="3"/>
      <c r="I1636" s="2"/>
      <c r="J1636" s="2"/>
      <c r="K1636" s="4"/>
      <c r="L1636" s="4"/>
      <c r="M1636" s="2"/>
      <c r="N1636" s="2"/>
      <c r="O1636" s="2"/>
      <c r="P1636" s="2"/>
      <c r="Q1636" s="5"/>
      <c r="R1636" s="5"/>
      <c r="S1636" s="2"/>
      <c r="T1636" s="2"/>
      <c r="U1636" s="5"/>
      <c r="V1636" s="5"/>
      <c r="W1636" s="2"/>
      <c r="X1636" s="5"/>
      <c r="Y1636" s="1"/>
      <c r="Z1636" s="1"/>
      <c r="AA1636" s="1"/>
    </row>
    <row r="1637">
      <c r="A1637" s="1"/>
      <c r="B1637" s="14"/>
      <c r="C1637" s="2"/>
      <c r="D1637" s="2"/>
      <c r="E1637" s="2"/>
      <c r="F1637" s="2"/>
      <c r="G1637" s="2"/>
      <c r="H1637" s="3"/>
      <c r="I1637" s="2"/>
      <c r="J1637" s="2"/>
      <c r="K1637" s="4"/>
      <c r="L1637" s="4"/>
      <c r="M1637" s="2"/>
      <c r="N1637" s="2"/>
      <c r="O1637" s="2"/>
      <c r="P1637" s="2"/>
      <c r="Q1637" s="5"/>
      <c r="R1637" s="5"/>
      <c r="S1637" s="2"/>
      <c r="T1637" s="2"/>
      <c r="U1637" s="5"/>
      <c r="V1637" s="5"/>
      <c r="W1637" s="2"/>
      <c r="X1637" s="5"/>
      <c r="Y1637" s="1"/>
      <c r="Z1637" s="1"/>
      <c r="AA1637" s="1"/>
    </row>
    <row r="1638">
      <c r="A1638" s="1"/>
      <c r="B1638" s="14"/>
      <c r="C1638" s="2"/>
      <c r="D1638" s="2"/>
      <c r="E1638" s="2"/>
      <c r="F1638" s="2"/>
      <c r="G1638" s="2"/>
      <c r="H1638" s="3"/>
      <c r="I1638" s="2"/>
      <c r="J1638" s="2"/>
      <c r="K1638" s="4"/>
      <c r="L1638" s="4"/>
      <c r="M1638" s="2"/>
      <c r="N1638" s="2"/>
      <c r="O1638" s="2"/>
      <c r="P1638" s="2"/>
      <c r="Q1638" s="5"/>
      <c r="R1638" s="5"/>
      <c r="S1638" s="2"/>
      <c r="T1638" s="2"/>
      <c r="U1638" s="5"/>
      <c r="V1638" s="5"/>
      <c r="W1638" s="2"/>
      <c r="X1638" s="5"/>
      <c r="Y1638" s="1"/>
      <c r="Z1638" s="1"/>
      <c r="AA1638" s="1"/>
    </row>
    <row r="1639">
      <c r="A1639" s="1"/>
      <c r="B1639" s="14"/>
      <c r="C1639" s="2"/>
      <c r="D1639" s="2"/>
      <c r="E1639" s="2"/>
      <c r="F1639" s="2"/>
      <c r="G1639" s="2"/>
      <c r="H1639" s="3"/>
      <c r="I1639" s="2"/>
      <c r="J1639" s="2"/>
      <c r="K1639" s="4"/>
      <c r="L1639" s="4"/>
      <c r="M1639" s="2"/>
      <c r="N1639" s="2"/>
      <c r="O1639" s="2"/>
      <c r="P1639" s="2"/>
      <c r="Q1639" s="5"/>
      <c r="R1639" s="5"/>
      <c r="S1639" s="2"/>
      <c r="T1639" s="2"/>
      <c r="U1639" s="5"/>
      <c r="V1639" s="5"/>
      <c r="W1639" s="2"/>
      <c r="X1639" s="5"/>
      <c r="Y1639" s="1"/>
      <c r="Z1639" s="1"/>
      <c r="AA1639" s="1"/>
    </row>
    <row r="1640">
      <c r="A1640" s="1"/>
      <c r="B1640" s="14"/>
      <c r="C1640" s="2"/>
      <c r="D1640" s="2"/>
      <c r="E1640" s="2"/>
      <c r="F1640" s="2"/>
      <c r="G1640" s="2"/>
      <c r="H1640" s="3"/>
      <c r="I1640" s="2"/>
      <c r="J1640" s="2"/>
      <c r="K1640" s="4"/>
      <c r="L1640" s="4"/>
      <c r="M1640" s="2"/>
      <c r="N1640" s="2"/>
      <c r="O1640" s="2"/>
      <c r="P1640" s="2"/>
      <c r="Q1640" s="5"/>
      <c r="R1640" s="5"/>
      <c r="S1640" s="2"/>
      <c r="T1640" s="2"/>
      <c r="U1640" s="5"/>
      <c r="V1640" s="5"/>
      <c r="W1640" s="2"/>
      <c r="X1640" s="5"/>
      <c r="Y1640" s="1"/>
      <c r="Z1640" s="1"/>
      <c r="AA1640" s="1"/>
    </row>
    <row r="1641">
      <c r="A1641" s="1"/>
      <c r="B1641" s="14"/>
      <c r="C1641" s="2"/>
      <c r="D1641" s="2"/>
      <c r="E1641" s="2"/>
      <c r="F1641" s="2"/>
      <c r="G1641" s="2"/>
      <c r="H1641" s="3"/>
      <c r="I1641" s="2"/>
      <c r="J1641" s="2"/>
      <c r="K1641" s="4"/>
      <c r="L1641" s="4"/>
      <c r="M1641" s="2"/>
      <c r="N1641" s="2"/>
      <c r="O1641" s="2"/>
      <c r="P1641" s="2"/>
      <c r="Q1641" s="5"/>
      <c r="R1641" s="5"/>
      <c r="S1641" s="2"/>
      <c r="T1641" s="2"/>
      <c r="U1641" s="5"/>
      <c r="V1641" s="5"/>
      <c r="W1641" s="2"/>
      <c r="X1641" s="5"/>
      <c r="Y1641" s="1"/>
      <c r="Z1641" s="1"/>
      <c r="AA1641" s="1"/>
    </row>
    <row r="1642">
      <c r="A1642" s="1"/>
      <c r="B1642" s="14"/>
      <c r="C1642" s="2"/>
      <c r="D1642" s="2"/>
      <c r="E1642" s="2"/>
      <c r="F1642" s="2"/>
      <c r="G1642" s="2"/>
      <c r="H1642" s="3"/>
      <c r="I1642" s="2"/>
      <c r="J1642" s="2"/>
      <c r="K1642" s="4"/>
      <c r="L1642" s="4"/>
      <c r="M1642" s="2"/>
      <c r="N1642" s="2"/>
      <c r="O1642" s="2"/>
      <c r="P1642" s="2"/>
      <c r="Q1642" s="5"/>
      <c r="R1642" s="5"/>
      <c r="S1642" s="2"/>
      <c r="T1642" s="2"/>
      <c r="U1642" s="5"/>
      <c r="V1642" s="5"/>
      <c r="W1642" s="2"/>
      <c r="X1642" s="5"/>
      <c r="Y1642" s="1"/>
      <c r="Z1642" s="1"/>
      <c r="AA1642" s="1"/>
    </row>
    <row r="1643">
      <c r="A1643" s="1"/>
      <c r="B1643" s="14"/>
      <c r="C1643" s="2"/>
      <c r="D1643" s="2"/>
      <c r="E1643" s="2"/>
      <c r="F1643" s="2"/>
      <c r="G1643" s="2"/>
      <c r="H1643" s="3"/>
      <c r="I1643" s="2"/>
      <c r="J1643" s="2"/>
      <c r="K1643" s="4"/>
      <c r="L1643" s="4"/>
      <c r="M1643" s="2"/>
      <c r="N1643" s="2"/>
      <c r="O1643" s="2"/>
      <c r="P1643" s="2"/>
      <c r="Q1643" s="5"/>
      <c r="R1643" s="5"/>
      <c r="S1643" s="2"/>
      <c r="T1643" s="2"/>
      <c r="U1643" s="5"/>
      <c r="V1643" s="5"/>
      <c r="W1643" s="2"/>
      <c r="X1643" s="5"/>
      <c r="Y1643" s="1"/>
      <c r="Z1643" s="1"/>
      <c r="AA1643" s="1"/>
    </row>
    <row r="1644">
      <c r="A1644" s="1"/>
      <c r="B1644" s="14"/>
      <c r="C1644" s="2"/>
      <c r="D1644" s="2"/>
      <c r="E1644" s="2"/>
      <c r="F1644" s="2"/>
      <c r="G1644" s="2"/>
      <c r="H1644" s="3"/>
      <c r="I1644" s="2"/>
      <c r="J1644" s="2"/>
      <c r="K1644" s="4"/>
      <c r="L1644" s="4"/>
      <c r="M1644" s="2"/>
      <c r="N1644" s="2"/>
      <c r="O1644" s="2"/>
      <c r="P1644" s="2"/>
      <c r="Q1644" s="5"/>
      <c r="R1644" s="5"/>
      <c r="S1644" s="2"/>
      <c r="T1644" s="2"/>
      <c r="U1644" s="5"/>
      <c r="V1644" s="5"/>
      <c r="W1644" s="2"/>
      <c r="X1644" s="5"/>
      <c r="Y1644" s="1"/>
      <c r="Z1644" s="1"/>
      <c r="AA1644" s="1"/>
    </row>
    <row r="1645">
      <c r="A1645" s="1"/>
      <c r="B1645" s="14"/>
      <c r="C1645" s="2"/>
      <c r="D1645" s="2"/>
      <c r="E1645" s="2"/>
      <c r="F1645" s="2"/>
      <c r="G1645" s="2"/>
      <c r="H1645" s="3"/>
      <c r="I1645" s="2"/>
      <c r="J1645" s="2"/>
      <c r="K1645" s="4"/>
      <c r="L1645" s="4"/>
      <c r="M1645" s="2"/>
      <c r="N1645" s="2"/>
      <c r="O1645" s="2"/>
      <c r="P1645" s="2"/>
      <c r="Q1645" s="5"/>
      <c r="R1645" s="5"/>
      <c r="S1645" s="2"/>
      <c r="T1645" s="2"/>
      <c r="U1645" s="5"/>
      <c r="V1645" s="5"/>
      <c r="W1645" s="2"/>
      <c r="X1645" s="5"/>
      <c r="Y1645" s="1"/>
      <c r="Z1645" s="1"/>
      <c r="AA1645" s="1"/>
    </row>
    <row r="1646">
      <c r="A1646" s="1"/>
      <c r="B1646" s="14"/>
      <c r="C1646" s="2"/>
      <c r="D1646" s="2"/>
      <c r="E1646" s="2"/>
      <c r="F1646" s="2"/>
      <c r="G1646" s="2"/>
      <c r="H1646" s="3"/>
      <c r="I1646" s="2"/>
      <c r="J1646" s="2"/>
      <c r="K1646" s="4"/>
      <c r="L1646" s="4"/>
      <c r="M1646" s="2"/>
      <c r="N1646" s="2"/>
      <c r="O1646" s="2"/>
      <c r="P1646" s="2"/>
      <c r="Q1646" s="5"/>
      <c r="R1646" s="5"/>
      <c r="S1646" s="2"/>
      <c r="T1646" s="2"/>
      <c r="U1646" s="5"/>
      <c r="V1646" s="5"/>
      <c r="W1646" s="2"/>
      <c r="X1646" s="5"/>
      <c r="Y1646" s="1"/>
      <c r="Z1646" s="1"/>
      <c r="AA1646" s="1"/>
    </row>
    <row r="1647">
      <c r="A1647" s="1"/>
      <c r="B1647" s="14"/>
      <c r="C1647" s="2"/>
      <c r="D1647" s="2"/>
      <c r="E1647" s="2"/>
      <c r="F1647" s="2"/>
      <c r="G1647" s="2"/>
      <c r="H1647" s="3"/>
      <c r="I1647" s="2"/>
      <c r="J1647" s="2"/>
      <c r="K1647" s="4"/>
      <c r="L1647" s="4"/>
      <c r="M1647" s="2"/>
      <c r="N1647" s="2"/>
      <c r="O1647" s="2"/>
      <c r="P1647" s="2"/>
      <c r="Q1647" s="5"/>
      <c r="R1647" s="5"/>
      <c r="S1647" s="2"/>
      <c r="T1647" s="2"/>
      <c r="U1647" s="5"/>
      <c r="V1647" s="5"/>
      <c r="W1647" s="2"/>
      <c r="X1647" s="5"/>
      <c r="Y1647" s="1"/>
      <c r="Z1647" s="1"/>
      <c r="AA1647" s="1"/>
    </row>
    <row r="1648">
      <c r="A1648" s="1"/>
      <c r="B1648" s="14"/>
      <c r="C1648" s="2"/>
      <c r="D1648" s="2"/>
      <c r="E1648" s="2"/>
      <c r="F1648" s="2"/>
      <c r="G1648" s="2"/>
      <c r="H1648" s="3"/>
      <c r="I1648" s="2"/>
      <c r="J1648" s="2"/>
      <c r="K1648" s="4"/>
      <c r="L1648" s="4"/>
      <c r="M1648" s="2"/>
      <c r="N1648" s="2"/>
      <c r="O1648" s="2"/>
      <c r="P1648" s="2"/>
      <c r="Q1648" s="5"/>
      <c r="R1648" s="5"/>
      <c r="S1648" s="2"/>
      <c r="T1648" s="2"/>
      <c r="U1648" s="5"/>
      <c r="V1648" s="5"/>
      <c r="W1648" s="2"/>
      <c r="X1648" s="5"/>
      <c r="Y1648" s="1"/>
      <c r="Z1648" s="1"/>
      <c r="AA1648" s="1"/>
    </row>
    <row r="1649">
      <c r="A1649" s="1"/>
      <c r="B1649" s="14"/>
      <c r="C1649" s="2"/>
      <c r="D1649" s="2"/>
      <c r="E1649" s="2"/>
      <c r="F1649" s="2"/>
      <c r="G1649" s="2"/>
      <c r="H1649" s="3"/>
      <c r="I1649" s="2"/>
      <c r="J1649" s="2"/>
      <c r="K1649" s="4"/>
      <c r="L1649" s="4"/>
      <c r="M1649" s="2"/>
      <c r="N1649" s="2"/>
      <c r="O1649" s="2"/>
      <c r="P1649" s="2"/>
      <c r="Q1649" s="5"/>
      <c r="R1649" s="5"/>
      <c r="S1649" s="2"/>
      <c r="T1649" s="2"/>
      <c r="U1649" s="5"/>
      <c r="V1649" s="5"/>
      <c r="W1649" s="2"/>
      <c r="X1649" s="5"/>
      <c r="Y1649" s="1"/>
      <c r="Z1649" s="1"/>
      <c r="AA1649" s="1"/>
    </row>
    <row r="1650">
      <c r="A1650" s="1"/>
      <c r="B1650" s="14"/>
      <c r="C1650" s="2"/>
      <c r="D1650" s="2"/>
      <c r="E1650" s="2"/>
      <c r="F1650" s="2"/>
      <c r="G1650" s="2"/>
      <c r="H1650" s="3"/>
      <c r="I1650" s="2"/>
      <c r="J1650" s="2"/>
      <c r="K1650" s="4"/>
      <c r="L1650" s="4"/>
      <c r="M1650" s="2"/>
      <c r="N1650" s="2"/>
      <c r="O1650" s="2"/>
      <c r="P1650" s="2"/>
      <c r="Q1650" s="5"/>
      <c r="R1650" s="5"/>
      <c r="S1650" s="2"/>
      <c r="T1650" s="2"/>
      <c r="U1650" s="5"/>
      <c r="V1650" s="5"/>
      <c r="W1650" s="2"/>
      <c r="X1650" s="5"/>
      <c r="Y1650" s="1"/>
      <c r="Z1650" s="1"/>
      <c r="AA1650" s="1"/>
    </row>
    <row r="1651">
      <c r="A1651" s="1"/>
      <c r="B1651" s="14"/>
      <c r="C1651" s="2"/>
      <c r="D1651" s="2"/>
      <c r="E1651" s="2"/>
      <c r="F1651" s="2"/>
      <c r="G1651" s="2"/>
      <c r="H1651" s="3"/>
      <c r="I1651" s="2"/>
      <c r="J1651" s="2"/>
      <c r="K1651" s="4"/>
      <c r="L1651" s="4"/>
      <c r="M1651" s="2"/>
      <c r="N1651" s="2"/>
      <c r="O1651" s="2"/>
      <c r="P1651" s="2"/>
      <c r="Q1651" s="5"/>
      <c r="R1651" s="5"/>
      <c r="S1651" s="2"/>
      <c r="T1651" s="2"/>
      <c r="U1651" s="5"/>
      <c r="V1651" s="5"/>
      <c r="W1651" s="2"/>
      <c r="X1651" s="5"/>
      <c r="Y1651" s="1"/>
      <c r="Z1651" s="1"/>
      <c r="AA1651" s="1"/>
    </row>
    <row r="1652">
      <c r="A1652" s="1"/>
      <c r="B1652" s="14"/>
      <c r="C1652" s="2"/>
      <c r="D1652" s="2"/>
      <c r="E1652" s="2"/>
      <c r="F1652" s="2"/>
      <c r="G1652" s="2"/>
      <c r="H1652" s="3"/>
      <c r="I1652" s="2"/>
      <c r="J1652" s="2"/>
      <c r="K1652" s="4"/>
      <c r="L1652" s="4"/>
      <c r="M1652" s="2"/>
      <c r="N1652" s="2"/>
      <c r="O1652" s="2"/>
      <c r="P1652" s="2"/>
      <c r="Q1652" s="5"/>
      <c r="R1652" s="5"/>
      <c r="S1652" s="2"/>
      <c r="T1652" s="2"/>
      <c r="U1652" s="5"/>
      <c r="V1652" s="5"/>
      <c r="W1652" s="2"/>
      <c r="X1652" s="5"/>
      <c r="Y1652" s="1"/>
      <c r="Z1652" s="1"/>
      <c r="AA1652" s="1"/>
    </row>
    <row r="1653">
      <c r="A1653" s="1"/>
      <c r="B1653" s="14"/>
      <c r="C1653" s="2"/>
      <c r="D1653" s="2"/>
      <c r="E1653" s="2"/>
      <c r="F1653" s="2"/>
      <c r="G1653" s="2"/>
      <c r="H1653" s="3"/>
      <c r="I1653" s="2"/>
      <c r="J1653" s="2"/>
      <c r="K1653" s="4"/>
      <c r="L1653" s="4"/>
      <c r="M1653" s="2"/>
      <c r="N1653" s="2"/>
      <c r="O1653" s="2"/>
      <c r="P1653" s="2"/>
      <c r="Q1653" s="5"/>
      <c r="R1653" s="5"/>
      <c r="S1653" s="2"/>
      <c r="T1653" s="2"/>
      <c r="U1653" s="5"/>
      <c r="V1653" s="5"/>
      <c r="W1653" s="2"/>
      <c r="X1653" s="5"/>
      <c r="Y1653" s="1"/>
      <c r="Z1653" s="1"/>
      <c r="AA1653" s="1"/>
    </row>
    <row r="1654">
      <c r="A1654" s="1"/>
      <c r="B1654" s="14"/>
      <c r="C1654" s="2"/>
      <c r="D1654" s="2"/>
      <c r="E1654" s="2"/>
      <c r="F1654" s="2"/>
      <c r="G1654" s="2"/>
      <c r="H1654" s="3"/>
      <c r="I1654" s="2"/>
      <c r="J1654" s="2"/>
      <c r="K1654" s="4"/>
      <c r="L1654" s="4"/>
      <c r="M1654" s="2"/>
      <c r="N1654" s="2"/>
      <c r="O1654" s="2"/>
      <c r="P1654" s="2"/>
      <c r="Q1654" s="5"/>
      <c r="R1654" s="5"/>
      <c r="S1654" s="2"/>
      <c r="T1654" s="2"/>
      <c r="U1654" s="5"/>
      <c r="V1654" s="5"/>
      <c r="W1654" s="2"/>
      <c r="X1654" s="5"/>
      <c r="Y1654" s="1"/>
      <c r="Z1654" s="1"/>
      <c r="AA1654" s="1"/>
    </row>
    <row r="1655">
      <c r="A1655" s="1"/>
      <c r="B1655" s="14"/>
      <c r="C1655" s="2"/>
      <c r="D1655" s="2"/>
      <c r="E1655" s="2"/>
      <c r="F1655" s="2"/>
      <c r="G1655" s="2"/>
      <c r="H1655" s="3"/>
      <c r="I1655" s="2"/>
      <c r="J1655" s="2"/>
      <c r="K1655" s="4"/>
      <c r="L1655" s="4"/>
      <c r="M1655" s="2"/>
      <c r="N1655" s="2"/>
      <c r="O1655" s="2"/>
      <c r="P1655" s="2"/>
      <c r="Q1655" s="5"/>
      <c r="R1655" s="5"/>
      <c r="S1655" s="2"/>
      <c r="T1655" s="2"/>
      <c r="U1655" s="5"/>
      <c r="V1655" s="5"/>
      <c r="W1655" s="2"/>
      <c r="X1655" s="5"/>
      <c r="Y1655" s="1"/>
      <c r="Z1655" s="1"/>
      <c r="AA1655" s="1"/>
    </row>
    <row r="1656">
      <c r="A1656" s="1"/>
      <c r="B1656" s="14"/>
      <c r="C1656" s="2"/>
      <c r="D1656" s="2"/>
      <c r="E1656" s="2"/>
      <c r="F1656" s="2"/>
      <c r="G1656" s="2"/>
      <c r="H1656" s="3"/>
      <c r="I1656" s="2"/>
      <c r="J1656" s="2"/>
      <c r="K1656" s="4"/>
      <c r="L1656" s="4"/>
      <c r="M1656" s="2"/>
      <c r="N1656" s="2"/>
      <c r="O1656" s="2"/>
      <c r="P1656" s="2"/>
      <c r="Q1656" s="5"/>
      <c r="R1656" s="5"/>
      <c r="S1656" s="2"/>
      <c r="T1656" s="2"/>
      <c r="U1656" s="5"/>
      <c r="V1656" s="5"/>
      <c r="W1656" s="2"/>
      <c r="X1656" s="5"/>
      <c r="Y1656" s="1"/>
      <c r="Z1656" s="1"/>
      <c r="AA1656" s="1"/>
    </row>
    <row r="1657">
      <c r="A1657" s="1"/>
      <c r="B1657" s="14"/>
      <c r="C1657" s="2"/>
      <c r="D1657" s="2"/>
      <c r="E1657" s="2"/>
      <c r="F1657" s="2"/>
      <c r="G1657" s="2"/>
      <c r="H1657" s="3"/>
      <c r="I1657" s="2"/>
      <c r="J1657" s="2"/>
      <c r="K1657" s="4"/>
      <c r="L1657" s="4"/>
      <c r="M1657" s="2"/>
      <c r="N1657" s="2"/>
      <c r="O1657" s="2"/>
      <c r="P1657" s="2"/>
      <c r="Q1657" s="5"/>
      <c r="R1657" s="5"/>
      <c r="S1657" s="2"/>
      <c r="T1657" s="2"/>
      <c r="U1657" s="5"/>
      <c r="V1657" s="5"/>
      <c r="W1657" s="2"/>
      <c r="X1657" s="5"/>
      <c r="Y1657" s="1"/>
      <c r="Z1657" s="1"/>
      <c r="AA1657" s="1"/>
    </row>
    <row r="1658">
      <c r="A1658" s="1"/>
      <c r="B1658" s="14"/>
      <c r="C1658" s="2"/>
      <c r="D1658" s="2"/>
      <c r="E1658" s="2"/>
      <c r="F1658" s="2"/>
      <c r="G1658" s="2"/>
      <c r="H1658" s="3"/>
      <c r="I1658" s="2"/>
      <c r="J1658" s="2"/>
      <c r="K1658" s="4"/>
      <c r="L1658" s="4"/>
      <c r="M1658" s="2"/>
      <c r="N1658" s="2"/>
      <c r="O1658" s="2"/>
      <c r="P1658" s="2"/>
      <c r="Q1658" s="5"/>
      <c r="R1658" s="5"/>
      <c r="S1658" s="2"/>
      <c r="T1658" s="2"/>
      <c r="U1658" s="5"/>
      <c r="V1658" s="5"/>
      <c r="W1658" s="2"/>
      <c r="X1658" s="5"/>
      <c r="Y1658" s="1"/>
      <c r="Z1658" s="1"/>
      <c r="AA1658" s="1"/>
    </row>
    <row r="1659">
      <c r="A1659" s="1"/>
      <c r="B1659" s="14"/>
      <c r="C1659" s="2"/>
      <c r="D1659" s="2"/>
      <c r="E1659" s="2"/>
      <c r="F1659" s="2"/>
      <c r="G1659" s="2"/>
      <c r="H1659" s="3"/>
      <c r="I1659" s="2"/>
      <c r="J1659" s="2"/>
      <c r="K1659" s="4"/>
      <c r="L1659" s="4"/>
      <c r="M1659" s="2"/>
      <c r="N1659" s="2"/>
      <c r="O1659" s="2"/>
      <c r="P1659" s="2"/>
      <c r="Q1659" s="5"/>
      <c r="R1659" s="5"/>
      <c r="S1659" s="2"/>
      <c r="T1659" s="2"/>
      <c r="U1659" s="5"/>
      <c r="V1659" s="5"/>
      <c r="W1659" s="2"/>
      <c r="X1659" s="5"/>
      <c r="Y1659" s="1"/>
      <c r="Z1659" s="1"/>
      <c r="AA1659" s="1"/>
    </row>
    <row r="1660">
      <c r="A1660" s="1"/>
      <c r="B1660" s="14"/>
      <c r="C1660" s="2"/>
      <c r="D1660" s="2"/>
      <c r="E1660" s="2"/>
      <c r="F1660" s="2"/>
      <c r="G1660" s="2"/>
      <c r="H1660" s="3"/>
      <c r="I1660" s="2"/>
      <c r="J1660" s="2"/>
      <c r="K1660" s="4"/>
      <c r="L1660" s="4"/>
      <c r="M1660" s="2"/>
      <c r="N1660" s="2"/>
      <c r="O1660" s="2"/>
      <c r="P1660" s="2"/>
      <c r="Q1660" s="5"/>
      <c r="R1660" s="5"/>
      <c r="S1660" s="2"/>
      <c r="T1660" s="2"/>
      <c r="U1660" s="5"/>
      <c r="V1660" s="5"/>
      <c r="W1660" s="2"/>
      <c r="X1660" s="5"/>
      <c r="Y1660" s="1"/>
      <c r="Z1660" s="1"/>
      <c r="AA1660" s="1"/>
    </row>
    <row r="1661">
      <c r="A1661" s="1"/>
      <c r="B1661" s="14"/>
      <c r="C1661" s="2"/>
      <c r="D1661" s="2"/>
      <c r="E1661" s="2"/>
      <c r="F1661" s="2"/>
      <c r="G1661" s="2"/>
      <c r="H1661" s="3"/>
      <c r="I1661" s="2"/>
      <c r="J1661" s="2"/>
      <c r="K1661" s="4"/>
      <c r="L1661" s="4"/>
      <c r="M1661" s="2"/>
      <c r="N1661" s="2"/>
      <c r="O1661" s="2"/>
      <c r="P1661" s="2"/>
      <c r="Q1661" s="5"/>
      <c r="R1661" s="5"/>
      <c r="S1661" s="2"/>
      <c r="T1661" s="2"/>
      <c r="U1661" s="5"/>
      <c r="V1661" s="5"/>
      <c r="W1661" s="2"/>
      <c r="X1661" s="5"/>
      <c r="Y1661" s="1"/>
      <c r="Z1661" s="1"/>
      <c r="AA1661" s="1"/>
    </row>
    <row r="1662">
      <c r="A1662" s="1"/>
      <c r="B1662" s="14"/>
      <c r="C1662" s="2"/>
      <c r="D1662" s="2"/>
      <c r="E1662" s="2"/>
      <c r="F1662" s="2"/>
      <c r="G1662" s="2"/>
      <c r="H1662" s="3"/>
      <c r="I1662" s="2"/>
      <c r="J1662" s="2"/>
      <c r="K1662" s="4"/>
      <c r="L1662" s="4"/>
      <c r="M1662" s="2"/>
      <c r="N1662" s="2"/>
      <c r="O1662" s="2"/>
      <c r="P1662" s="2"/>
      <c r="Q1662" s="5"/>
      <c r="R1662" s="5"/>
      <c r="S1662" s="2"/>
      <c r="T1662" s="2"/>
      <c r="U1662" s="5"/>
      <c r="V1662" s="5"/>
      <c r="W1662" s="2"/>
      <c r="X1662" s="5"/>
      <c r="Y1662" s="1"/>
      <c r="Z1662" s="1"/>
      <c r="AA1662" s="1"/>
    </row>
    <row r="1663">
      <c r="A1663" s="1"/>
      <c r="B1663" s="14"/>
      <c r="C1663" s="2"/>
      <c r="D1663" s="2"/>
      <c r="E1663" s="2"/>
      <c r="F1663" s="2"/>
      <c r="G1663" s="2"/>
      <c r="H1663" s="3"/>
      <c r="I1663" s="2"/>
      <c r="J1663" s="2"/>
      <c r="K1663" s="4"/>
      <c r="L1663" s="4"/>
      <c r="M1663" s="2"/>
      <c r="N1663" s="2"/>
      <c r="O1663" s="2"/>
      <c r="P1663" s="2"/>
      <c r="Q1663" s="5"/>
      <c r="R1663" s="5"/>
      <c r="S1663" s="2"/>
      <c r="T1663" s="2"/>
      <c r="U1663" s="5"/>
      <c r="V1663" s="5"/>
      <c r="W1663" s="2"/>
      <c r="X1663" s="5"/>
      <c r="Y1663" s="1"/>
      <c r="Z1663" s="1"/>
      <c r="AA1663" s="1"/>
    </row>
    <row r="1664">
      <c r="A1664" s="1"/>
      <c r="B1664" s="14"/>
      <c r="C1664" s="2"/>
      <c r="D1664" s="2"/>
      <c r="E1664" s="2"/>
      <c r="F1664" s="2"/>
      <c r="G1664" s="2"/>
      <c r="H1664" s="3"/>
      <c r="I1664" s="2"/>
      <c r="J1664" s="2"/>
      <c r="K1664" s="4"/>
      <c r="L1664" s="4"/>
      <c r="M1664" s="2"/>
      <c r="N1664" s="2"/>
      <c r="O1664" s="2"/>
      <c r="P1664" s="2"/>
      <c r="Q1664" s="5"/>
      <c r="R1664" s="5"/>
      <c r="S1664" s="2"/>
      <c r="T1664" s="2"/>
      <c r="U1664" s="5"/>
      <c r="V1664" s="5"/>
      <c r="W1664" s="2"/>
      <c r="X1664" s="5"/>
      <c r="Y1664" s="1"/>
      <c r="Z1664" s="1"/>
      <c r="AA1664" s="1"/>
    </row>
    <row r="1665">
      <c r="A1665" s="1"/>
      <c r="B1665" s="14"/>
      <c r="C1665" s="2"/>
      <c r="D1665" s="2"/>
      <c r="E1665" s="2"/>
      <c r="F1665" s="2"/>
      <c r="G1665" s="2"/>
      <c r="H1665" s="3"/>
      <c r="I1665" s="2"/>
      <c r="J1665" s="2"/>
      <c r="K1665" s="4"/>
      <c r="L1665" s="4"/>
      <c r="M1665" s="2"/>
      <c r="N1665" s="2"/>
      <c r="O1665" s="2"/>
      <c r="P1665" s="2"/>
      <c r="Q1665" s="5"/>
      <c r="R1665" s="5"/>
      <c r="S1665" s="2"/>
      <c r="T1665" s="2"/>
      <c r="U1665" s="5"/>
      <c r="V1665" s="5"/>
      <c r="W1665" s="2"/>
      <c r="X1665" s="5"/>
      <c r="Y1665" s="1"/>
      <c r="Z1665" s="1"/>
      <c r="AA1665" s="1"/>
    </row>
    <row r="1666">
      <c r="A1666" s="1"/>
      <c r="B1666" s="14"/>
      <c r="C1666" s="2"/>
      <c r="D1666" s="2"/>
      <c r="E1666" s="2"/>
      <c r="F1666" s="2"/>
      <c r="G1666" s="2"/>
      <c r="H1666" s="3"/>
      <c r="I1666" s="2"/>
      <c r="J1666" s="2"/>
      <c r="K1666" s="4"/>
      <c r="L1666" s="4"/>
      <c r="M1666" s="2"/>
      <c r="N1666" s="2"/>
      <c r="O1666" s="2"/>
      <c r="P1666" s="2"/>
      <c r="Q1666" s="5"/>
      <c r="R1666" s="5"/>
      <c r="S1666" s="2"/>
      <c r="T1666" s="2"/>
      <c r="U1666" s="5"/>
      <c r="V1666" s="5"/>
      <c r="W1666" s="2"/>
      <c r="X1666" s="5"/>
      <c r="Y1666" s="1"/>
      <c r="Z1666" s="1"/>
      <c r="AA1666" s="1"/>
    </row>
    <row r="1667">
      <c r="A1667" s="1"/>
      <c r="B1667" s="14"/>
      <c r="C1667" s="2"/>
      <c r="D1667" s="2"/>
      <c r="E1667" s="2"/>
      <c r="F1667" s="2"/>
      <c r="G1667" s="2"/>
      <c r="H1667" s="3"/>
      <c r="I1667" s="2"/>
      <c r="J1667" s="2"/>
      <c r="K1667" s="4"/>
      <c r="L1667" s="4"/>
      <c r="M1667" s="2"/>
      <c r="N1667" s="2"/>
      <c r="O1667" s="2"/>
      <c r="P1667" s="2"/>
      <c r="Q1667" s="5"/>
      <c r="R1667" s="5"/>
      <c r="S1667" s="2"/>
      <c r="T1667" s="2"/>
      <c r="U1667" s="5"/>
      <c r="V1667" s="5"/>
      <c r="W1667" s="2"/>
      <c r="X1667" s="5"/>
      <c r="Y1667" s="1"/>
      <c r="Z1667" s="1"/>
      <c r="AA1667" s="1"/>
    </row>
    <row r="1668">
      <c r="A1668" s="1"/>
      <c r="B1668" s="14"/>
      <c r="C1668" s="2"/>
      <c r="D1668" s="2"/>
      <c r="E1668" s="2"/>
      <c r="F1668" s="2"/>
      <c r="G1668" s="2"/>
      <c r="H1668" s="3"/>
      <c r="I1668" s="2"/>
      <c r="J1668" s="2"/>
      <c r="K1668" s="4"/>
      <c r="L1668" s="4"/>
      <c r="M1668" s="2"/>
      <c r="N1668" s="2"/>
      <c r="O1668" s="2"/>
      <c r="P1668" s="2"/>
      <c r="Q1668" s="5"/>
      <c r="R1668" s="5"/>
      <c r="S1668" s="2"/>
      <c r="T1668" s="2"/>
      <c r="U1668" s="5"/>
      <c r="V1668" s="5"/>
      <c r="W1668" s="2"/>
      <c r="X1668" s="5"/>
      <c r="Y1668" s="1"/>
      <c r="Z1668" s="1"/>
      <c r="AA1668" s="1"/>
    </row>
    <row r="1669">
      <c r="A1669" s="1"/>
      <c r="B1669" s="14"/>
      <c r="C1669" s="2"/>
      <c r="D1669" s="2"/>
      <c r="E1669" s="2"/>
      <c r="F1669" s="2"/>
      <c r="G1669" s="2"/>
      <c r="H1669" s="3"/>
      <c r="I1669" s="2"/>
      <c r="J1669" s="2"/>
      <c r="K1669" s="4"/>
      <c r="L1669" s="4"/>
      <c r="M1669" s="2"/>
      <c r="N1669" s="2"/>
      <c r="O1669" s="2"/>
      <c r="P1669" s="2"/>
      <c r="Q1669" s="5"/>
      <c r="R1669" s="5"/>
      <c r="S1669" s="2"/>
      <c r="T1669" s="2"/>
      <c r="U1669" s="5"/>
      <c r="V1669" s="5"/>
      <c r="W1669" s="2"/>
      <c r="X1669" s="5"/>
      <c r="Y1669" s="1"/>
      <c r="Z1669" s="1"/>
      <c r="AA1669" s="1"/>
    </row>
    <row r="1670">
      <c r="A1670" s="1"/>
      <c r="B1670" s="14"/>
      <c r="C1670" s="2"/>
      <c r="D1670" s="2"/>
      <c r="E1670" s="2"/>
      <c r="F1670" s="2"/>
      <c r="G1670" s="2"/>
      <c r="H1670" s="3"/>
      <c r="I1670" s="2"/>
      <c r="J1670" s="2"/>
      <c r="K1670" s="4"/>
      <c r="L1670" s="4"/>
      <c r="M1670" s="2"/>
      <c r="N1670" s="2"/>
      <c r="O1670" s="2"/>
      <c r="P1670" s="2"/>
      <c r="Q1670" s="5"/>
      <c r="R1670" s="5"/>
      <c r="S1670" s="2"/>
      <c r="T1670" s="2"/>
      <c r="U1670" s="5"/>
      <c r="V1670" s="5"/>
      <c r="W1670" s="2"/>
      <c r="X1670" s="5"/>
      <c r="Y1670" s="1"/>
      <c r="Z1670" s="1"/>
      <c r="AA1670" s="1"/>
    </row>
    <row r="1671">
      <c r="A1671" s="1"/>
      <c r="B1671" s="14"/>
      <c r="C1671" s="2"/>
      <c r="D1671" s="2"/>
      <c r="E1671" s="2"/>
      <c r="F1671" s="2"/>
      <c r="G1671" s="2"/>
      <c r="H1671" s="3"/>
      <c r="I1671" s="2"/>
      <c r="J1671" s="2"/>
      <c r="K1671" s="4"/>
      <c r="L1671" s="4"/>
      <c r="M1671" s="2"/>
      <c r="N1671" s="2"/>
      <c r="O1671" s="2"/>
      <c r="P1671" s="2"/>
      <c r="Q1671" s="5"/>
      <c r="R1671" s="5"/>
      <c r="S1671" s="2"/>
      <c r="T1671" s="2"/>
      <c r="U1671" s="5"/>
      <c r="V1671" s="5"/>
      <c r="W1671" s="2"/>
      <c r="X1671" s="5"/>
      <c r="Y1671" s="1"/>
      <c r="Z1671" s="1"/>
      <c r="AA1671" s="1"/>
    </row>
    <row r="1672">
      <c r="A1672" s="1"/>
      <c r="B1672" s="14"/>
      <c r="C1672" s="2"/>
      <c r="D1672" s="2"/>
      <c r="E1672" s="2"/>
      <c r="F1672" s="2"/>
      <c r="G1672" s="2"/>
      <c r="H1672" s="3"/>
      <c r="I1672" s="2"/>
      <c r="J1672" s="2"/>
      <c r="K1672" s="4"/>
      <c r="L1672" s="4"/>
      <c r="M1672" s="2"/>
      <c r="N1672" s="2"/>
      <c r="O1672" s="2"/>
      <c r="P1672" s="2"/>
      <c r="Q1672" s="5"/>
      <c r="R1672" s="5"/>
      <c r="S1672" s="2"/>
      <c r="T1672" s="2"/>
      <c r="U1672" s="5"/>
      <c r="V1672" s="5"/>
      <c r="W1672" s="2"/>
      <c r="X1672" s="5"/>
      <c r="Y1672" s="1"/>
      <c r="Z1672" s="1"/>
      <c r="AA1672" s="1"/>
    </row>
    <row r="1673">
      <c r="A1673" s="1"/>
      <c r="B1673" s="14"/>
      <c r="C1673" s="2"/>
      <c r="D1673" s="2"/>
      <c r="E1673" s="2"/>
      <c r="F1673" s="2"/>
      <c r="G1673" s="2"/>
      <c r="H1673" s="3"/>
      <c r="I1673" s="2"/>
      <c r="J1673" s="2"/>
      <c r="K1673" s="4"/>
      <c r="L1673" s="4"/>
      <c r="M1673" s="2"/>
      <c r="N1673" s="2"/>
      <c r="O1673" s="2"/>
      <c r="P1673" s="2"/>
      <c r="Q1673" s="5"/>
      <c r="R1673" s="5"/>
      <c r="S1673" s="2"/>
      <c r="T1673" s="2"/>
      <c r="U1673" s="5"/>
      <c r="V1673" s="5"/>
      <c r="W1673" s="2"/>
      <c r="X1673" s="5"/>
      <c r="Y1673" s="1"/>
      <c r="Z1673" s="1"/>
      <c r="AA1673" s="1"/>
    </row>
    <row r="1674">
      <c r="A1674" s="1"/>
      <c r="B1674" s="14"/>
      <c r="C1674" s="2"/>
      <c r="D1674" s="2"/>
      <c r="E1674" s="2"/>
      <c r="F1674" s="2"/>
      <c r="G1674" s="2"/>
      <c r="H1674" s="3"/>
      <c r="I1674" s="2"/>
      <c r="J1674" s="2"/>
      <c r="K1674" s="4"/>
      <c r="L1674" s="4"/>
      <c r="M1674" s="2"/>
      <c r="N1674" s="2"/>
      <c r="O1674" s="2"/>
      <c r="P1674" s="2"/>
      <c r="Q1674" s="5"/>
      <c r="R1674" s="5"/>
      <c r="S1674" s="2"/>
      <c r="T1674" s="2"/>
      <c r="U1674" s="5"/>
      <c r="V1674" s="5"/>
      <c r="W1674" s="2"/>
      <c r="X1674" s="5"/>
      <c r="Y1674" s="1"/>
      <c r="Z1674" s="1"/>
      <c r="AA1674" s="1"/>
    </row>
    <row r="1675">
      <c r="A1675" s="1"/>
      <c r="B1675" s="14"/>
      <c r="C1675" s="2"/>
      <c r="D1675" s="2"/>
      <c r="E1675" s="2"/>
      <c r="F1675" s="2"/>
      <c r="G1675" s="2"/>
      <c r="H1675" s="3"/>
      <c r="I1675" s="2"/>
      <c r="J1675" s="2"/>
      <c r="K1675" s="4"/>
      <c r="L1675" s="4"/>
      <c r="M1675" s="2"/>
      <c r="N1675" s="2"/>
      <c r="O1675" s="2"/>
      <c r="P1675" s="2"/>
      <c r="Q1675" s="5"/>
      <c r="R1675" s="5"/>
      <c r="S1675" s="2"/>
      <c r="T1675" s="2"/>
      <c r="U1675" s="5"/>
      <c r="V1675" s="5"/>
      <c r="W1675" s="2"/>
      <c r="X1675" s="5"/>
      <c r="Y1675" s="1"/>
      <c r="Z1675" s="1"/>
      <c r="AA1675" s="1"/>
    </row>
    <row r="1676">
      <c r="A1676" s="1"/>
      <c r="B1676" s="14"/>
      <c r="C1676" s="2"/>
      <c r="D1676" s="2"/>
      <c r="E1676" s="2"/>
      <c r="F1676" s="2"/>
      <c r="G1676" s="2"/>
      <c r="H1676" s="3"/>
      <c r="I1676" s="2"/>
      <c r="J1676" s="2"/>
      <c r="K1676" s="4"/>
      <c r="L1676" s="4"/>
      <c r="M1676" s="2"/>
      <c r="N1676" s="2"/>
      <c r="O1676" s="2"/>
      <c r="P1676" s="2"/>
      <c r="Q1676" s="5"/>
      <c r="R1676" s="5"/>
      <c r="S1676" s="2"/>
      <c r="T1676" s="2"/>
      <c r="U1676" s="5"/>
      <c r="V1676" s="5"/>
      <c r="W1676" s="2"/>
      <c r="X1676" s="5"/>
      <c r="Y1676" s="1"/>
      <c r="Z1676" s="1"/>
      <c r="AA1676" s="1"/>
    </row>
    <row r="1677">
      <c r="A1677" s="1"/>
      <c r="B1677" s="14"/>
      <c r="C1677" s="2"/>
      <c r="D1677" s="2"/>
      <c r="E1677" s="2"/>
      <c r="F1677" s="2"/>
      <c r="G1677" s="2"/>
      <c r="H1677" s="3"/>
      <c r="I1677" s="2"/>
      <c r="J1677" s="2"/>
      <c r="K1677" s="4"/>
      <c r="L1677" s="4"/>
      <c r="M1677" s="2"/>
      <c r="N1677" s="2"/>
      <c r="O1677" s="2"/>
      <c r="P1677" s="2"/>
      <c r="Q1677" s="5"/>
      <c r="R1677" s="5"/>
      <c r="S1677" s="2"/>
      <c r="T1677" s="2"/>
      <c r="U1677" s="5"/>
      <c r="V1677" s="5"/>
      <c r="W1677" s="2"/>
      <c r="X1677" s="5"/>
      <c r="Y1677" s="1"/>
      <c r="Z1677" s="1"/>
      <c r="AA1677" s="1"/>
    </row>
    <row r="1678">
      <c r="A1678" s="1"/>
      <c r="B1678" s="14"/>
      <c r="C1678" s="2"/>
      <c r="D1678" s="2"/>
      <c r="E1678" s="2"/>
      <c r="F1678" s="2"/>
      <c r="G1678" s="2"/>
      <c r="H1678" s="3"/>
      <c r="I1678" s="2"/>
      <c r="J1678" s="2"/>
      <c r="K1678" s="4"/>
      <c r="L1678" s="4"/>
      <c r="M1678" s="2"/>
      <c r="N1678" s="2"/>
      <c r="O1678" s="2"/>
      <c r="P1678" s="2"/>
      <c r="Q1678" s="5"/>
      <c r="R1678" s="5"/>
      <c r="S1678" s="2"/>
      <c r="T1678" s="2"/>
      <c r="U1678" s="5"/>
      <c r="V1678" s="5"/>
      <c r="W1678" s="2"/>
      <c r="X1678" s="5"/>
      <c r="Y1678" s="1"/>
      <c r="Z1678" s="1"/>
      <c r="AA1678" s="1"/>
    </row>
    <row r="1679">
      <c r="A1679" s="1"/>
      <c r="B1679" s="14"/>
      <c r="C1679" s="2"/>
      <c r="D1679" s="2"/>
      <c r="E1679" s="2"/>
      <c r="F1679" s="2"/>
      <c r="G1679" s="2"/>
      <c r="H1679" s="3"/>
      <c r="I1679" s="2"/>
      <c r="J1679" s="2"/>
      <c r="K1679" s="4"/>
      <c r="L1679" s="4"/>
      <c r="M1679" s="2"/>
      <c r="N1679" s="2"/>
      <c r="O1679" s="2"/>
      <c r="P1679" s="2"/>
      <c r="Q1679" s="5"/>
      <c r="R1679" s="5"/>
      <c r="S1679" s="2"/>
      <c r="T1679" s="2"/>
      <c r="U1679" s="5"/>
      <c r="V1679" s="5"/>
      <c r="W1679" s="2"/>
      <c r="X1679" s="5"/>
      <c r="Y1679" s="1"/>
      <c r="Z1679" s="1"/>
      <c r="AA1679" s="1"/>
    </row>
    <row r="1680">
      <c r="A1680" s="1"/>
      <c r="B1680" s="14"/>
      <c r="C1680" s="2"/>
      <c r="D1680" s="2"/>
      <c r="E1680" s="2"/>
      <c r="F1680" s="2"/>
      <c r="G1680" s="2"/>
      <c r="H1680" s="3"/>
      <c r="I1680" s="2"/>
      <c r="J1680" s="2"/>
      <c r="K1680" s="4"/>
      <c r="L1680" s="4"/>
      <c r="M1680" s="2"/>
      <c r="N1680" s="2"/>
      <c r="O1680" s="2"/>
      <c r="P1680" s="2"/>
      <c r="Q1680" s="5"/>
      <c r="R1680" s="5"/>
      <c r="S1680" s="2"/>
      <c r="T1680" s="2"/>
      <c r="U1680" s="5"/>
      <c r="V1680" s="5"/>
      <c r="W1680" s="2"/>
      <c r="X1680" s="5"/>
      <c r="Y1680" s="1"/>
      <c r="Z1680" s="1"/>
      <c r="AA1680" s="1"/>
    </row>
    <row r="1681">
      <c r="A1681" s="1"/>
      <c r="B1681" s="14"/>
      <c r="C1681" s="2"/>
      <c r="D1681" s="2"/>
      <c r="E1681" s="2"/>
      <c r="F1681" s="2"/>
      <c r="G1681" s="2"/>
      <c r="H1681" s="3"/>
      <c r="I1681" s="2"/>
      <c r="J1681" s="2"/>
      <c r="K1681" s="4"/>
      <c r="L1681" s="4"/>
      <c r="M1681" s="2"/>
      <c r="N1681" s="2"/>
      <c r="O1681" s="2"/>
      <c r="P1681" s="2"/>
      <c r="Q1681" s="5"/>
      <c r="R1681" s="5"/>
      <c r="S1681" s="2"/>
      <c r="T1681" s="2"/>
      <c r="U1681" s="5"/>
      <c r="V1681" s="5"/>
      <c r="W1681" s="2"/>
      <c r="X1681" s="5"/>
      <c r="Y1681" s="1"/>
      <c r="Z1681" s="1"/>
      <c r="AA1681" s="1"/>
    </row>
    <row r="1682">
      <c r="A1682" s="1"/>
      <c r="B1682" s="14"/>
      <c r="C1682" s="2"/>
      <c r="D1682" s="2"/>
      <c r="E1682" s="2"/>
      <c r="F1682" s="2"/>
      <c r="G1682" s="2"/>
      <c r="H1682" s="3"/>
      <c r="I1682" s="2"/>
      <c r="J1682" s="2"/>
      <c r="K1682" s="4"/>
      <c r="L1682" s="4"/>
      <c r="M1682" s="2"/>
      <c r="N1682" s="2"/>
      <c r="O1682" s="2"/>
      <c r="P1682" s="2"/>
      <c r="Q1682" s="5"/>
      <c r="R1682" s="5"/>
      <c r="S1682" s="2"/>
      <c r="T1682" s="2"/>
      <c r="U1682" s="5"/>
      <c r="V1682" s="5"/>
      <c r="W1682" s="2"/>
      <c r="X1682" s="5"/>
      <c r="Y1682" s="1"/>
      <c r="Z1682" s="1"/>
      <c r="AA1682" s="1"/>
    </row>
    <row r="1683">
      <c r="A1683" s="1"/>
      <c r="B1683" s="14"/>
      <c r="C1683" s="2"/>
      <c r="D1683" s="2"/>
      <c r="E1683" s="2"/>
      <c r="F1683" s="2"/>
      <c r="G1683" s="2"/>
      <c r="H1683" s="3"/>
      <c r="I1683" s="2"/>
      <c r="J1683" s="2"/>
      <c r="K1683" s="4"/>
      <c r="L1683" s="4"/>
      <c r="M1683" s="2"/>
      <c r="N1683" s="2"/>
      <c r="O1683" s="2"/>
      <c r="P1683" s="2"/>
      <c r="Q1683" s="5"/>
      <c r="R1683" s="5"/>
      <c r="S1683" s="2"/>
      <c r="T1683" s="2"/>
      <c r="U1683" s="5"/>
      <c r="V1683" s="5"/>
      <c r="W1683" s="2"/>
      <c r="X1683" s="5"/>
      <c r="Y1683" s="1"/>
      <c r="Z1683" s="1"/>
      <c r="AA1683" s="1"/>
    </row>
    <row r="1684">
      <c r="A1684" s="1"/>
      <c r="B1684" s="14"/>
      <c r="C1684" s="2"/>
      <c r="D1684" s="2"/>
      <c r="E1684" s="2"/>
      <c r="F1684" s="2"/>
      <c r="G1684" s="2"/>
      <c r="H1684" s="3"/>
      <c r="I1684" s="2"/>
      <c r="J1684" s="2"/>
      <c r="K1684" s="4"/>
      <c r="L1684" s="4"/>
      <c r="M1684" s="2"/>
      <c r="N1684" s="2"/>
      <c r="O1684" s="2"/>
      <c r="P1684" s="2"/>
      <c r="Q1684" s="5"/>
      <c r="R1684" s="5"/>
      <c r="S1684" s="2"/>
      <c r="T1684" s="2"/>
      <c r="U1684" s="5"/>
      <c r="V1684" s="5"/>
      <c r="W1684" s="2"/>
      <c r="X1684" s="5"/>
      <c r="Y1684" s="1"/>
      <c r="Z1684" s="1"/>
      <c r="AA1684" s="1"/>
    </row>
    <row r="1685">
      <c r="A1685" s="1"/>
      <c r="B1685" s="14"/>
      <c r="C1685" s="2"/>
      <c r="D1685" s="2"/>
      <c r="E1685" s="2"/>
      <c r="F1685" s="2"/>
      <c r="G1685" s="2"/>
      <c r="H1685" s="3"/>
      <c r="I1685" s="2"/>
      <c r="J1685" s="2"/>
      <c r="K1685" s="4"/>
      <c r="L1685" s="4"/>
      <c r="M1685" s="2"/>
      <c r="N1685" s="2"/>
      <c r="O1685" s="2"/>
      <c r="P1685" s="2"/>
      <c r="Q1685" s="5"/>
      <c r="R1685" s="5"/>
      <c r="S1685" s="2"/>
      <c r="T1685" s="2"/>
      <c r="U1685" s="5"/>
      <c r="V1685" s="5"/>
      <c r="W1685" s="2"/>
      <c r="X1685" s="5"/>
      <c r="Y1685" s="1"/>
      <c r="Z1685" s="1"/>
      <c r="AA1685" s="1"/>
    </row>
    <row r="1686">
      <c r="A1686" s="1"/>
      <c r="B1686" s="14"/>
      <c r="C1686" s="2"/>
      <c r="D1686" s="2"/>
      <c r="E1686" s="2"/>
      <c r="F1686" s="2"/>
      <c r="G1686" s="2"/>
      <c r="H1686" s="3"/>
      <c r="I1686" s="2"/>
      <c r="J1686" s="2"/>
      <c r="K1686" s="4"/>
      <c r="L1686" s="4"/>
      <c r="M1686" s="2"/>
      <c r="N1686" s="2"/>
      <c r="O1686" s="2"/>
      <c r="P1686" s="2"/>
      <c r="Q1686" s="5"/>
      <c r="R1686" s="5"/>
      <c r="S1686" s="2"/>
      <c r="T1686" s="2"/>
      <c r="U1686" s="5"/>
      <c r="V1686" s="5"/>
      <c r="W1686" s="2"/>
      <c r="X1686" s="5"/>
      <c r="Y1686" s="1"/>
      <c r="Z1686" s="1"/>
      <c r="AA1686" s="1"/>
    </row>
    <row r="1687">
      <c r="A1687" s="1"/>
      <c r="B1687" s="14"/>
      <c r="C1687" s="2"/>
      <c r="D1687" s="2"/>
      <c r="E1687" s="2"/>
      <c r="F1687" s="2"/>
      <c r="G1687" s="2"/>
      <c r="H1687" s="3"/>
      <c r="I1687" s="2"/>
      <c r="J1687" s="2"/>
      <c r="K1687" s="4"/>
      <c r="L1687" s="4"/>
      <c r="M1687" s="2"/>
      <c r="N1687" s="2"/>
      <c r="O1687" s="2"/>
      <c r="P1687" s="2"/>
      <c r="Q1687" s="5"/>
      <c r="R1687" s="5"/>
      <c r="S1687" s="2"/>
      <c r="T1687" s="2"/>
      <c r="U1687" s="5"/>
      <c r="V1687" s="5"/>
      <c r="W1687" s="2"/>
      <c r="X1687" s="5"/>
      <c r="Y1687" s="1"/>
      <c r="Z1687" s="1"/>
      <c r="AA1687" s="1"/>
    </row>
    <row r="1688">
      <c r="A1688" s="1"/>
      <c r="B1688" s="14"/>
      <c r="C1688" s="2"/>
      <c r="D1688" s="2"/>
      <c r="E1688" s="2"/>
      <c r="F1688" s="2"/>
      <c r="G1688" s="2"/>
      <c r="H1688" s="3"/>
      <c r="I1688" s="2"/>
      <c r="J1688" s="2"/>
      <c r="K1688" s="4"/>
      <c r="L1688" s="4"/>
      <c r="M1688" s="2"/>
      <c r="N1688" s="2"/>
      <c r="O1688" s="2"/>
      <c r="P1688" s="2"/>
      <c r="Q1688" s="5"/>
      <c r="R1688" s="5"/>
      <c r="S1688" s="2"/>
      <c r="T1688" s="2"/>
      <c r="U1688" s="5"/>
      <c r="V1688" s="5"/>
      <c r="W1688" s="2"/>
      <c r="X1688" s="5"/>
      <c r="Y1688" s="1"/>
      <c r="Z1688" s="1"/>
      <c r="AA1688" s="1"/>
    </row>
    <row r="1689">
      <c r="A1689" s="1"/>
      <c r="B1689" s="14"/>
      <c r="C1689" s="2"/>
      <c r="D1689" s="2"/>
      <c r="E1689" s="2"/>
      <c r="F1689" s="2"/>
      <c r="G1689" s="2"/>
      <c r="H1689" s="3"/>
      <c r="I1689" s="2"/>
      <c r="J1689" s="2"/>
      <c r="K1689" s="4"/>
      <c r="L1689" s="4"/>
      <c r="M1689" s="2"/>
      <c r="N1689" s="2"/>
      <c r="O1689" s="2"/>
      <c r="P1689" s="2"/>
      <c r="Q1689" s="5"/>
      <c r="R1689" s="5"/>
      <c r="S1689" s="2"/>
      <c r="T1689" s="2"/>
      <c r="U1689" s="5"/>
      <c r="V1689" s="5"/>
      <c r="W1689" s="2"/>
      <c r="X1689" s="5"/>
      <c r="Y1689" s="1"/>
      <c r="Z1689" s="1"/>
      <c r="AA1689" s="1"/>
    </row>
    <row r="1690">
      <c r="A1690" s="1"/>
      <c r="B1690" s="14"/>
      <c r="C1690" s="2"/>
      <c r="D1690" s="2"/>
      <c r="E1690" s="2"/>
      <c r="F1690" s="2"/>
      <c r="G1690" s="2"/>
      <c r="H1690" s="3"/>
      <c r="I1690" s="2"/>
      <c r="J1690" s="2"/>
      <c r="K1690" s="4"/>
      <c r="L1690" s="4"/>
      <c r="M1690" s="2"/>
      <c r="N1690" s="2"/>
      <c r="O1690" s="2"/>
      <c r="P1690" s="2"/>
      <c r="Q1690" s="5"/>
      <c r="R1690" s="5"/>
      <c r="S1690" s="2"/>
      <c r="T1690" s="2"/>
      <c r="U1690" s="5"/>
      <c r="V1690" s="5"/>
      <c r="W1690" s="2"/>
      <c r="X1690" s="5"/>
      <c r="Y1690" s="1"/>
      <c r="Z1690" s="1"/>
      <c r="AA1690" s="1"/>
    </row>
    <row r="1691">
      <c r="A1691" s="1"/>
      <c r="B1691" s="14"/>
      <c r="C1691" s="2"/>
      <c r="D1691" s="2"/>
      <c r="E1691" s="2"/>
      <c r="F1691" s="2"/>
      <c r="G1691" s="2"/>
      <c r="H1691" s="3"/>
      <c r="I1691" s="2"/>
      <c r="J1691" s="2"/>
      <c r="K1691" s="4"/>
      <c r="L1691" s="4"/>
      <c r="M1691" s="2"/>
      <c r="N1691" s="2"/>
      <c r="O1691" s="2"/>
      <c r="P1691" s="2"/>
      <c r="Q1691" s="5"/>
      <c r="R1691" s="5"/>
      <c r="S1691" s="2"/>
      <c r="T1691" s="2"/>
      <c r="U1691" s="5"/>
      <c r="V1691" s="5"/>
      <c r="W1691" s="2"/>
      <c r="X1691" s="5"/>
      <c r="Y1691" s="1"/>
      <c r="Z1691" s="1"/>
      <c r="AA1691" s="1"/>
    </row>
    <row r="1692">
      <c r="A1692" s="1"/>
      <c r="B1692" s="14"/>
      <c r="C1692" s="2"/>
      <c r="D1692" s="2"/>
      <c r="E1692" s="2"/>
      <c r="F1692" s="2"/>
      <c r="G1692" s="2"/>
      <c r="H1692" s="3"/>
      <c r="I1692" s="2"/>
      <c r="J1692" s="2"/>
      <c r="K1692" s="4"/>
      <c r="L1692" s="4"/>
      <c r="M1692" s="2"/>
      <c r="N1692" s="2"/>
      <c r="O1692" s="2"/>
      <c r="P1692" s="2"/>
      <c r="Q1692" s="5"/>
      <c r="R1692" s="5"/>
      <c r="S1692" s="2"/>
      <c r="T1692" s="2"/>
      <c r="U1692" s="5"/>
      <c r="V1692" s="5"/>
      <c r="W1692" s="2"/>
      <c r="X1692" s="5"/>
      <c r="Y1692" s="1"/>
      <c r="Z1692" s="1"/>
      <c r="AA1692" s="1"/>
    </row>
    <row r="1693">
      <c r="A1693" s="1"/>
      <c r="B1693" s="14"/>
      <c r="C1693" s="2"/>
      <c r="D1693" s="2"/>
      <c r="E1693" s="2"/>
      <c r="F1693" s="2"/>
      <c r="G1693" s="2"/>
      <c r="H1693" s="3"/>
      <c r="I1693" s="2"/>
      <c r="J1693" s="2"/>
      <c r="K1693" s="4"/>
      <c r="L1693" s="4"/>
      <c r="M1693" s="2"/>
      <c r="N1693" s="2"/>
      <c r="O1693" s="2"/>
      <c r="P1693" s="2"/>
      <c r="Q1693" s="5"/>
      <c r="R1693" s="5"/>
      <c r="S1693" s="2"/>
      <c r="T1693" s="2"/>
      <c r="U1693" s="5"/>
      <c r="V1693" s="5"/>
      <c r="W1693" s="2"/>
      <c r="X1693" s="5"/>
      <c r="Y1693" s="1"/>
      <c r="Z1693" s="1"/>
      <c r="AA1693" s="1"/>
    </row>
    <row r="1694">
      <c r="A1694" s="1"/>
      <c r="B1694" s="14"/>
      <c r="C1694" s="2"/>
      <c r="D1694" s="2"/>
      <c r="E1694" s="2"/>
      <c r="F1694" s="2"/>
      <c r="G1694" s="2"/>
      <c r="H1694" s="3"/>
      <c r="I1694" s="2"/>
      <c r="J1694" s="2"/>
      <c r="K1694" s="4"/>
      <c r="L1694" s="4"/>
      <c r="M1694" s="2"/>
      <c r="N1694" s="2"/>
      <c r="O1694" s="2"/>
      <c r="P1694" s="2"/>
      <c r="Q1694" s="5"/>
      <c r="R1694" s="5"/>
      <c r="S1694" s="2"/>
      <c r="T1694" s="2"/>
      <c r="U1694" s="5"/>
      <c r="V1694" s="5"/>
      <c r="W1694" s="2"/>
      <c r="X1694" s="5"/>
      <c r="Y1694" s="1"/>
      <c r="Z1694" s="1"/>
      <c r="AA1694" s="1"/>
    </row>
    <row r="1695">
      <c r="A1695" s="1"/>
      <c r="B1695" s="14"/>
      <c r="C1695" s="2"/>
      <c r="D1695" s="2"/>
      <c r="E1695" s="2"/>
      <c r="F1695" s="2"/>
      <c r="G1695" s="2"/>
      <c r="H1695" s="3"/>
      <c r="I1695" s="2"/>
      <c r="J1695" s="2"/>
      <c r="K1695" s="4"/>
      <c r="L1695" s="4"/>
      <c r="M1695" s="2"/>
      <c r="N1695" s="2"/>
      <c r="O1695" s="2"/>
      <c r="P1695" s="2"/>
      <c r="Q1695" s="5"/>
      <c r="R1695" s="5"/>
      <c r="S1695" s="2"/>
      <c r="T1695" s="2"/>
      <c r="U1695" s="5"/>
      <c r="V1695" s="5"/>
      <c r="W1695" s="2"/>
      <c r="X1695" s="5"/>
      <c r="Y1695" s="1"/>
      <c r="Z1695" s="1"/>
      <c r="AA1695" s="1"/>
    </row>
    <row r="1696">
      <c r="A1696" s="1"/>
      <c r="B1696" s="14"/>
      <c r="C1696" s="2"/>
      <c r="D1696" s="2"/>
      <c r="E1696" s="2"/>
      <c r="F1696" s="2"/>
      <c r="G1696" s="2"/>
      <c r="H1696" s="3"/>
      <c r="I1696" s="2"/>
      <c r="J1696" s="2"/>
      <c r="K1696" s="4"/>
      <c r="L1696" s="4"/>
      <c r="M1696" s="2"/>
      <c r="N1696" s="2"/>
      <c r="O1696" s="2"/>
      <c r="P1696" s="2"/>
      <c r="Q1696" s="5"/>
      <c r="R1696" s="5"/>
      <c r="S1696" s="2"/>
      <c r="T1696" s="2"/>
      <c r="U1696" s="5"/>
      <c r="V1696" s="5"/>
      <c r="W1696" s="2"/>
      <c r="X1696" s="5"/>
      <c r="Y1696" s="1"/>
      <c r="Z1696" s="1"/>
      <c r="AA1696" s="1"/>
    </row>
    <row r="1697">
      <c r="A1697" s="1"/>
      <c r="B1697" s="14"/>
      <c r="C1697" s="2"/>
      <c r="D1697" s="2"/>
      <c r="E1697" s="2"/>
      <c r="F1697" s="2"/>
      <c r="G1697" s="2"/>
      <c r="H1697" s="3"/>
      <c r="I1697" s="2"/>
      <c r="J1697" s="2"/>
      <c r="K1697" s="4"/>
      <c r="L1697" s="4"/>
      <c r="M1697" s="2"/>
      <c r="N1697" s="2"/>
      <c r="O1697" s="2"/>
      <c r="P1697" s="2"/>
      <c r="Q1697" s="5"/>
      <c r="R1697" s="5"/>
      <c r="S1697" s="2"/>
      <c r="T1697" s="2"/>
      <c r="U1697" s="5"/>
      <c r="V1697" s="5"/>
      <c r="W1697" s="2"/>
      <c r="X1697" s="5"/>
      <c r="Y1697" s="1"/>
      <c r="Z1697" s="1"/>
      <c r="AA1697" s="1"/>
    </row>
    <row r="1698">
      <c r="A1698" s="1"/>
      <c r="B1698" s="14"/>
      <c r="C1698" s="2"/>
      <c r="D1698" s="2"/>
      <c r="E1698" s="2"/>
      <c r="F1698" s="2"/>
      <c r="G1698" s="2"/>
      <c r="H1698" s="3"/>
      <c r="I1698" s="2"/>
      <c r="J1698" s="2"/>
      <c r="K1698" s="4"/>
      <c r="L1698" s="4"/>
      <c r="M1698" s="2"/>
      <c r="N1698" s="2"/>
      <c r="O1698" s="2"/>
      <c r="P1698" s="2"/>
      <c r="Q1698" s="5"/>
      <c r="R1698" s="5"/>
      <c r="S1698" s="2"/>
      <c r="T1698" s="2"/>
      <c r="U1698" s="5"/>
      <c r="V1698" s="5"/>
      <c r="W1698" s="2"/>
      <c r="X1698" s="5"/>
      <c r="Y1698" s="1"/>
      <c r="Z1698" s="1"/>
      <c r="AA1698" s="1"/>
    </row>
    <row r="1699">
      <c r="A1699" s="1"/>
      <c r="B1699" s="14"/>
      <c r="C1699" s="2"/>
      <c r="D1699" s="2"/>
      <c r="E1699" s="2"/>
      <c r="F1699" s="2"/>
      <c r="G1699" s="2"/>
      <c r="H1699" s="3"/>
      <c r="I1699" s="2"/>
      <c r="J1699" s="2"/>
      <c r="K1699" s="4"/>
      <c r="L1699" s="4"/>
      <c r="M1699" s="2"/>
      <c r="N1699" s="2"/>
      <c r="O1699" s="2"/>
      <c r="P1699" s="2"/>
      <c r="Q1699" s="5"/>
      <c r="R1699" s="5"/>
      <c r="S1699" s="2"/>
      <c r="T1699" s="2"/>
      <c r="U1699" s="5"/>
      <c r="V1699" s="5"/>
      <c r="W1699" s="2"/>
      <c r="X1699" s="5"/>
      <c r="Y1699" s="1"/>
      <c r="Z1699" s="1"/>
      <c r="AA1699" s="1"/>
    </row>
    <row r="1700">
      <c r="A1700" s="1"/>
      <c r="B1700" s="14"/>
      <c r="C1700" s="2"/>
      <c r="D1700" s="2"/>
      <c r="E1700" s="2"/>
      <c r="F1700" s="2"/>
      <c r="G1700" s="2"/>
      <c r="H1700" s="3"/>
      <c r="I1700" s="2"/>
      <c r="J1700" s="2"/>
      <c r="K1700" s="4"/>
      <c r="L1700" s="4"/>
      <c r="M1700" s="2"/>
      <c r="N1700" s="2"/>
      <c r="O1700" s="2"/>
      <c r="P1700" s="2"/>
      <c r="Q1700" s="5"/>
      <c r="R1700" s="5"/>
      <c r="S1700" s="2"/>
      <c r="T1700" s="2"/>
      <c r="U1700" s="5"/>
      <c r="V1700" s="5"/>
      <c r="W1700" s="2"/>
      <c r="X1700" s="5"/>
      <c r="Y1700" s="1"/>
      <c r="Z1700" s="1"/>
      <c r="AA1700" s="1"/>
    </row>
    <row r="1701">
      <c r="A1701" s="1"/>
      <c r="B1701" s="14"/>
      <c r="C1701" s="2"/>
      <c r="D1701" s="2"/>
      <c r="E1701" s="2"/>
      <c r="F1701" s="2"/>
      <c r="G1701" s="2"/>
      <c r="H1701" s="3"/>
      <c r="I1701" s="2"/>
      <c r="J1701" s="2"/>
      <c r="K1701" s="4"/>
      <c r="L1701" s="4"/>
      <c r="M1701" s="2"/>
      <c r="N1701" s="2"/>
      <c r="O1701" s="2"/>
      <c r="P1701" s="2"/>
      <c r="Q1701" s="5"/>
      <c r="R1701" s="5"/>
      <c r="S1701" s="2"/>
      <c r="T1701" s="2"/>
      <c r="U1701" s="5"/>
      <c r="V1701" s="5"/>
      <c r="W1701" s="2"/>
      <c r="X1701" s="5"/>
      <c r="Y1701" s="1"/>
      <c r="Z1701" s="1"/>
      <c r="AA1701" s="1"/>
    </row>
    <row r="1702">
      <c r="A1702" s="1"/>
      <c r="B1702" s="14"/>
      <c r="C1702" s="2"/>
      <c r="D1702" s="2"/>
      <c r="E1702" s="2"/>
      <c r="F1702" s="2"/>
      <c r="G1702" s="2"/>
      <c r="H1702" s="3"/>
      <c r="I1702" s="2"/>
      <c r="J1702" s="2"/>
      <c r="K1702" s="4"/>
      <c r="L1702" s="4"/>
      <c r="M1702" s="2"/>
      <c r="N1702" s="2"/>
      <c r="O1702" s="2"/>
      <c r="P1702" s="2"/>
      <c r="Q1702" s="5"/>
      <c r="R1702" s="5"/>
      <c r="S1702" s="2"/>
      <c r="T1702" s="2"/>
      <c r="U1702" s="5"/>
      <c r="V1702" s="5"/>
      <c r="W1702" s="2"/>
      <c r="X1702" s="5"/>
      <c r="Y1702" s="1"/>
      <c r="Z1702" s="1"/>
      <c r="AA1702" s="1"/>
    </row>
    <row r="1703">
      <c r="A1703" s="1"/>
      <c r="B1703" s="14"/>
      <c r="C1703" s="2"/>
      <c r="D1703" s="2"/>
      <c r="E1703" s="2"/>
      <c r="F1703" s="2"/>
      <c r="G1703" s="2"/>
      <c r="H1703" s="3"/>
      <c r="I1703" s="2"/>
      <c r="J1703" s="2"/>
      <c r="K1703" s="4"/>
      <c r="L1703" s="4"/>
      <c r="M1703" s="2"/>
      <c r="N1703" s="2"/>
      <c r="O1703" s="2"/>
      <c r="P1703" s="2"/>
      <c r="Q1703" s="5"/>
      <c r="R1703" s="5"/>
      <c r="S1703" s="2"/>
      <c r="T1703" s="2"/>
      <c r="U1703" s="5"/>
      <c r="V1703" s="5"/>
      <c r="W1703" s="2"/>
      <c r="X1703" s="5"/>
      <c r="Y1703" s="1"/>
      <c r="Z1703" s="1"/>
      <c r="AA1703" s="1"/>
    </row>
    <row r="1704">
      <c r="A1704" s="1"/>
      <c r="B1704" s="14"/>
      <c r="C1704" s="2"/>
      <c r="D1704" s="2"/>
      <c r="E1704" s="2"/>
      <c r="F1704" s="2"/>
      <c r="G1704" s="2"/>
      <c r="H1704" s="3"/>
      <c r="I1704" s="2"/>
      <c r="J1704" s="2"/>
      <c r="K1704" s="4"/>
      <c r="L1704" s="4"/>
      <c r="M1704" s="2"/>
      <c r="N1704" s="2"/>
      <c r="O1704" s="2"/>
      <c r="P1704" s="2"/>
      <c r="Q1704" s="5"/>
      <c r="R1704" s="5"/>
      <c r="S1704" s="2"/>
      <c r="T1704" s="2"/>
      <c r="U1704" s="5"/>
      <c r="V1704" s="5"/>
      <c r="W1704" s="2"/>
      <c r="X1704" s="5"/>
      <c r="Y1704" s="1"/>
      <c r="Z1704" s="1"/>
      <c r="AA1704" s="1"/>
    </row>
    <row r="1705">
      <c r="A1705" s="1"/>
      <c r="B1705" s="14"/>
      <c r="C1705" s="2"/>
      <c r="D1705" s="2"/>
      <c r="E1705" s="2"/>
      <c r="F1705" s="2"/>
      <c r="G1705" s="2"/>
      <c r="H1705" s="3"/>
      <c r="I1705" s="2"/>
      <c r="J1705" s="2"/>
      <c r="K1705" s="4"/>
      <c r="L1705" s="4"/>
      <c r="M1705" s="2"/>
      <c r="N1705" s="2"/>
      <c r="O1705" s="2"/>
      <c r="P1705" s="2"/>
      <c r="Q1705" s="5"/>
      <c r="R1705" s="5"/>
      <c r="S1705" s="2"/>
      <c r="T1705" s="2"/>
      <c r="U1705" s="5"/>
      <c r="V1705" s="5"/>
      <c r="W1705" s="2"/>
      <c r="X1705" s="5"/>
      <c r="Y1705" s="1"/>
      <c r="Z1705" s="1"/>
      <c r="AA1705" s="1"/>
    </row>
    <row r="1706">
      <c r="A1706" s="1"/>
      <c r="B1706" s="14"/>
      <c r="C1706" s="2"/>
      <c r="D1706" s="2"/>
      <c r="E1706" s="2"/>
      <c r="F1706" s="2"/>
      <c r="G1706" s="2"/>
      <c r="H1706" s="3"/>
      <c r="I1706" s="2"/>
      <c r="J1706" s="2"/>
      <c r="K1706" s="4"/>
      <c r="L1706" s="4"/>
      <c r="M1706" s="2"/>
      <c r="N1706" s="2"/>
      <c r="O1706" s="2"/>
      <c r="P1706" s="2"/>
      <c r="Q1706" s="5"/>
      <c r="R1706" s="5"/>
      <c r="S1706" s="2"/>
      <c r="T1706" s="2"/>
      <c r="U1706" s="5"/>
      <c r="V1706" s="5"/>
      <c r="W1706" s="2"/>
      <c r="X1706" s="5"/>
      <c r="Y1706" s="1"/>
      <c r="Z1706" s="1"/>
      <c r="AA1706" s="1"/>
    </row>
    <row r="1707">
      <c r="A1707" s="1"/>
      <c r="B1707" s="14"/>
      <c r="C1707" s="2"/>
      <c r="D1707" s="2"/>
      <c r="E1707" s="2"/>
      <c r="F1707" s="2"/>
      <c r="G1707" s="2"/>
      <c r="H1707" s="3"/>
      <c r="I1707" s="2"/>
      <c r="J1707" s="2"/>
      <c r="K1707" s="4"/>
      <c r="L1707" s="4"/>
      <c r="M1707" s="2"/>
      <c r="N1707" s="2"/>
      <c r="O1707" s="2"/>
      <c r="P1707" s="2"/>
      <c r="Q1707" s="5"/>
      <c r="R1707" s="5"/>
      <c r="S1707" s="2"/>
      <c r="T1707" s="2"/>
      <c r="U1707" s="5"/>
      <c r="V1707" s="5"/>
      <c r="W1707" s="2"/>
      <c r="X1707" s="5"/>
      <c r="Y1707" s="1"/>
      <c r="Z1707" s="1"/>
      <c r="AA1707" s="1"/>
    </row>
    <row r="1708">
      <c r="A1708" s="1"/>
      <c r="B1708" s="14"/>
      <c r="C1708" s="2"/>
      <c r="D1708" s="2"/>
      <c r="E1708" s="2"/>
      <c r="F1708" s="2"/>
      <c r="G1708" s="2"/>
      <c r="H1708" s="3"/>
      <c r="I1708" s="2"/>
      <c r="J1708" s="2"/>
      <c r="K1708" s="4"/>
      <c r="L1708" s="4"/>
      <c r="M1708" s="2"/>
      <c r="N1708" s="2"/>
      <c r="O1708" s="2"/>
      <c r="P1708" s="2"/>
      <c r="Q1708" s="5"/>
      <c r="R1708" s="5"/>
      <c r="S1708" s="2"/>
      <c r="T1708" s="2"/>
      <c r="U1708" s="5"/>
      <c r="V1708" s="5"/>
      <c r="W1708" s="2"/>
      <c r="X1708" s="5"/>
      <c r="Y1708" s="1"/>
      <c r="Z1708" s="1"/>
      <c r="AA1708" s="1"/>
    </row>
    <row r="1709">
      <c r="A1709" s="1"/>
      <c r="B1709" s="14"/>
      <c r="C1709" s="2"/>
      <c r="D1709" s="2"/>
      <c r="E1709" s="2"/>
      <c r="F1709" s="2"/>
      <c r="G1709" s="2"/>
      <c r="H1709" s="3"/>
      <c r="I1709" s="2"/>
      <c r="J1709" s="2"/>
      <c r="K1709" s="4"/>
      <c r="L1709" s="4"/>
      <c r="M1709" s="2"/>
      <c r="N1709" s="2"/>
      <c r="O1709" s="2"/>
      <c r="P1709" s="2"/>
      <c r="Q1709" s="5"/>
      <c r="R1709" s="5"/>
      <c r="S1709" s="2"/>
      <c r="T1709" s="2"/>
      <c r="U1709" s="5"/>
      <c r="V1709" s="5"/>
      <c r="W1709" s="2"/>
      <c r="X1709" s="5"/>
      <c r="Y1709" s="1"/>
      <c r="Z1709" s="1"/>
      <c r="AA1709" s="1"/>
    </row>
    <row r="1710">
      <c r="A1710" s="1"/>
      <c r="B1710" s="14"/>
      <c r="C1710" s="2"/>
      <c r="D1710" s="2"/>
      <c r="E1710" s="2"/>
      <c r="F1710" s="2"/>
      <c r="G1710" s="2"/>
      <c r="H1710" s="3"/>
      <c r="I1710" s="2"/>
      <c r="J1710" s="2"/>
      <c r="K1710" s="4"/>
      <c r="L1710" s="4"/>
      <c r="M1710" s="2"/>
      <c r="N1710" s="2"/>
      <c r="O1710" s="2"/>
      <c r="P1710" s="2"/>
      <c r="Q1710" s="5"/>
      <c r="R1710" s="5"/>
      <c r="S1710" s="2"/>
      <c r="T1710" s="2"/>
      <c r="U1710" s="5"/>
      <c r="V1710" s="5"/>
      <c r="W1710" s="2"/>
      <c r="X1710" s="5"/>
      <c r="Y1710" s="1"/>
      <c r="Z1710" s="1"/>
      <c r="AA1710" s="1"/>
    </row>
    <row r="1711">
      <c r="A1711" s="1"/>
      <c r="B1711" s="14"/>
      <c r="C1711" s="2"/>
      <c r="D1711" s="2"/>
      <c r="E1711" s="2"/>
      <c r="F1711" s="2"/>
      <c r="G1711" s="2"/>
      <c r="H1711" s="3"/>
      <c r="I1711" s="2"/>
      <c r="J1711" s="2"/>
      <c r="K1711" s="4"/>
      <c r="L1711" s="4"/>
      <c r="M1711" s="2"/>
      <c r="N1711" s="2"/>
      <c r="O1711" s="2"/>
      <c r="P1711" s="2"/>
      <c r="Q1711" s="5"/>
      <c r="R1711" s="5"/>
      <c r="S1711" s="2"/>
      <c r="T1711" s="2"/>
      <c r="U1711" s="5"/>
      <c r="V1711" s="5"/>
      <c r="W1711" s="2"/>
      <c r="X1711" s="5"/>
      <c r="Y1711" s="1"/>
      <c r="Z1711" s="1"/>
      <c r="AA1711" s="1"/>
    </row>
    <row r="1712">
      <c r="A1712" s="1"/>
      <c r="B1712" s="14"/>
      <c r="C1712" s="2"/>
      <c r="D1712" s="2"/>
      <c r="E1712" s="2"/>
      <c r="F1712" s="2"/>
      <c r="G1712" s="2"/>
      <c r="H1712" s="3"/>
      <c r="I1712" s="2"/>
      <c r="J1712" s="2"/>
      <c r="K1712" s="4"/>
      <c r="L1712" s="4"/>
      <c r="M1712" s="2"/>
      <c r="N1712" s="2"/>
      <c r="O1712" s="2"/>
      <c r="P1712" s="2"/>
      <c r="Q1712" s="5"/>
      <c r="R1712" s="5"/>
      <c r="S1712" s="2"/>
      <c r="T1712" s="2"/>
      <c r="U1712" s="5"/>
      <c r="V1712" s="5"/>
      <c r="W1712" s="2"/>
      <c r="X1712" s="5"/>
      <c r="Y1712" s="1"/>
      <c r="Z1712" s="1"/>
      <c r="AA1712" s="1"/>
    </row>
    <row r="1713">
      <c r="A1713" s="1"/>
      <c r="B1713" s="14"/>
      <c r="C1713" s="2"/>
      <c r="D1713" s="2"/>
      <c r="E1713" s="2"/>
      <c r="F1713" s="2"/>
      <c r="G1713" s="2"/>
      <c r="H1713" s="3"/>
      <c r="I1713" s="2"/>
      <c r="J1713" s="2"/>
      <c r="K1713" s="4"/>
      <c r="L1713" s="4"/>
      <c r="M1713" s="2"/>
      <c r="N1713" s="2"/>
      <c r="O1713" s="2"/>
      <c r="P1713" s="2"/>
      <c r="Q1713" s="5"/>
      <c r="R1713" s="5"/>
      <c r="S1713" s="2"/>
      <c r="T1713" s="2"/>
      <c r="U1713" s="5"/>
      <c r="V1713" s="5"/>
      <c r="W1713" s="2"/>
      <c r="X1713" s="5"/>
      <c r="Y1713" s="1"/>
      <c r="Z1713" s="1"/>
      <c r="AA1713" s="1"/>
    </row>
    <row r="1714">
      <c r="A1714" s="1"/>
      <c r="B1714" s="14"/>
      <c r="C1714" s="2"/>
      <c r="D1714" s="2"/>
      <c r="E1714" s="2"/>
      <c r="F1714" s="2"/>
      <c r="G1714" s="2"/>
      <c r="H1714" s="3"/>
      <c r="I1714" s="2"/>
      <c r="J1714" s="2"/>
      <c r="K1714" s="4"/>
      <c r="L1714" s="4"/>
      <c r="M1714" s="2"/>
      <c r="N1714" s="2"/>
      <c r="O1714" s="2"/>
      <c r="P1714" s="2"/>
      <c r="Q1714" s="5"/>
      <c r="R1714" s="5"/>
      <c r="S1714" s="2"/>
      <c r="T1714" s="2"/>
      <c r="U1714" s="5"/>
      <c r="V1714" s="5"/>
      <c r="W1714" s="2"/>
      <c r="X1714" s="5"/>
      <c r="Y1714" s="1"/>
      <c r="Z1714" s="1"/>
      <c r="AA1714" s="1"/>
    </row>
    <row r="1715">
      <c r="A1715" s="1"/>
      <c r="B1715" s="14"/>
      <c r="C1715" s="2"/>
      <c r="D1715" s="2"/>
      <c r="E1715" s="2"/>
      <c r="F1715" s="2"/>
      <c r="G1715" s="2"/>
      <c r="H1715" s="3"/>
      <c r="I1715" s="2"/>
      <c r="J1715" s="2"/>
      <c r="K1715" s="4"/>
      <c r="L1715" s="4"/>
      <c r="M1715" s="2"/>
      <c r="N1715" s="2"/>
      <c r="O1715" s="2"/>
      <c r="P1715" s="2"/>
      <c r="Q1715" s="5"/>
      <c r="R1715" s="5"/>
      <c r="S1715" s="2"/>
      <c r="T1715" s="2"/>
      <c r="U1715" s="5"/>
      <c r="V1715" s="5"/>
      <c r="W1715" s="2"/>
      <c r="X1715" s="5"/>
      <c r="Y1715" s="1"/>
      <c r="Z1715" s="1"/>
      <c r="AA1715" s="1"/>
    </row>
    <row r="1716">
      <c r="A1716" s="1"/>
      <c r="B1716" s="14"/>
      <c r="C1716" s="2"/>
      <c r="D1716" s="2"/>
      <c r="E1716" s="2"/>
      <c r="F1716" s="2"/>
      <c r="G1716" s="2"/>
      <c r="H1716" s="3"/>
      <c r="I1716" s="2"/>
      <c r="J1716" s="2"/>
      <c r="K1716" s="4"/>
      <c r="L1716" s="4"/>
      <c r="M1716" s="2"/>
      <c r="N1716" s="2"/>
      <c r="O1716" s="2"/>
      <c r="P1716" s="2"/>
      <c r="Q1716" s="5"/>
      <c r="R1716" s="5"/>
      <c r="S1716" s="2"/>
      <c r="T1716" s="2"/>
      <c r="U1716" s="5"/>
      <c r="V1716" s="5"/>
      <c r="W1716" s="2"/>
      <c r="X1716" s="5"/>
      <c r="Y1716" s="1"/>
      <c r="Z1716" s="1"/>
      <c r="AA1716" s="1"/>
    </row>
    <row r="1717">
      <c r="A1717" s="1"/>
      <c r="B1717" s="14"/>
      <c r="C1717" s="2"/>
      <c r="D1717" s="2"/>
      <c r="E1717" s="2"/>
      <c r="F1717" s="2"/>
      <c r="G1717" s="2"/>
      <c r="H1717" s="3"/>
      <c r="I1717" s="2"/>
      <c r="J1717" s="2"/>
      <c r="K1717" s="4"/>
      <c r="L1717" s="4"/>
      <c r="M1717" s="2"/>
      <c r="N1717" s="2"/>
      <c r="O1717" s="2"/>
      <c r="P1717" s="2"/>
      <c r="Q1717" s="5"/>
      <c r="R1717" s="5"/>
      <c r="S1717" s="2"/>
      <c r="T1717" s="2"/>
      <c r="U1717" s="5"/>
      <c r="V1717" s="5"/>
      <c r="W1717" s="2"/>
      <c r="X1717" s="5"/>
      <c r="Y1717" s="1"/>
      <c r="Z1717" s="1"/>
      <c r="AA1717" s="1"/>
    </row>
    <row r="1718">
      <c r="A1718" s="1"/>
      <c r="B1718" s="14"/>
      <c r="C1718" s="2"/>
      <c r="D1718" s="2"/>
      <c r="E1718" s="2"/>
      <c r="F1718" s="2"/>
      <c r="G1718" s="2"/>
      <c r="H1718" s="3"/>
      <c r="I1718" s="2"/>
      <c r="J1718" s="2"/>
      <c r="K1718" s="4"/>
      <c r="L1718" s="4"/>
      <c r="M1718" s="2"/>
      <c r="N1718" s="2"/>
      <c r="O1718" s="2"/>
      <c r="P1718" s="2"/>
      <c r="Q1718" s="5"/>
      <c r="R1718" s="5"/>
      <c r="S1718" s="2"/>
      <c r="T1718" s="2"/>
      <c r="U1718" s="5"/>
      <c r="V1718" s="5"/>
      <c r="W1718" s="2"/>
      <c r="X1718" s="5"/>
      <c r="Y1718" s="1"/>
      <c r="Z1718" s="1"/>
      <c r="AA1718" s="1"/>
    </row>
    <row r="1719">
      <c r="A1719" s="1"/>
      <c r="B1719" s="14"/>
      <c r="C1719" s="2"/>
      <c r="D1719" s="2"/>
      <c r="E1719" s="2"/>
      <c r="F1719" s="2"/>
      <c r="G1719" s="2"/>
      <c r="H1719" s="3"/>
      <c r="I1719" s="2"/>
      <c r="J1719" s="2"/>
      <c r="K1719" s="4"/>
      <c r="L1719" s="4"/>
      <c r="M1719" s="2"/>
      <c r="N1719" s="2"/>
      <c r="O1719" s="2"/>
      <c r="P1719" s="2"/>
      <c r="Q1719" s="5"/>
      <c r="R1719" s="5"/>
      <c r="S1719" s="2"/>
      <c r="T1719" s="2"/>
      <c r="U1719" s="5"/>
      <c r="V1719" s="5"/>
      <c r="W1719" s="2"/>
      <c r="X1719" s="5"/>
      <c r="Y1719" s="1"/>
      <c r="Z1719" s="1"/>
      <c r="AA1719" s="1"/>
    </row>
    <row r="1720">
      <c r="A1720" s="1"/>
      <c r="B1720" s="14"/>
      <c r="C1720" s="2"/>
      <c r="D1720" s="2"/>
      <c r="E1720" s="2"/>
      <c r="F1720" s="2"/>
      <c r="G1720" s="2"/>
      <c r="H1720" s="3"/>
      <c r="I1720" s="2"/>
      <c r="J1720" s="2"/>
      <c r="K1720" s="4"/>
      <c r="L1720" s="4"/>
      <c r="M1720" s="2"/>
      <c r="N1720" s="2"/>
      <c r="O1720" s="2"/>
      <c r="P1720" s="2"/>
      <c r="Q1720" s="5"/>
      <c r="R1720" s="5"/>
      <c r="S1720" s="2"/>
      <c r="T1720" s="2"/>
      <c r="U1720" s="5"/>
      <c r="V1720" s="5"/>
      <c r="W1720" s="2"/>
      <c r="X1720" s="5"/>
      <c r="Y1720" s="1"/>
      <c r="Z1720" s="1"/>
      <c r="AA1720" s="1"/>
    </row>
    <row r="1721">
      <c r="A1721" s="1"/>
      <c r="B1721" s="14"/>
      <c r="C1721" s="2"/>
      <c r="D1721" s="2"/>
      <c r="E1721" s="2"/>
      <c r="F1721" s="2"/>
      <c r="G1721" s="2"/>
      <c r="H1721" s="3"/>
      <c r="I1721" s="2"/>
      <c r="J1721" s="2"/>
      <c r="K1721" s="4"/>
      <c r="L1721" s="4"/>
      <c r="M1721" s="2"/>
      <c r="N1721" s="2"/>
      <c r="O1721" s="2"/>
      <c r="P1721" s="2"/>
      <c r="Q1721" s="5"/>
      <c r="R1721" s="5"/>
      <c r="S1721" s="2"/>
      <c r="T1721" s="2"/>
      <c r="U1721" s="5"/>
      <c r="V1721" s="5"/>
      <c r="W1721" s="2"/>
      <c r="X1721" s="5"/>
      <c r="Y1721" s="1"/>
      <c r="Z1721" s="1"/>
      <c r="AA1721" s="1"/>
    </row>
    <row r="1722">
      <c r="A1722" s="1"/>
      <c r="B1722" s="14"/>
      <c r="C1722" s="2"/>
      <c r="D1722" s="2"/>
      <c r="E1722" s="2"/>
      <c r="F1722" s="2"/>
      <c r="G1722" s="2"/>
      <c r="H1722" s="3"/>
      <c r="I1722" s="2"/>
      <c r="J1722" s="2"/>
      <c r="K1722" s="4"/>
      <c r="L1722" s="4"/>
      <c r="M1722" s="2"/>
      <c r="N1722" s="2"/>
      <c r="O1722" s="2"/>
      <c r="P1722" s="2"/>
      <c r="Q1722" s="5"/>
      <c r="R1722" s="5"/>
      <c r="S1722" s="2"/>
      <c r="T1722" s="2"/>
      <c r="U1722" s="5"/>
      <c r="V1722" s="5"/>
      <c r="W1722" s="2"/>
      <c r="X1722" s="5"/>
      <c r="Y1722" s="1"/>
      <c r="Z1722" s="1"/>
      <c r="AA1722" s="1"/>
    </row>
    <row r="1723">
      <c r="A1723" s="1"/>
      <c r="B1723" s="14"/>
      <c r="C1723" s="2"/>
      <c r="D1723" s="2"/>
      <c r="E1723" s="2"/>
      <c r="F1723" s="2"/>
      <c r="G1723" s="2"/>
      <c r="H1723" s="3"/>
      <c r="I1723" s="2"/>
      <c r="J1723" s="2"/>
      <c r="K1723" s="4"/>
      <c r="L1723" s="4"/>
      <c r="M1723" s="2"/>
      <c r="N1723" s="2"/>
      <c r="O1723" s="2"/>
      <c r="P1723" s="2"/>
      <c r="Q1723" s="5"/>
      <c r="R1723" s="5"/>
      <c r="S1723" s="2"/>
      <c r="T1723" s="2"/>
      <c r="U1723" s="5"/>
      <c r="V1723" s="5"/>
      <c r="W1723" s="2"/>
      <c r="X1723" s="5"/>
      <c r="Y1723" s="1"/>
      <c r="Z1723" s="1"/>
      <c r="AA1723" s="1"/>
    </row>
    <row r="1724">
      <c r="A1724" s="1"/>
      <c r="B1724" s="14"/>
      <c r="C1724" s="2"/>
      <c r="D1724" s="2"/>
      <c r="E1724" s="2"/>
      <c r="F1724" s="2"/>
      <c r="G1724" s="2"/>
      <c r="H1724" s="3"/>
      <c r="I1724" s="2"/>
      <c r="J1724" s="2"/>
      <c r="K1724" s="4"/>
      <c r="L1724" s="4"/>
      <c r="M1724" s="2"/>
      <c r="N1724" s="2"/>
      <c r="O1724" s="2"/>
      <c r="P1724" s="2"/>
      <c r="Q1724" s="5"/>
      <c r="R1724" s="5"/>
      <c r="S1724" s="2"/>
      <c r="T1724" s="2"/>
      <c r="U1724" s="5"/>
      <c r="V1724" s="5"/>
      <c r="W1724" s="2"/>
      <c r="X1724" s="5"/>
      <c r="Y1724" s="1"/>
      <c r="Z1724" s="1"/>
      <c r="AA1724" s="1"/>
    </row>
    <row r="1725">
      <c r="A1725" s="1"/>
      <c r="B1725" s="14"/>
      <c r="C1725" s="2"/>
      <c r="D1725" s="2"/>
      <c r="E1725" s="2"/>
      <c r="F1725" s="2"/>
      <c r="G1725" s="2"/>
      <c r="H1725" s="3"/>
      <c r="I1725" s="2"/>
      <c r="J1725" s="2"/>
      <c r="K1725" s="4"/>
      <c r="L1725" s="4"/>
      <c r="M1725" s="2"/>
      <c r="N1725" s="2"/>
      <c r="O1725" s="2"/>
      <c r="P1725" s="2"/>
      <c r="Q1725" s="5"/>
      <c r="R1725" s="5"/>
      <c r="S1725" s="2"/>
      <c r="T1725" s="2"/>
      <c r="U1725" s="5"/>
      <c r="V1725" s="5"/>
      <c r="W1725" s="2"/>
      <c r="X1725" s="5"/>
      <c r="Y1725" s="1"/>
      <c r="Z1725" s="1"/>
      <c r="AA1725" s="1"/>
    </row>
    <row r="1726">
      <c r="A1726" s="1"/>
      <c r="B1726" s="14"/>
      <c r="C1726" s="2"/>
      <c r="D1726" s="2"/>
      <c r="E1726" s="2"/>
      <c r="F1726" s="2"/>
      <c r="G1726" s="2"/>
      <c r="H1726" s="3"/>
      <c r="I1726" s="2"/>
      <c r="J1726" s="2"/>
      <c r="K1726" s="4"/>
      <c r="L1726" s="4"/>
      <c r="M1726" s="2"/>
      <c r="N1726" s="2"/>
      <c r="O1726" s="2"/>
      <c r="P1726" s="2"/>
      <c r="Q1726" s="5"/>
      <c r="R1726" s="5"/>
      <c r="S1726" s="2"/>
      <c r="T1726" s="2"/>
      <c r="U1726" s="5"/>
      <c r="V1726" s="5"/>
      <c r="W1726" s="2"/>
      <c r="X1726" s="5"/>
      <c r="Y1726" s="1"/>
      <c r="Z1726" s="1"/>
      <c r="AA1726" s="1"/>
    </row>
    <row r="1727">
      <c r="A1727" s="1"/>
      <c r="B1727" s="14"/>
      <c r="C1727" s="2"/>
      <c r="D1727" s="2"/>
      <c r="E1727" s="2"/>
      <c r="F1727" s="2"/>
      <c r="G1727" s="2"/>
      <c r="H1727" s="3"/>
      <c r="I1727" s="2"/>
      <c r="J1727" s="2"/>
      <c r="K1727" s="4"/>
      <c r="L1727" s="4"/>
      <c r="M1727" s="2"/>
      <c r="N1727" s="2"/>
      <c r="O1727" s="2"/>
      <c r="P1727" s="2"/>
      <c r="Q1727" s="5"/>
      <c r="R1727" s="5"/>
      <c r="S1727" s="2"/>
      <c r="T1727" s="2"/>
      <c r="U1727" s="5"/>
      <c r="V1727" s="5"/>
      <c r="W1727" s="2"/>
      <c r="X1727" s="5"/>
      <c r="Y1727" s="1"/>
      <c r="Z1727" s="1"/>
      <c r="AA1727" s="1"/>
    </row>
    <row r="1728">
      <c r="A1728" s="1"/>
      <c r="B1728" s="14"/>
      <c r="C1728" s="2"/>
      <c r="D1728" s="2"/>
      <c r="E1728" s="2"/>
      <c r="F1728" s="2"/>
      <c r="G1728" s="2"/>
      <c r="H1728" s="3"/>
      <c r="I1728" s="2"/>
      <c r="J1728" s="2"/>
      <c r="K1728" s="4"/>
      <c r="L1728" s="4"/>
      <c r="M1728" s="2"/>
      <c r="N1728" s="2"/>
      <c r="O1728" s="2"/>
      <c r="P1728" s="2"/>
      <c r="Q1728" s="5"/>
      <c r="R1728" s="5"/>
      <c r="S1728" s="2"/>
      <c r="T1728" s="2"/>
      <c r="U1728" s="5"/>
      <c r="V1728" s="5"/>
      <c r="W1728" s="2"/>
      <c r="X1728" s="5"/>
      <c r="Y1728" s="1"/>
      <c r="Z1728" s="1"/>
      <c r="AA1728" s="1"/>
    </row>
    <row r="1729">
      <c r="A1729" s="1"/>
      <c r="B1729" s="14"/>
      <c r="C1729" s="2"/>
      <c r="D1729" s="2"/>
      <c r="E1729" s="2"/>
      <c r="F1729" s="2"/>
      <c r="G1729" s="2"/>
      <c r="H1729" s="3"/>
      <c r="I1729" s="2"/>
      <c r="J1729" s="2"/>
      <c r="K1729" s="4"/>
      <c r="L1729" s="4"/>
      <c r="M1729" s="2"/>
      <c r="N1729" s="2"/>
      <c r="O1729" s="2"/>
      <c r="P1729" s="2"/>
      <c r="Q1729" s="5"/>
      <c r="R1729" s="5"/>
      <c r="S1729" s="2"/>
      <c r="T1729" s="2"/>
      <c r="U1729" s="5"/>
      <c r="V1729" s="5"/>
      <c r="W1729" s="2"/>
      <c r="X1729" s="5"/>
      <c r="Y1729" s="1"/>
      <c r="Z1729" s="1"/>
      <c r="AA1729" s="1"/>
    </row>
    <row r="1730">
      <c r="A1730" s="1"/>
      <c r="B1730" s="14"/>
      <c r="C1730" s="2"/>
      <c r="D1730" s="2"/>
      <c r="E1730" s="2"/>
      <c r="F1730" s="2"/>
      <c r="G1730" s="2"/>
      <c r="H1730" s="3"/>
      <c r="I1730" s="2"/>
      <c r="J1730" s="2"/>
      <c r="K1730" s="4"/>
      <c r="L1730" s="4"/>
      <c r="M1730" s="2"/>
      <c r="N1730" s="2"/>
      <c r="O1730" s="2"/>
      <c r="P1730" s="2"/>
      <c r="Q1730" s="5"/>
      <c r="R1730" s="5"/>
      <c r="S1730" s="2"/>
      <c r="T1730" s="2"/>
      <c r="U1730" s="5"/>
      <c r="V1730" s="5"/>
      <c r="W1730" s="2"/>
      <c r="X1730" s="5"/>
      <c r="Y1730" s="1"/>
      <c r="Z1730" s="1"/>
      <c r="AA1730" s="1"/>
    </row>
    <row r="1731">
      <c r="A1731" s="1"/>
      <c r="B1731" s="14"/>
      <c r="C1731" s="2"/>
      <c r="D1731" s="2"/>
      <c r="E1731" s="2"/>
      <c r="F1731" s="2"/>
      <c r="G1731" s="2"/>
      <c r="H1731" s="3"/>
      <c r="I1731" s="2"/>
      <c r="J1731" s="2"/>
      <c r="K1731" s="4"/>
      <c r="L1731" s="4"/>
      <c r="M1731" s="2"/>
      <c r="N1731" s="2"/>
      <c r="O1731" s="2"/>
      <c r="P1731" s="2"/>
      <c r="Q1731" s="5"/>
      <c r="R1731" s="5"/>
      <c r="S1731" s="2"/>
      <c r="T1731" s="2"/>
      <c r="U1731" s="5"/>
      <c r="V1731" s="5"/>
      <c r="W1731" s="2"/>
      <c r="X1731" s="5"/>
      <c r="Y1731" s="1"/>
      <c r="Z1731" s="1"/>
      <c r="AA1731" s="1"/>
    </row>
    <row r="1732">
      <c r="A1732" s="1"/>
      <c r="B1732" s="14"/>
      <c r="C1732" s="2"/>
      <c r="D1732" s="2"/>
      <c r="E1732" s="2"/>
      <c r="F1732" s="2"/>
      <c r="G1732" s="2"/>
      <c r="H1732" s="3"/>
      <c r="I1732" s="2"/>
      <c r="J1732" s="2"/>
      <c r="K1732" s="4"/>
      <c r="L1732" s="4"/>
      <c r="M1732" s="2"/>
      <c r="N1732" s="2"/>
      <c r="O1732" s="2"/>
      <c r="P1732" s="2"/>
      <c r="Q1732" s="5"/>
      <c r="R1732" s="5"/>
      <c r="S1732" s="2"/>
      <c r="T1732" s="2"/>
      <c r="U1732" s="5"/>
      <c r="V1732" s="5"/>
      <c r="W1732" s="2"/>
      <c r="X1732" s="5"/>
      <c r="Y1732" s="1"/>
      <c r="Z1732" s="1"/>
      <c r="AA1732" s="1"/>
    </row>
    <row r="1733">
      <c r="A1733" s="1"/>
      <c r="B1733" s="14"/>
      <c r="C1733" s="2"/>
      <c r="D1733" s="2"/>
      <c r="E1733" s="2"/>
      <c r="F1733" s="2"/>
      <c r="G1733" s="2"/>
      <c r="H1733" s="3"/>
      <c r="I1733" s="2"/>
      <c r="J1733" s="2"/>
      <c r="K1733" s="4"/>
      <c r="L1733" s="4"/>
      <c r="M1733" s="2"/>
      <c r="N1733" s="2"/>
      <c r="O1733" s="2"/>
      <c r="P1733" s="2"/>
      <c r="Q1733" s="5"/>
      <c r="R1733" s="5"/>
      <c r="S1733" s="2"/>
      <c r="T1733" s="2"/>
      <c r="U1733" s="5"/>
      <c r="V1733" s="5"/>
      <c r="W1733" s="2"/>
      <c r="X1733" s="5"/>
      <c r="Y1733" s="1"/>
      <c r="Z1733" s="1"/>
      <c r="AA1733" s="1"/>
    </row>
    <row r="1734">
      <c r="A1734" s="1"/>
      <c r="B1734" s="14"/>
      <c r="C1734" s="2"/>
      <c r="D1734" s="2"/>
      <c r="E1734" s="2"/>
      <c r="F1734" s="2"/>
      <c r="G1734" s="2"/>
      <c r="H1734" s="3"/>
      <c r="I1734" s="2"/>
      <c r="J1734" s="2"/>
      <c r="K1734" s="4"/>
      <c r="L1734" s="4"/>
      <c r="M1734" s="2"/>
      <c r="N1734" s="2"/>
      <c r="O1734" s="2"/>
      <c r="P1734" s="2"/>
      <c r="Q1734" s="5"/>
      <c r="R1734" s="5"/>
      <c r="S1734" s="2"/>
      <c r="T1734" s="2"/>
      <c r="U1734" s="5"/>
      <c r="V1734" s="5"/>
      <c r="W1734" s="2"/>
      <c r="X1734" s="5"/>
      <c r="Y1734" s="1"/>
      <c r="Z1734" s="1"/>
      <c r="AA1734" s="1"/>
    </row>
    <row r="1735">
      <c r="A1735" s="1"/>
      <c r="B1735" s="14"/>
      <c r="C1735" s="2"/>
      <c r="D1735" s="2"/>
      <c r="E1735" s="2"/>
      <c r="F1735" s="2"/>
      <c r="G1735" s="2"/>
      <c r="H1735" s="3"/>
      <c r="I1735" s="2"/>
      <c r="J1735" s="2"/>
      <c r="K1735" s="4"/>
      <c r="L1735" s="4"/>
      <c r="M1735" s="2"/>
      <c r="N1735" s="2"/>
      <c r="O1735" s="2"/>
      <c r="P1735" s="2"/>
      <c r="Q1735" s="5"/>
      <c r="R1735" s="5"/>
      <c r="S1735" s="2"/>
      <c r="T1735" s="2"/>
      <c r="U1735" s="5"/>
      <c r="V1735" s="5"/>
      <c r="W1735" s="2"/>
      <c r="X1735" s="5"/>
      <c r="Y1735" s="1"/>
      <c r="Z1735" s="1"/>
      <c r="AA1735" s="1"/>
    </row>
    <row r="1736">
      <c r="A1736" s="1"/>
      <c r="B1736" s="14"/>
      <c r="C1736" s="2"/>
      <c r="D1736" s="2"/>
      <c r="E1736" s="2"/>
      <c r="F1736" s="2"/>
      <c r="G1736" s="2"/>
      <c r="H1736" s="3"/>
      <c r="I1736" s="2"/>
      <c r="J1736" s="2"/>
      <c r="K1736" s="4"/>
      <c r="L1736" s="4"/>
      <c r="M1736" s="2"/>
      <c r="N1736" s="2"/>
      <c r="O1736" s="2"/>
      <c r="P1736" s="2"/>
      <c r="Q1736" s="5"/>
      <c r="R1736" s="5"/>
      <c r="S1736" s="2"/>
      <c r="T1736" s="2"/>
      <c r="U1736" s="5"/>
      <c r="V1736" s="5"/>
      <c r="W1736" s="2"/>
      <c r="X1736" s="5"/>
      <c r="Y1736" s="1"/>
      <c r="Z1736" s="1"/>
      <c r="AA1736" s="1"/>
    </row>
    <row r="1737">
      <c r="A1737" s="1"/>
      <c r="B1737" s="14"/>
      <c r="C1737" s="2"/>
      <c r="D1737" s="2"/>
      <c r="E1737" s="2"/>
      <c r="F1737" s="2"/>
      <c r="G1737" s="2"/>
      <c r="H1737" s="3"/>
      <c r="I1737" s="2"/>
      <c r="J1737" s="2"/>
      <c r="K1737" s="4"/>
      <c r="L1737" s="4"/>
      <c r="M1737" s="2"/>
      <c r="N1737" s="2"/>
      <c r="O1737" s="2"/>
      <c r="P1737" s="2"/>
      <c r="Q1737" s="5"/>
      <c r="R1737" s="5"/>
      <c r="S1737" s="2"/>
      <c r="T1737" s="2"/>
      <c r="U1737" s="5"/>
      <c r="V1737" s="5"/>
      <c r="W1737" s="2"/>
      <c r="X1737" s="5"/>
      <c r="Y1737" s="1"/>
      <c r="Z1737" s="1"/>
      <c r="AA1737" s="1"/>
    </row>
    <row r="1738">
      <c r="A1738" s="1"/>
      <c r="B1738" s="14"/>
      <c r="C1738" s="2"/>
      <c r="D1738" s="2"/>
      <c r="E1738" s="2"/>
      <c r="F1738" s="2"/>
      <c r="G1738" s="2"/>
      <c r="H1738" s="3"/>
      <c r="I1738" s="2"/>
      <c r="J1738" s="2"/>
      <c r="K1738" s="4"/>
      <c r="L1738" s="4"/>
      <c r="M1738" s="2"/>
      <c r="N1738" s="2"/>
      <c r="O1738" s="2"/>
      <c r="P1738" s="2"/>
      <c r="Q1738" s="5"/>
      <c r="R1738" s="5"/>
      <c r="S1738" s="2"/>
      <c r="T1738" s="2"/>
      <c r="U1738" s="5"/>
      <c r="V1738" s="5"/>
      <c r="W1738" s="2"/>
      <c r="X1738" s="5"/>
      <c r="Y1738" s="1"/>
      <c r="Z1738" s="1"/>
      <c r="AA1738" s="1"/>
    </row>
    <row r="1739">
      <c r="A1739" s="1"/>
      <c r="B1739" s="14"/>
      <c r="C1739" s="2"/>
      <c r="D1739" s="2"/>
      <c r="E1739" s="2"/>
      <c r="F1739" s="2"/>
      <c r="G1739" s="2"/>
      <c r="H1739" s="3"/>
      <c r="I1739" s="2"/>
      <c r="J1739" s="2"/>
      <c r="K1739" s="4"/>
      <c r="L1739" s="4"/>
      <c r="M1739" s="2"/>
      <c r="N1739" s="2"/>
      <c r="O1739" s="2"/>
      <c r="P1739" s="2"/>
      <c r="Q1739" s="5"/>
      <c r="R1739" s="5"/>
      <c r="S1739" s="2"/>
      <c r="T1739" s="2"/>
      <c r="U1739" s="5"/>
      <c r="V1739" s="5"/>
      <c r="W1739" s="2"/>
      <c r="X1739" s="5"/>
      <c r="Y1739" s="1"/>
      <c r="Z1739" s="1"/>
      <c r="AA1739" s="1"/>
    </row>
    <row r="1740">
      <c r="A1740" s="1"/>
      <c r="B1740" s="14"/>
      <c r="C1740" s="2"/>
      <c r="D1740" s="2"/>
      <c r="E1740" s="2"/>
      <c r="F1740" s="2"/>
      <c r="G1740" s="2"/>
      <c r="H1740" s="3"/>
      <c r="I1740" s="2"/>
      <c r="J1740" s="2"/>
      <c r="K1740" s="4"/>
      <c r="L1740" s="4"/>
      <c r="M1740" s="2"/>
      <c r="N1740" s="2"/>
      <c r="O1740" s="2"/>
      <c r="P1740" s="2"/>
      <c r="Q1740" s="5"/>
      <c r="R1740" s="5"/>
      <c r="S1740" s="2"/>
      <c r="T1740" s="2"/>
      <c r="U1740" s="5"/>
      <c r="V1740" s="5"/>
      <c r="W1740" s="2"/>
      <c r="X1740" s="5"/>
      <c r="Y1740" s="1"/>
      <c r="Z1740" s="1"/>
      <c r="AA1740" s="1"/>
    </row>
    <row r="1741">
      <c r="A1741" s="1"/>
      <c r="B1741" s="14"/>
      <c r="C1741" s="2"/>
      <c r="D1741" s="2"/>
      <c r="E1741" s="2"/>
      <c r="F1741" s="2"/>
      <c r="G1741" s="2"/>
      <c r="H1741" s="3"/>
      <c r="I1741" s="2"/>
      <c r="J1741" s="2"/>
      <c r="K1741" s="4"/>
      <c r="L1741" s="4"/>
      <c r="M1741" s="2"/>
      <c r="N1741" s="2"/>
      <c r="O1741" s="2"/>
      <c r="P1741" s="2"/>
      <c r="Q1741" s="5"/>
      <c r="R1741" s="5"/>
      <c r="S1741" s="2"/>
      <c r="T1741" s="2"/>
      <c r="U1741" s="5"/>
      <c r="V1741" s="5"/>
      <c r="W1741" s="2"/>
      <c r="X1741" s="5"/>
      <c r="Y1741" s="1"/>
      <c r="Z1741" s="1"/>
      <c r="AA1741" s="1"/>
    </row>
    <row r="1742">
      <c r="A1742" s="1"/>
      <c r="B1742" s="14"/>
      <c r="C1742" s="2"/>
      <c r="D1742" s="2"/>
      <c r="E1742" s="2"/>
      <c r="F1742" s="2"/>
      <c r="G1742" s="2"/>
      <c r="H1742" s="3"/>
      <c r="I1742" s="2"/>
      <c r="J1742" s="2"/>
      <c r="K1742" s="4"/>
      <c r="L1742" s="4"/>
      <c r="M1742" s="2"/>
      <c r="N1742" s="2"/>
      <c r="O1742" s="2"/>
      <c r="P1742" s="2"/>
      <c r="Q1742" s="5"/>
      <c r="R1742" s="5"/>
      <c r="S1742" s="2"/>
      <c r="T1742" s="2"/>
      <c r="U1742" s="5"/>
      <c r="V1742" s="5"/>
      <c r="W1742" s="2"/>
      <c r="X1742" s="5"/>
      <c r="Y1742" s="1"/>
      <c r="Z1742" s="1"/>
      <c r="AA1742" s="1"/>
    </row>
    <row r="1743">
      <c r="A1743" s="1"/>
      <c r="B1743" s="14"/>
      <c r="C1743" s="2"/>
      <c r="D1743" s="2"/>
      <c r="E1743" s="2"/>
      <c r="F1743" s="2"/>
      <c r="G1743" s="2"/>
      <c r="H1743" s="3"/>
      <c r="I1743" s="2"/>
      <c r="J1743" s="2"/>
      <c r="K1743" s="4"/>
      <c r="L1743" s="4"/>
      <c r="M1743" s="2"/>
      <c r="N1743" s="2"/>
      <c r="O1743" s="2"/>
      <c r="P1743" s="2"/>
      <c r="Q1743" s="5"/>
      <c r="R1743" s="5"/>
      <c r="S1743" s="2"/>
      <c r="T1743" s="2"/>
      <c r="U1743" s="5"/>
      <c r="V1743" s="5"/>
      <c r="W1743" s="2"/>
      <c r="X1743" s="5"/>
      <c r="Y1743" s="1"/>
      <c r="Z1743" s="1"/>
      <c r="AA1743" s="1"/>
    </row>
    <row r="1744">
      <c r="A1744" s="1"/>
      <c r="B1744" s="14"/>
      <c r="C1744" s="2"/>
      <c r="D1744" s="2"/>
      <c r="E1744" s="2"/>
      <c r="F1744" s="2"/>
      <c r="G1744" s="2"/>
      <c r="H1744" s="3"/>
      <c r="I1744" s="2"/>
      <c r="J1744" s="2"/>
      <c r="K1744" s="4"/>
      <c r="L1744" s="4"/>
      <c r="M1744" s="2"/>
      <c r="N1744" s="2"/>
      <c r="O1744" s="2"/>
      <c r="P1744" s="2"/>
      <c r="Q1744" s="5"/>
      <c r="R1744" s="5"/>
      <c r="S1744" s="2"/>
      <c r="T1744" s="2"/>
      <c r="U1744" s="5"/>
      <c r="V1744" s="5"/>
      <c r="W1744" s="2"/>
      <c r="X1744" s="5"/>
      <c r="Y1744" s="1"/>
      <c r="Z1744" s="1"/>
      <c r="AA1744" s="1"/>
    </row>
    <row r="1745">
      <c r="A1745" s="1"/>
      <c r="B1745" s="14"/>
      <c r="C1745" s="2"/>
      <c r="D1745" s="2"/>
      <c r="E1745" s="2"/>
      <c r="F1745" s="2"/>
      <c r="G1745" s="2"/>
      <c r="H1745" s="3"/>
      <c r="I1745" s="2"/>
      <c r="J1745" s="2"/>
      <c r="K1745" s="4"/>
      <c r="L1745" s="4"/>
      <c r="M1745" s="2"/>
      <c r="N1745" s="2"/>
      <c r="O1745" s="2"/>
      <c r="P1745" s="2"/>
      <c r="Q1745" s="5"/>
      <c r="R1745" s="5"/>
      <c r="S1745" s="2"/>
      <c r="T1745" s="2"/>
      <c r="U1745" s="5"/>
      <c r="V1745" s="5"/>
      <c r="W1745" s="2"/>
      <c r="X1745" s="5"/>
      <c r="Y1745" s="1"/>
      <c r="Z1745" s="1"/>
      <c r="AA1745" s="1"/>
    </row>
    <row r="1746">
      <c r="A1746" s="1"/>
      <c r="B1746" s="14"/>
      <c r="C1746" s="2"/>
      <c r="D1746" s="2"/>
      <c r="E1746" s="2"/>
      <c r="F1746" s="2"/>
      <c r="G1746" s="2"/>
      <c r="H1746" s="3"/>
      <c r="I1746" s="2"/>
      <c r="J1746" s="2"/>
      <c r="K1746" s="4"/>
      <c r="L1746" s="4"/>
      <c r="M1746" s="2"/>
      <c r="N1746" s="2"/>
      <c r="O1746" s="2"/>
      <c r="P1746" s="2"/>
      <c r="Q1746" s="5"/>
      <c r="R1746" s="5"/>
      <c r="S1746" s="2"/>
      <c r="T1746" s="2"/>
      <c r="U1746" s="5"/>
      <c r="V1746" s="5"/>
      <c r="W1746" s="2"/>
      <c r="X1746" s="5"/>
      <c r="Y1746" s="1"/>
      <c r="Z1746" s="1"/>
      <c r="AA1746" s="1"/>
    </row>
    <row r="1747">
      <c r="A1747" s="1"/>
      <c r="B1747" s="14"/>
      <c r="C1747" s="2"/>
      <c r="D1747" s="2"/>
      <c r="E1747" s="2"/>
      <c r="F1747" s="2"/>
      <c r="G1747" s="2"/>
      <c r="H1747" s="3"/>
      <c r="I1747" s="2"/>
      <c r="J1747" s="2"/>
      <c r="K1747" s="4"/>
      <c r="L1747" s="4"/>
      <c r="M1747" s="2"/>
      <c r="N1747" s="2"/>
      <c r="O1747" s="2"/>
      <c r="P1747" s="2"/>
      <c r="Q1747" s="5"/>
      <c r="R1747" s="5"/>
      <c r="S1747" s="2"/>
      <c r="T1747" s="2"/>
      <c r="U1747" s="5"/>
      <c r="V1747" s="5"/>
      <c r="W1747" s="2"/>
      <c r="X1747" s="5"/>
      <c r="Y1747" s="1"/>
      <c r="Z1747" s="1"/>
      <c r="AA1747" s="1"/>
    </row>
    <row r="1748">
      <c r="A1748" s="1"/>
      <c r="B1748" s="14"/>
      <c r="C1748" s="2"/>
      <c r="D1748" s="2"/>
      <c r="E1748" s="2"/>
      <c r="F1748" s="2"/>
      <c r="G1748" s="2"/>
      <c r="H1748" s="3"/>
      <c r="I1748" s="2"/>
      <c r="J1748" s="2"/>
      <c r="K1748" s="4"/>
      <c r="L1748" s="4"/>
      <c r="M1748" s="2"/>
      <c r="N1748" s="2"/>
      <c r="O1748" s="2"/>
      <c r="P1748" s="2"/>
      <c r="Q1748" s="5"/>
      <c r="R1748" s="5"/>
      <c r="S1748" s="2"/>
      <c r="T1748" s="2"/>
      <c r="U1748" s="5"/>
      <c r="V1748" s="5"/>
      <c r="W1748" s="2"/>
      <c r="X1748" s="5"/>
      <c r="Y1748" s="1"/>
      <c r="Z1748" s="1"/>
      <c r="AA1748" s="1"/>
    </row>
    <row r="1749">
      <c r="A1749" s="1"/>
      <c r="B1749" s="14"/>
      <c r="C1749" s="2"/>
      <c r="D1749" s="2"/>
      <c r="E1749" s="2"/>
      <c r="F1749" s="2"/>
      <c r="G1749" s="2"/>
      <c r="H1749" s="3"/>
      <c r="I1749" s="2"/>
      <c r="J1749" s="2"/>
      <c r="K1749" s="4"/>
      <c r="L1749" s="4"/>
      <c r="M1749" s="2"/>
      <c r="N1749" s="2"/>
      <c r="O1749" s="2"/>
      <c r="P1749" s="2"/>
      <c r="Q1749" s="5"/>
      <c r="R1749" s="5"/>
      <c r="S1749" s="2"/>
      <c r="T1749" s="2"/>
      <c r="U1749" s="5"/>
      <c r="V1749" s="5"/>
      <c r="W1749" s="2"/>
      <c r="X1749" s="5"/>
      <c r="Y1749" s="1"/>
      <c r="Z1749" s="1"/>
      <c r="AA1749" s="1"/>
    </row>
    <row r="1750">
      <c r="A1750" s="1"/>
      <c r="B1750" s="14"/>
      <c r="C1750" s="2"/>
      <c r="D1750" s="2"/>
      <c r="E1750" s="2"/>
      <c r="F1750" s="2"/>
      <c r="G1750" s="2"/>
      <c r="H1750" s="3"/>
      <c r="I1750" s="2"/>
      <c r="J1750" s="2"/>
      <c r="K1750" s="4"/>
      <c r="L1750" s="4"/>
      <c r="M1750" s="2"/>
      <c r="N1750" s="2"/>
      <c r="O1750" s="2"/>
      <c r="P1750" s="2"/>
      <c r="Q1750" s="5"/>
      <c r="R1750" s="5"/>
      <c r="S1750" s="2"/>
      <c r="T1750" s="2"/>
      <c r="U1750" s="5"/>
      <c r="V1750" s="5"/>
      <c r="W1750" s="2"/>
      <c r="X1750" s="5"/>
      <c r="Y1750" s="1"/>
      <c r="Z1750" s="1"/>
      <c r="AA1750" s="1"/>
    </row>
    <row r="1751">
      <c r="A1751" s="1"/>
      <c r="B1751" s="14"/>
      <c r="C1751" s="2"/>
      <c r="D1751" s="2"/>
      <c r="E1751" s="2"/>
      <c r="F1751" s="2"/>
      <c r="G1751" s="2"/>
      <c r="H1751" s="3"/>
      <c r="I1751" s="2"/>
      <c r="J1751" s="2"/>
      <c r="K1751" s="4"/>
      <c r="L1751" s="4"/>
      <c r="M1751" s="2"/>
      <c r="N1751" s="2"/>
      <c r="O1751" s="2"/>
      <c r="P1751" s="2"/>
      <c r="Q1751" s="5"/>
      <c r="R1751" s="5"/>
      <c r="S1751" s="2"/>
      <c r="T1751" s="2"/>
      <c r="U1751" s="5"/>
      <c r="V1751" s="5"/>
      <c r="W1751" s="2"/>
      <c r="X1751" s="5"/>
      <c r="Y1751" s="1"/>
      <c r="Z1751" s="1"/>
      <c r="AA1751" s="1"/>
    </row>
    <row r="1752">
      <c r="A1752" s="1"/>
      <c r="B1752" s="14"/>
      <c r="C1752" s="2"/>
      <c r="D1752" s="2"/>
      <c r="E1752" s="2"/>
      <c r="F1752" s="2"/>
      <c r="G1752" s="2"/>
      <c r="H1752" s="3"/>
      <c r="I1752" s="2"/>
      <c r="J1752" s="2"/>
      <c r="K1752" s="4"/>
      <c r="L1752" s="4"/>
      <c r="M1752" s="2"/>
      <c r="N1752" s="2"/>
      <c r="O1752" s="2"/>
      <c r="P1752" s="2"/>
      <c r="Q1752" s="5"/>
      <c r="R1752" s="5"/>
      <c r="S1752" s="2"/>
      <c r="T1752" s="2"/>
      <c r="U1752" s="5"/>
      <c r="V1752" s="5"/>
      <c r="W1752" s="2"/>
      <c r="X1752" s="5"/>
      <c r="Y1752" s="1"/>
      <c r="Z1752" s="1"/>
      <c r="AA1752" s="1"/>
    </row>
    <row r="1753">
      <c r="A1753" s="1"/>
      <c r="B1753" s="14"/>
      <c r="C1753" s="2"/>
      <c r="D1753" s="2"/>
      <c r="E1753" s="2"/>
      <c r="F1753" s="2"/>
      <c r="G1753" s="2"/>
      <c r="H1753" s="3"/>
      <c r="I1753" s="2"/>
      <c r="J1753" s="2"/>
      <c r="K1753" s="4"/>
      <c r="L1753" s="4"/>
      <c r="M1753" s="2"/>
      <c r="N1753" s="2"/>
      <c r="O1753" s="2"/>
      <c r="P1753" s="2"/>
      <c r="Q1753" s="5"/>
      <c r="R1753" s="5"/>
      <c r="S1753" s="2"/>
      <c r="T1753" s="2"/>
      <c r="U1753" s="5"/>
      <c r="V1753" s="5"/>
      <c r="W1753" s="2"/>
      <c r="X1753" s="5"/>
      <c r="Y1753" s="1"/>
      <c r="Z1753" s="1"/>
      <c r="AA1753" s="1"/>
    </row>
    <row r="1754">
      <c r="A1754" s="1"/>
      <c r="B1754" s="14"/>
      <c r="C1754" s="2"/>
      <c r="D1754" s="2"/>
      <c r="E1754" s="2"/>
      <c r="F1754" s="2"/>
      <c r="G1754" s="2"/>
      <c r="H1754" s="3"/>
      <c r="I1754" s="2"/>
      <c r="J1754" s="2"/>
      <c r="K1754" s="4"/>
      <c r="L1754" s="4"/>
      <c r="M1754" s="2"/>
      <c r="N1754" s="2"/>
      <c r="O1754" s="2"/>
      <c r="P1754" s="2"/>
      <c r="Q1754" s="5"/>
      <c r="R1754" s="5"/>
      <c r="S1754" s="2"/>
      <c r="T1754" s="2"/>
      <c r="U1754" s="5"/>
      <c r="V1754" s="5"/>
      <c r="W1754" s="2"/>
      <c r="X1754" s="5"/>
      <c r="Y1754" s="1"/>
      <c r="Z1754" s="1"/>
      <c r="AA1754" s="1"/>
    </row>
    <row r="1755">
      <c r="A1755" s="1"/>
      <c r="B1755" s="14"/>
      <c r="C1755" s="2"/>
      <c r="D1755" s="2"/>
      <c r="E1755" s="2"/>
      <c r="F1755" s="2"/>
      <c r="G1755" s="2"/>
      <c r="H1755" s="3"/>
      <c r="I1755" s="2"/>
      <c r="J1755" s="2"/>
      <c r="K1755" s="4"/>
      <c r="L1755" s="4"/>
      <c r="M1755" s="2"/>
      <c r="N1755" s="2"/>
      <c r="O1755" s="2"/>
      <c r="P1755" s="2"/>
      <c r="Q1755" s="5"/>
      <c r="R1755" s="5"/>
      <c r="S1755" s="2"/>
      <c r="T1755" s="2"/>
      <c r="U1755" s="5"/>
      <c r="V1755" s="5"/>
      <c r="W1755" s="2"/>
      <c r="X1755" s="5"/>
      <c r="Y1755" s="1"/>
      <c r="Z1755" s="1"/>
      <c r="AA1755" s="1"/>
    </row>
    <row r="1756">
      <c r="A1756" s="1"/>
      <c r="B1756" s="14"/>
      <c r="C1756" s="2"/>
      <c r="D1756" s="2"/>
      <c r="E1756" s="2"/>
      <c r="F1756" s="2"/>
      <c r="G1756" s="2"/>
      <c r="H1756" s="3"/>
      <c r="I1756" s="2"/>
      <c r="J1756" s="2"/>
      <c r="K1756" s="4"/>
      <c r="L1756" s="4"/>
      <c r="M1756" s="2"/>
      <c r="N1756" s="2"/>
      <c r="O1756" s="2"/>
      <c r="P1756" s="2"/>
      <c r="Q1756" s="5"/>
      <c r="R1756" s="5"/>
      <c r="S1756" s="2"/>
      <c r="T1756" s="2"/>
      <c r="U1756" s="5"/>
      <c r="V1756" s="5"/>
      <c r="W1756" s="2"/>
      <c r="X1756" s="5"/>
      <c r="Y1756" s="1"/>
      <c r="Z1756" s="1"/>
      <c r="AA1756" s="1"/>
    </row>
    <row r="1757">
      <c r="A1757" s="1"/>
      <c r="B1757" s="14"/>
      <c r="C1757" s="2"/>
      <c r="D1757" s="2"/>
      <c r="E1757" s="2"/>
      <c r="F1757" s="2"/>
      <c r="G1757" s="2"/>
      <c r="H1757" s="3"/>
      <c r="I1757" s="2"/>
      <c r="J1757" s="2"/>
      <c r="K1757" s="4"/>
      <c r="L1757" s="4"/>
      <c r="M1757" s="2"/>
      <c r="N1757" s="2"/>
      <c r="O1757" s="2"/>
      <c r="P1757" s="2"/>
      <c r="Q1757" s="5"/>
      <c r="R1757" s="5"/>
      <c r="S1757" s="2"/>
      <c r="T1757" s="2"/>
      <c r="U1757" s="5"/>
      <c r="V1757" s="5"/>
      <c r="W1757" s="2"/>
      <c r="X1757" s="5"/>
      <c r="Y1757" s="1"/>
      <c r="Z1757" s="1"/>
      <c r="AA1757" s="1"/>
    </row>
    <row r="1758">
      <c r="A1758" s="1"/>
      <c r="B1758" s="14"/>
      <c r="C1758" s="2"/>
      <c r="D1758" s="2"/>
      <c r="E1758" s="2"/>
      <c r="F1758" s="2"/>
      <c r="G1758" s="2"/>
      <c r="H1758" s="3"/>
      <c r="I1758" s="2"/>
      <c r="J1758" s="2"/>
      <c r="K1758" s="4"/>
      <c r="L1758" s="4"/>
      <c r="M1758" s="2"/>
      <c r="N1758" s="2"/>
      <c r="O1758" s="2"/>
      <c r="P1758" s="2"/>
      <c r="Q1758" s="5"/>
      <c r="R1758" s="5"/>
      <c r="S1758" s="2"/>
      <c r="T1758" s="2"/>
      <c r="U1758" s="5"/>
      <c r="V1758" s="5"/>
      <c r="W1758" s="2"/>
      <c r="X1758" s="5"/>
      <c r="Y1758" s="1"/>
      <c r="Z1758" s="1"/>
      <c r="AA1758" s="1"/>
    </row>
    <row r="1759">
      <c r="A1759" s="1"/>
      <c r="B1759" s="14"/>
      <c r="C1759" s="2"/>
      <c r="D1759" s="2"/>
      <c r="E1759" s="2"/>
      <c r="F1759" s="2"/>
      <c r="G1759" s="2"/>
      <c r="H1759" s="3"/>
      <c r="I1759" s="2"/>
      <c r="J1759" s="2"/>
      <c r="K1759" s="4"/>
      <c r="L1759" s="4"/>
      <c r="M1759" s="2"/>
      <c r="N1759" s="2"/>
      <c r="O1759" s="2"/>
      <c r="P1759" s="2"/>
      <c r="Q1759" s="5"/>
      <c r="R1759" s="5"/>
      <c r="S1759" s="2"/>
      <c r="T1759" s="2"/>
      <c r="U1759" s="5"/>
      <c r="V1759" s="5"/>
      <c r="W1759" s="2"/>
      <c r="X1759" s="5"/>
      <c r="Y1759" s="1"/>
      <c r="Z1759" s="1"/>
      <c r="AA1759" s="1"/>
    </row>
    <row r="1760">
      <c r="A1760" s="1"/>
      <c r="B1760" s="14"/>
      <c r="C1760" s="2"/>
      <c r="D1760" s="2"/>
      <c r="E1760" s="2"/>
      <c r="F1760" s="2"/>
      <c r="G1760" s="2"/>
      <c r="H1760" s="3"/>
      <c r="I1760" s="2"/>
      <c r="J1760" s="2"/>
      <c r="K1760" s="4"/>
      <c r="L1760" s="4"/>
      <c r="M1760" s="2"/>
      <c r="N1760" s="2"/>
      <c r="O1760" s="2"/>
      <c r="P1760" s="2"/>
      <c r="Q1760" s="5"/>
      <c r="R1760" s="5"/>
      <c r="S1760" s="2"/>
      <c r="T1760" s="2"/>
      <c r="U1760" s="5"/>
      <c r="V1760" s="5"/>
      <c r="W1760" s="2"/>
      <c r="X1760" s="5"/>
      <c r="Y1760" s="1"/>
      <c r="Z1760" s="1"/>
      <c r="AA1760" s="1"/>
    </row>
    <row r="1761">
      <c r="A1761" s="1"/>
      <c r="B1761" s="14"/>
      <c r="C1761" s="2"/>
      <c r="D1761" s="2"/>
      <c r="E1761" s="2"/>
      <c r="F1761" s="2"/>
      <c r="G1761" s="2"/>
      <c r="H1761" s="3"/>
      <c r="I1761" s="2"/>
      <c r="J1761" s="2"/>
      <c r="K1761" s="4"/>
      <c r="L1761" s="4"/>
      <c r="M1761" s="2"/>
      <c r="N1761" s="2"/>
      <c r="O1761" s="2"/>
      <c r="P1761" s="2"/>
      <c r="Q1761" s="5"/>
      <c r="R1761" s="5"/>
      <c r="S1761" s="2"/>
      <c r="T1761" s="2"/>
      <c r="U1761" s="5"/>
      <c r="V1761" s="5"/>
      <c r="W1761" s="2"/>
      <c r="X1761" s="5"/>
      <c r="Y1761" s="1"/>
      <c r="Z1761" s="1"/>
      <c r="AA1761" s="1"/>
    </row>
    <row r="1762">
      <c r="A1762" s="1"/>
      <c r="B1762" s="14"/>
      <c r="C1762" s="2"/>
      <c r="D1762" s="2"/>
      <c r="E1762" s="2"/>
      <c r="F1762" s="2"/>
      <c r="G1762" s="2"/>
      <c r="H1762" s="3"/>
      <c r="I1762" s="2"/>
      <c r="J1762" s="2"/>
      <c r="K1762" s="4"/>
      <c r="L1762" s="4"/>
      <c r="M1762" s="2"/>
      <c r="N1762" s="2"/>
      <c r="O1762" s="2"/>
      <c r="P1762" s="2"/>
      <c r="Q1762" s="5"/>
      <c r="R1762" s="5"/>
      <c r="S1762" s="2"/>
      <c r="T1762" s="2"/>
      <c r="U1762" s="5"/>
      <c r="V1762" s="5"/>
      <c r="W1762" s="2"/>
      <c r="X1762" s="5"/>
      <c r="Y1762" s="1"/>
      <c r="Z1762" s="1"/>
      <c r="AA1762" s="1"/>
    </row>
    <row r="1763">
      <c r="A1763" s="1"/>
      <c r="B1763" s="14"/>
      <c r="C1763" s="2"/>
      <c r="D1763" s="2"/>
      <c r="E1763" s="2"/>
      <c r="F1763" s="2"/>
      <c r="G1763" s="2"/>
      <c r="H1763" s="3"/>
      <c r="I1763" s="2"/>
      <c r="J1763" s="2"/>
      <c r="K1763" s="4"/>
      <c r="L1763" s="4"/>
      <c r="M1763" s="2"/>
      <c r="N1763" s="2"/>
      <c r="O1763" s="2"/>
      <c r="P1763" s="2"/>
      <c r="Q1763" s="5"/>
      <c r="R1763" s="5"/>
      <c r="S1763" s="2"/>
      <c r="T1763" s="2"/>
      <c r="U1763" s="5"/>
      <c r="V1763" s="5"/>
      <c r="W1763" s="2"/>
      <c r="X1763" s="5"/>
      <c r="Y1763" s="1"/>
      <c r="Z1763" s="1"/>
      <c r="AA1763" s="1"/>
    </row>
    <row r="1764">
      <c r="A1764" s="1"/>
      <c r="B1764" s="14"/>
      <c r="C1764" s="2"/>
      <c r="D1764" s="2"/>
      <c r="E1764" s="2"/>
      <c r="F1764" s="2"/>
      <c r="G1764" s="2"/>
      <c r="H1764" s="3"/>
      <c r="I1764" s="2"/>
      <c r="J1764" s="2"/>
      <c r="K1764" s="4"/>
      <c r="L1764" s="4"/>
      <c r="M1764" s="2"/>
      <c r="N1764" s="2"/>
      <c r="O1764" s="2"/>
      <c r="P1764" s="2"/>
      <c r="Q1764" s="5"/>
      <c r="R1764" s="5"/>
      <c r="S1764" s="2"/>
      <c r="T1764" s="2"/>
      <c r="U1764" s="5"/>
      <c r="V1764" s="5"/>
      <c r="W1764" s="2"/>
      <c r="X1764" s="5"/>
      <c r="Y1764" s="1"/>
      <c r="Z1764" s="1"/>
      <c r="AA1764" s="1"/>
    </row>
    <row r="1765">
      <c r="A1765" s="1"/>
      <c r="B1765" s="14"/>
      <c r="C1765" s="2"/>
      <c r="D1765" s="2"/>
      <c r="E1765" s="2"/>
      <c r="F1765" s="2"/>
      <c r="G1765" s="2"/>
      <c r="H1765" s="3"/>
      <c r="I1765" s="2"/>
      <c r="J1765" s="2"/>
      <c r="K1765" s="4"/>
      <c r="L1765" s="4"/>
      <c r="M1765" s="2"/>
      <c r="N1765" s="2"/>
      <c r="O1765" s="2"/>
      <c r="P1765" s="2"/>
      <c r="Q1765" s="5"/>
      <c r="R1765" s="5"/>
      <c r="S1765" s="2"/>
      <c r="T1765" s="2"/>
      <c r="U1765" s="5"/>
      <c r="V1765" s="5"/>
      <c r="W1765" s="2"/>
      <c r="X1765" s="5"/>
      <c r="Y1765" s="1"/>
      <c r="Z1765" s="1"/>
      <c r="AA1765" s="1"/>
    </row>
    <row r="1766">
      <c r="A1766" s="1"/>
      <c r="B1766" s="14"/>
      <c r="C1766" s="2"/>
      <c r="D1766" s="2"/>
      <c r="E1766" s="2"/>
      <c r="F1766" s="2"/>
      <c r="G1766" s="2"/>
      <c r="H1766" s="3"/>
      <c r="I1766" s="2"/>
      <c r="J1766" s="2"/>
      <c r="K1766" s="4"/>
      <c r="L1766" s="4"/>
      <c r="M1766" s="2"/>
      <c r="N1766" s="2"/>
      <c r="O1766" s="2"/>
      <c r="P1766" s="2"/>
      <c r="Q1766" s="5"/>
      <c r="R1766" s="5"/>
      <c r="S1766" s="2"/>
      <c r="T1766" s="2"/>
      <c r="U1766" s="5"/>
      <c r="V1766" s="5"/>
      <c r="W1766" s="2"/>
      <c r="X1766" s="5"/>
      <c r="Y1766" s="1"/>
      <c r="Z1766" s="1"/>
      <c r="AA1766" s="1"/>
    </row>
    <row r="1767">
      <c r="A1767" s="1"/>
      <c r="B1767" s="14"/>
      <c r="C1767" s="2"/>
      <c r="D1767" s="2"/>
      <c r="E1767" s="2"/>
      <c r="F1767" s="2"/>
      <c r="G1767" s="2"/>
      <c r="H1767" s="3"/>
      <c r="I1767" s="2"/>
      <c r="J1767" s="2"/>
      <c r="K1767" s="4"/>
      <c r="L1767" s="4"/>
      <c r="M1767" s="2"/>
      <c r="N1767" s="2"/>
      <c r="O1767" s="2"/>
      <c r="P1767" s="2"/>
      <c r="Q1767" s="5"/>
      <c r="R1767" s="5"/>
      <c r="S1767" s="2"/>
      <c r="T1767" s="2"/>
      <c r="U1767" s="5"/>
      <c r="V1767" s="5"/>
      <c r="W1767" s="2"/>
      <c r="X1767" s="5"/>
      <c r="Y1767" s="1"/>
      <c r="Z1767" s="1"/>
      <c r="AA1767" s="1"/>
    </row>
    <row r="1768">
      <c r="A1768" s="1"/>
      <c r="B1768" s="14"/>
      <c r="C1768" s="2"/>
      <c r="D1768" s="2"/>
      <c r="E1768" s="2"/>
      <c r="F1768" s="2"/>
      <c r="G1768" s="2"/>
      <c r="H1768" s="3"/>
      <c r="I1768" s="2"/>
      <c r="J1768" s="2"/>
      <c r="K1768" s="4"/>
      <c r="L1768" s="4"/>
      <c r="M1768" s="2"/>
      <c r="N1768" s="2"/>
      <c r="O1768" s="2"/>
      <c r="P1768" s="2"/>
      <c r="Q1768" s="5"/>
      <c r="R1768" s="5"/>
      <c r="S1768" s="2"/>
      <c r="T1768" s="2"/>
      <c r="U1768" s="5"/>
      <c r="V1768" s="5"/>
      <c r="W1768" s="2"/>
      <c r="X1768" s="5"/>
      <c r="Y1768" s="1"/>
      <c r="Z1768" s="1"/>
      <c r="AA1768" s="1"/>
    </row>
    <row r="1769">
      <c r="A1769" s="1"/>
      <c r="B1769" s="14"/>
      <c r="C1769" s="2"/>
      <c r="D1769" s="2"/>
      <c r="E1769" s="2"/>
      <c r="F1769" s="2"/>
      <c r="G1769" s="2"/>
      <c r="H1769" s="3"/>
      <c r="I1769" s="2"/>
      <c r="J1769" s="2"/>
      <c r="K1769" s="4"/>
      <c r="L1769" s="4"/>
      <c r="M1769" s="2"/>
      <c r="N1769" s="2"/>
      <c r="O1769" s="2"/>
      <c r="P1769" s="2"/>
      <c r="Q1769" s="5"/>
      <c r="R1769" s="5"/>
      <c r="S1769" s="2"/>
      <c r="T1769" s="2"/>
      <c r="U1769" s="5"/>
      <c r="V1769" s="5"/>
      <c r="W1769" s="2"/>
      <c r="X1769" s="5"/>
      <c r="Y1769" s="1"/>
      <c r="Z1769" s="1"/>
      <c r="AA1769" s="1"/>
    </row>
    <row r="1770">
      <c r="A1770" s="1"/>
      <c r="B1770" s="14"/>
      <c r="C1770" s="2"/>
      <c r="D1770" s="2"/>
      <c r="E1770" s="2"/>
      <c r="F1770" s="2"/>
      <c r="G1770" s="2"/>
      <c r="H1770" s="3"/>
      <c r="I1770" s="2"/>
      <c r="J1770" s="2"/>
      <c r="K1770" s="4"/>
      <c r="L1770" s="4"/>
      <c r="M1770" s="2"/>
      <c r="N1770" s="2"/>
      <c r="O1770" s="2"/>
      <c r="P1770" s="2"/>
      <c r="Q1770" s="5"/>
      <c r="R1770" s="5"/>
      <c r="S1770" s="2"/>
      <c r="T1770" s="2"/>
      <c r="U1770" s="5"/>
      <c r="V1770" s="5"/>
      <c r="W1770" s="2"/>
      <c r="X1770" s="5"/>
      <c r="Y1770" s="1"/>
      <c r="Z1770" s="1"/>
      <c r="AA1770" s="1"/>
    </row>
    <row r="1771">
      <c r="A1771" s="1"/>
      <c r="B1771" s="14"/>
      <c r="C1771" s="2"/>
      <c r="D1771" s="2"/>
      <c r="E1771" s="2"/>
      <c r="F1771" s="2"/>
      <c r="G1771" s="2"/>
      <c r="H1771" s="3"/>
      <c r="I1771" s="2"/>
      <c r="J1771" s="2"/>
      <c r="K1771" s="4"/>
      <c r="L1771" s="4"/>
      <c r="M1771" s="2"/>
      <c r="N1771" s="2"/>
      <c r="O1771" s="2"/>
      <c r="P1771" s="2"/>
      <c r="Q1771" s="5"/>
      <c r="R1771" s="5"/>
      <c r="S1771" s="2"/>
      <c r="T1771" s="2"/>
      <c r="U1771" s="5"/>
      <c r="V1771" s="5"/>
      <c r="W1771" s="2"/>
      <c r="X1771" s="5"/>
      <c r="Y1771" s="1"/>
      <c r="Z1771" s="1"/>
      <c r="AA1771" s="1"/>
    </row>
    <row r="1772">
      <c r="A1772" s="1"/>
      <c r="B1772" s="14"/>
      <c r="C1772" s="2"/>
      <c r="D1772" s="2"/>
      <c r="E1772" s="2"/>
      <c r="F1772" s="2"/>
      <c r="G1772" s="2"/>
      <c r="H1772" s="3"/>
      <c r="I1772" s="2"/>
      <c r="J1772" s="2"/>
      <c r="K1772" s="4"/>
      <c r="L1772" s="4"/>
      <c r="M1772" s="2"/>
      <c r="N1772" s="2"/>
      <c r="O1772" s="2"/>
      <c r="P1772" s="2"/>
      <c r="Q1772" s="5"/>
      <c r="R1772" s="5"/>
      <c r="S1772" s="2"/>
      <c r="T1772" s="2"/>
      <c r="U1772" s="5"/>
      <c r="V1772" s="5"/>
      <c r="W1772" s="2"/>
      <c r="X1772" s="5"/>
      <c r="Y1772" s="1"/>
      <c r="Z1772" s="1"/>
      <c r="AA1772" s="1"/>
    </row>
    <row r="1773">
      <c r="A1773" s="1"/>
      <c r="B1773" s="14"/>
      <c r="C1773" s="2"/>
      <c r="D1773" s="2"/>
      <c r="E1773" s="2"/>
      <c r="F1773" s="2"/>
      <c r="G1773" s="2"/>
      <c r="H1773" s="3"/>
      <c r="I1773" s="2"/>
      <c r="J1773" s="2"/>
      <c r="K1773" s="4"/>
      <c r="L1773" s="4"/>
      <c r="M1773" s="2"/>
      <c r="N1773" s="2"/>
      <c r="O1773" s="2"/>
      <c r="P1773" s="2"/>
      <c r="Q1773" s="5"/>
      <c r="R1773" s="5"/>
      <c r="S1773" s="2"/>
      <c r="T1773" s="2"/>
      <c r="U1773" s="5"/>
      <c r="V1773" s="5"/>
      <c r="W1773" s="2"/>
      <c r="X1773" s="5"/>
      <c r="Y1773" s="1"/>
      <c r="Z1773" s="1"/>
      <c r="AA1773" s="1"/>
    </row>
    <row r="1774">
      <c r="A1774" s="1"/>
      <c r="B1774" s="14"/>
      <c r="C1774" s="2"/>
      <c r="D1774" s="2"/>
      <c r="E1774" s="2"/>
      <c r="F1774" s="2"/>
      <c r="G1774" s="2"/>
      <c r="H1774" s="3"/>
      <c r="I1774" s="2"/>
      <c r="J1774" s="2"/>
      <c r="K1774" s="4"/>
      <c r="L1774" s="4"/>
      <c r="M1774" s="2"/>
      <c r="N1774" s="2"/>
      <c r="O1774" s="2"/>
      <c r="P1774" s="2"/>
      <c r="Q1774" s="5"/>
      <c r="R1774" s="5"/>
      <c r="S1774" s="2"/>
      <c r="T1774" s="2"/>
      <c r="U1774" s="5"/>
      <c r="V1774" s="5"/>
      <c r="W1774" s="2"/>
      <c r="X1774" s="5"/>
      <c r="Y1774" s="1"/>
      <c r="Z1774" s="1"/>
      <c r="AA1774" s="1"/>
    </row>
    <row r="1775">
      <c r="A1775" s="1"/>
      <c r="B1775" s="14"/>
      <c r="C1775" s="2"/>
      <c r="D1775" s="2"/>
      <c r="E1775" s="2"/>
      <c r="F1775" s="2"/>
      <c r="G1775" s="2"/>
      <c r="H1775" s="3"/>
      <c r="I1775" s="2"/>
      <c r="J1775" s="2"/>
      <c r="K1775" s="4"/>
      <c r="L1775" s="4"/>
      <c r="M1775" s="2"/>
      <c r="N1775" s="2"/>
      <c r="O1775" s="2"/>
      <c r="P1775" s="2"/>
      <c r="Q1775" s="5"/>
      <c r="R1775" s="5"/>
      <c r="S1775" s="2"/>
      <c r="T1775" s="2"/>
      <c r="U1775" s="5"/>
      <c r="V1775" s="5"/>
      <c r="W1775" s="2"/>
      <c r="X1775" s="5"/>
      <c r="Y1775" s="1"/>
      <c r="Z1775" s="1"/>
      <c r="AA1775" s="1"/>
    </row>
    <row r="1776">
      <c r="A1776" s="1"/>
      <c r="B1776" s="14"/>
      <c r="C1776" s="2"/>
      <c r="D1776" s="2"/>
      <c r="E1776" s="2"/>
      <c r="F1776" s="2"/>
      <c r="G1776" s="2"/>
      <c r="H1776" s="3"/>
      <c r="I1776" s="2"/>
      <c r="J1776" s="2"/>
      <c r="K1776" s="4"/>
      <c r="L1776" s="4"/>
      <c r="M1776" s="2"/>
      <c r="N1776" s="2"/>
      <c r="O1776" s="2"/>
      <c r="P1776" s="2"/>
      <c r="Q1776" s="5"/>
      <c r="R1776" s="5"/>
      <c r="S1776" s="2"/>
      <c r="T1776" s="2"/>
      <c r="U1776" s="5"/>
      <c r="V1776" s="5"/>
      <c r="W1776" s="2"/>
      <c r="X1776" s="5"/>
      <c r="Y1776" s="1"/>
      <c r="Z1776" s="1"/>
      <c r="AA1776" s="1"/>
    </row>
    <row r="1777">
      <c r="A1777" s="1"/>
      <c r="B1777" s="14"/>
      <c r="C1777" s="2"/>
      <c r="D1777" s="2"/>
      <c r="E1777" s="2"/>
      <c r="F1777" s="2"/>
      <c r="G1777" s="2"/>
      <c r="H1777" s="3"/>
      <c r="I1777" s="2"/>
      <c r="J1777" s="2"/>
      <c r="K1777" s="4"/>
      <c r="L1777" s="4"/>
      <c r="M1777" s="2"/>
      <c r="N1777" s="2"/>
      <c r="O1777" s="2"/>
      <c r="P1777" s="2"/>
      <c r="Q1777" s="5"/>
      <c r="R1777" s="5"/>
      <c r="S1777" s="2"/>
      <c r="T1777" s="2"/>
      <c r="U1777" s="5"/>
      <c r="V1777" s="5"/>
      <c r="W1777" s="2"/>
      <c r="X1777" s="5"/>
      <c r="Y1777" s="1"/>
      <c r="Z1777" s="1"/>
      <c r="AA1777" s="1"/>
    </row>
    <row r="1778">
      <c r="A1778" s="1"/>
      <c r="B1778" s="14"/>
      <c r="C1778" s="2"/>
      <c r="D1778" s="2"/>
      <c r="E1778" s="2"/>
      <c r="F1778" s="2"/>
      <c r="G1778" s="2"/>
      <c r="H1778" s="3"/>
      <c r="I1778" s="2"/>
      <c r="J1778" s="2"/>
      <c r="K1778" s="4"/>
      <c r="L1778" s="4"/>
      <c r="M1778" s="2"/>
      <c r="N1778" s="2"/>
      <c r="O1778" s="2"/>
      <c r="P1778" s="2"/>
      <c r="Q1778" s="5"/>
      <c r="R1778" s="5"/>
      <c r="S1778" s="2"/>
      <c r="T1778" s="2"/>
      <c r="U1778" s="5"/>
      <c r="V1778" s="5"/>
      <c r="W1778" s="2"/>
      <c r="X1778" s="5"/>
      <c r="Y1778" s="1"/>
      <c r="Z1778" s="1"/>
      <c r="AA1778" s="1"/>
    </row>
    <row r="1779">
      <c r="A1779" s="1"/>
      <c r="B1779" s="14"/>
      <c r="C1779" s="2"/>
      <c r="D1779" s="2"/>
      <c r="E1779" s="2"/>
      <c r="F1779" s="2"/>
      <c r="G1779" s="2"/>
      <c r="H1779" s="3"/>
      <c r="I1779" s="2"/>
      <c r="J1779" s="2"/>
      <c r="K1779" s="4"/>
      <c r="L1779" s="4"/>
      <c r="M1779" s="2"/>
      <c r="N1779" s="2"/>
      <c r="O1779" s="2"/>
      <c r="P1779" s="2"/>
      <c r="Q1779" s="5"/>
      <c r="R1779" s="5"/>
      <c r="S1779" s="2"/>
      <c r="T1779" s="2"/>
      <c r="U1779" s="5"/>
      <c r="V1779" s="5"/>
      <c r="W1779" s="2"/>
      <c r="X1779" s="5"/>
      <c r="Y1779" s="1"/>
      <c r="Z1779" s="1"/>
      <c r="AA1779" s="1"/>
    </row>
    <row r="1780">
      <c r="A1780" s="1"/>
      <c r="B1780" s="14"/>
      <c r="C1780" s="2"/>
      <c r="D1780" s="2"/>
      <c r="E1780" s="2"/>
      <c r="F1780" s="2"/>
      <c r="G1780" s="2"/>
      <c r="H1780" s="3"/>
      <c r="I1780" s="2"/>
      <c r="J1780" s="2"/>
      <c r="K1780" s="4"/>
      <c r="L1780" s="4"/>
      <c r="M1780" s="2"/>
      <c r="N1780" s="2"/>
      <c r="O1780" s="2"/>
      <c r="P1780" s="2"/>
      <c r="Q1780" s="5"/>
      <c r="R1780" s="5"/>
      <c r="S1780" s="2"/>
      <c r="T1780" s="2"/>
      <c r="U1780" s="5"/>
      <c r="V1780" s="5"/>
      <c r="W1780" s="2"/>
      <c r="X1780" s="5"/>
      <c r="Y1780" s="1"/>
      <c r="Z1780" s="1"/>
      <c r="AA1780" s="1"/>
    </row>
    <row r="1781">
      <c r="A1781" s="1"/>
      <c r="B1781" s="14"/>
      <c r="C1781" s="2"/>
      <c r="D1781" s="2"/>
      <c r="E1781" s="2"/>
      <c r="F1781" s="2"/>
      <c r="G1781" s="2"/>
      <c r="H1781" s="3"/>
      <c r="I1781" s="2"/>
      <c r="J1781" s="2"/>
      <c r="K1781" s="4"/>
      <c r="L1781" s="4"/>
      <c r="M1781" s="2"/>
      <c r="N1781" s="2"/>
      <c r="O1781" s="2"/>
      <c r="P1781" s="2"/>
      <c r="Q1781" s="5"/>
      <c r="R1781" s="5"/>
      <c r="S1781" s="2"/>
      <c r="T1781" s="2"/>
      <c r="U1781" s="5"/>
      <c r="V1781" s="5"/>
      <c r="W1781" s="2"/>
      <c r="X1781" s="5"/>
      <c r="Y1781" s="1"/>
      <c r="Z1781" s="1"/>
      <c r="AA1781" s="1"/>
    </row>
    <row r="1782">
      <c r="A1782" s="1"/>
      <c r="B1782" s="14"/>
      <c r="C1782" s="2"/>
      <c r="D1782" s="2"/>
      <c r="E1782" s="2"/>
      <c r="F1782" s="2"/>
      <c r="G1782" s="2"/>
      <c r="H1782" s="3"/>
      <c r="I1782" s="2"/>
      <c r="J1782" s="2"/>
      <c r="K1782" s="4"/>
      <c r="L1782" s="4"/>
      <c r="M1782" s="2"/>
      <c r="N1782" s="2"/>
      <c r="O1782" s="2"/>
      <c r="P1782" s="2"/>
      <c r="Q1782" s="5"/>
      <c r="R1782" s="5"/>
      <c r="S1782" s="2"/>
      <c r="T1782" s="2"/>
      <c r="U1782" s="5"/>
      <c r="V1782" s="5"/>
      <c r="W1782" s="2"/>
      <c r="X1782" s="5"/>
      <c r="Y1782" s="1"/>
      <c r="Z1782" s="1"/>
      <c r="AA1782" s="1"/>
    </row>
    <row r="1783">
      <c r="A1783" s="1"/>
      <c r="B1783" s="14"/>
      <c r="C1783" s="2"/>
      <c r="D1783" s="2"/>
      <c r="E1783" s="2"/>
      <c r="F1783" s="2"/>
      <c r="G1783" s="2"/>
      <c r="H1783" s="3"/>
      <c r="I1783" s="2"/>
      <c r="J1783" s="2"/>
      <c r="K1783" s="4"/>
      <c r="L1783" s="4"/>
      <c r="M1783" s="2"/>
      <c r="N1783" s="2"/>
      <c r="O1783" s="2"/>
      <c r="P1783" s="2"/>
      <c r="Q1783" s="5"/>
      <c r="R1783" s="5"/>
      <c r="S1783" s="2"/>
      <c r="T1783" s="2"/>
      <c r="U1783" s="5"/>
      <c r="V1783" s="5"/>
      <c r="W1783" s="2"/>
      <c r="X1783" s="5"/>
      <c r="Y1783" s="1"/>
      <c r="Z1783" s="1"/>
      <c r="AA1783" s="1"/>
    </row>
    <row r="1784">
      <c r="A1784" s="1"/>
      <c r="B1784" s="14"/>
      <c r="C1784" s="2"/>
      <c r="D1784" s="2"/>
      <c r="E1784" s="2"/>
      <c r="F1784" s="2"/>
      <c r="G1784" s="2"/>
      <c r="H1784" s="3"/>
      <c r="I1784" s="2"/>
      <c r="J1784" s="2"/>
      <c r="K1784" s="4"/>
      <c r="L1784" s="4"/>
      <c r="M1784" s="2"/>
      <c r="N1784" s="2"/>
      <c r="O1784" s="2"/>
      <c r="P1784" s="2"/>
      <c r="Q1784" s="5"/>
      <c r="R1784" s="5"/>
      <c r="S1784" s="2"/>
      <c r="T1784" s="2"/>
      <c r="U1784" s="5"/>
      <c r="V1784" s="5"/>
      <c r="W1784" s="2"/>
      <c r="X1784" s="5"/>
      <c r="Y1784" s="1"/>
      <c r="Z1784" s="1"/>
      <c r="AA1784" s="1"/>
    </row>
    <row r="1785">
      <c r="A1785" s="1"/>
      <c r="B1785" s="14"/>
      <c r="C1785" s="2"/>
      <c r="D1785" s="2"/>
      <c r="E1785" s="2"/>
      <c r="F1785" s="2"/>
      <c r="G1785" s="2"/>
      <c r="H1785" s="3"/>
      <c r="I1785" s="2"/>
      <c r="J1785" s="2"/>
      <c r="K1785" s="4"/>
      <c r="L1785" s="4"/>
      <c r="M1785" s="2"/>
      <c r="N1785" s="2"/>
      <c r="O1785" s="2"/>
      <c r="P1785" s="2"/>
      <c r="Q1785" s="5"/>
      <c r="R1785" s="5"/>
      <c r="S1785" s="2"/>
      <c r="T1785" s="2"/>
      <c r="U1785" s="5"/>
      <c r="V1785" s="5"/>
      <c r="W1785" s="2"/>
      <c r="X1785" s="5"/>
      <c r="Y1785" s="1"/>
      <c r="Z1785" s="1"/>
      <c r="AA1785" s="1"/>
    </row>
    <row r="1786">
      <c r="A1786" s="1"/>
      <c r="B1786" s="14"/>
      <c r="C1786" s="2"/>
      <c r="D1786" s="2"/>
      <c r="E1786" s="2"/>
      <c r="F1786" s="2"/>
      <c r="G1786" s="2"/>
      <c r="H1786" s="3"/>
      <c r="I1786" s="2"/>
      <c r="J1786" s="2"/>
      <c r="K1786" s="4"/>
      <c r="L1786" s="4"/>
      <c r="M1786" s="2"/>
      <c r="N1786" s="2"/>
      <c r="O1786" s="2"/>
      <c r="P1786" s="2"/>
      <c r="Q1786" s="5"/>
      <c r="R1786" s="5"/>
      <c r="S1786" s="2"/>
      <c r="T1786" s="2"/>
      <c r="U1786" s="5"/>
      <c r="V1786" s="5"/>
      <c r="W1786" s="2"/>
      <c r="X1786" s="5"/>
      <c r="Y1786" s="1"/>
      <c r="Z1786" s="1"/>
      <c r="AA1786" s="1"/>
    </row>
    <row r="1787">
      <c r="A1787" s="1"/>
      <c r="B1787" s="14"/>
      <c r="C1787" s="2"/>
      <c r="D1787" s="2"/>
      <c r="E1787" s="2"/>
      <c r="F1787" s="2"/>
      <c r="G1787" s="2"/>
      <c r="H1787" s="3"/>
      <c r="I1787" s="2"/>
      <c r="J1787" s="2"/>
      <c r="K1787" s="4"/>
      <c r="L1787" s="4"/>
      <c r="M1787" s="2"/>
      <c r="N1787" s="2"/>
      <c r="O1787" s="2"/>
      <c r="P1787" s="2"/>
      <c r="Q1787" s="5"/>
      <c r="R1787" s="5"/>
      <c r="S1787" s="2"/>
      <c r="T1787" s="2"/>
      <c r="U1787" s="5"/>
      <c r="V1787" s="5"/>
      <c r="W1787" s="2"/>
      <c r="X1787" s="5"/>
      <c r="Y1787" s="1"/>
      <c r="Z1787" s="1"/>
      <c r="AA1787" s="1"/>
    </row>
    <row r="1788">
      <c r="A1788" s="1"/>
      <c r="B1788" s="14"/>
      <c r="C1788" s="2"/>
      <c r="D1788" s="2"/>
      <c r="E1788" s="2"/>
      <c r="F1788" s="2"/>
      <c r="G1788" s="2"/>
      <c r="H1788" s="3"/>
      <c r="I1788" s="2"/>
      <c r="J1788" s="2"/>
      <c r="K1788" s="4"/>
      <c r="L1788" s="4"/>
      <c r="M1788" s="2"/>
      <c r="N1788" s="2"/>
      <c r="O1788" s="2"/>
      <c r="P1788" s="2"/>
      <c r="Q1788" s="5"/>
      <c r="R1788" s="5"/>
      <c r="S1788" s="2"/>
      <c r="T1788" s="2"/>
      <c r="U1788" s="5"/>
      <c r="V1788" s="5"/>
      <c r="W1788" s="2"/>
      <c r="X1788" s="5"/>
      <c r="Y1788" s="1"/>
      <c r="Z1788" s="1"/>
      <c r="AA1788" s="1"/>
    </row>
    <row r="1789">
      <c r="A1789" s="1"/>
      <c r="B1789" s="14"/>
      <c r="C1789" s="2"/>
      <c r="D1789" s="2"/>
      <c r="E1789" s="2"/>
      <c r="F1789" s="2"/>
      <c r="G1789" s="2"/>
      <c r="H1789" s="3"/>
      <c r="I1789" s="2"/>
      <c r="J1789" s="2"/>
      <c r="K1789" s="4"/>
      <c r="L1789" s="4"/>
      <c r="M1789" s="2"/>
      <c r="N1789" s="2"/>
      <c r="O1789" s="2"/>
      <c r="P1789" s="2"/>
      <c r="Q1789" s="5"/>
      <c r="R1789" s="5"/>
      <c r="S1789" s="2"/>
      <c r="T1789" s="2"/>
      <c r="U1789" s="5"/>
      <c r="V1789" s="5"/>
      <c r="W1789" s="2"/>
      <c r="X1789" s="5"/>
      <c r="Y1789" s="1"/>
      <c r="Z1789" s="1"/>
      <c r="AA1789" s="1"/>
    </row>
    <row r="1790">
      <c r="A1790" s="1"/>
      <c r="B1790" s="14"/>
      <c r="C1790" s="2"/>
      <c r="D1790" s="2"/>
      <c r="E1790" s="2"/>
      <c r="F1790" s="2"/>
      <c r="G1790" s="2"/>
      <c r="H1790" s="3"/>
      <c r="I1790" s="2"/>
      <c r="J1790" s="2"/>
      <c r="K1790" s="4"/>
      <c r="L1790" s="4"/>
      <c r="M1790" s="2"/>
      <c r="N1790" s="2"/>
      <c r="O1790" s="2"/>
      <c r="P1790" s="2"/>
      <c r="Q1790" s="5"/>
      <c r="R1790" s="5"/>
      <c r="S1790" s="2"/>
      <c r="T1790" s="2"/>
      <c r="U1790" s="5"/>
      <c r="V1790" s="5"/>
      <c r="W1790" s="2"/>
      <c r="X1790" s="5"/>
      <c r="Y1790" s="1"/>
      <c r="Z1790" s="1"/>
      <c r="AA1790" s="1"/>
    </row>
    <row r="1791">
      <c r="A1791" s="1"/>
      <c r="B1791" s="14"/>
      <c r="C1791" s="2"/>
      <c r="D1791" s="2"/>
      <c r="E1791" s="2"/>
      <c r="F1791" s="2"/>
      <c r="G1791" s="2"/>
      <c r="H1791" s="3"/>
      <c r="I1791" s="2"/>
      <c r="J1791" s="2"/>
      <c r="K1791" s="4"/>
      <c r="L1791" s="4"/>
      <c r="M1791" s="2"/>
      <c r="N1791" s="2"/>
      <c r="O1791" s="2"/>
      <c r="P1791" s="2"/>
      <c r="Q1791" s="5"/>
      <c r="R1791" s="5"/>
      <c r="S1791" s="2"/>
      <c r="T1791" s="2"/>
      <c r="U1791" s="5"/>
      <c r="V1791" s="5"/>
      <c r="W1791" s="2"/>
      <c r="X1791" s="5"/>
      <c r="Y1791" s="1"/>
      <c r="Z1791" s="1"/>
      <c r="AA1791" s="1"/>
    </row>
    <row r="1792">
      <c r="A1792" s="1"/>
      <c r="B1792" s="14"/>
      <c r="C1792" s="2"/>
      <c r="D1792" s="2"/>
      <c r="E1792" s="2"/>
      <c r="F1792" s="2"/>
      <c r="G1792" s="2"/>
      <c r="H1792" s="3"/>
      <c r="I1792" s="2"/>
      <c r="J1792" s="2"/>
      <c r="K1792" s="4"/>
      <c r="L1792" s="4"/>
      <c r="M1792" s="2"/>
      <c r="N1792" s="2"/>
      <c r="O1792" s="2"/>
      <c r="P1792" s="2"/>
      <c r="Q1792" s="5"/>
      <c r="R1792" s="5"/>
      <c r="S1792" s="2"/>
      <c r="T1792" s="2"/>
      <c r="U1792" s="5"/>
      <c r="V1792" s="5"/>
      <c r="W1792" s="2"/>
      <c r="X1792" s="5"/>
      <c r="Y1792" s="1"/>
      <c r="Z1792" s="1"/>
      <c r="AA1792" s="1"/>
    </row>
    <row r="1793">
      <c r="A1793" s="1"/>
      <c r="B1793" s="14"/>
      <c r="C1793" s="2"/>
      <c r="D1793" s="2"/>
      <c r="E1793" s="2"/>
      <c r="F1793" s="2"/>
      <c r="G1793" s="2"/>
      <c r="H1793" s="3"/>
      <c r="I1793" s="2"/>
      <c r="J1793" s="2"/>
      <c r="K1793" s="4"/>
      <c r="L1793" s="4"/>
      <c r="M1793" s="2"/>
      <c r="N1793" s="2"/>
      <c r="O1793" s="2"/>
      <c r="P1793" s="2"/>
      <c r="Q1793" s="5"/>
      <c r="R1793" s="5"/>
      <c r="S1793" s="2"/>
      <c r="T1793" s="2"/>
      <c r="U1793" s="5"/>
      <c r="V1793" s="5"/>
      <c r="W1793" s="2"/>
      <c r="X1793" s="5"/>
      <c r="Y1793" s="1"/>
      <c r="Z1793" s="1"/>
      <c r="AA1793" s="1"/>
    </row>
    <row r="1794">
      <c r="A1794" s="1"/>
      <c r="B1794" s="14"/>
      <c r="C1794" s="2"/>
      <c r="D1794" s="2"/>
      <c r="E1794" s="2"/>
      <c r="F1794" s="2"/>
      <c r="G1794" s="2"/>
      <c r="H1794" s="3"/>
      <c r="I1794" s="2"/>
      <c r="J1794" s="2"/>
      <c r="K1794" s="4"/>
      <c r="L1794" s="4"/>
      <c r="M1794" s="2"/>
      <c r="N1794" s="2"/>
      <c r="O1794" s="2"/>
      <c r="P1794" s="2"/>
      <c r="Q1794" s="5"/>
      <c r="R1794" s="5"/>
      <c r="S1794" s="2"/>
      <c r="T1794" s="2"/>
      <c r="U1794" s="5"/>
      <c r="V1794" s="5"/>
      <c r="W1794" s="2"/>
      <c r="X1794" s="5"/>
      <c r="Y1794" s="1"/>
      <c r="Z1794" s="1"/>
      <c r="AA1794" s="1"/>
    </row>
    <row r="1795">
      <c r="A1795" s="1"/>
      <c r="B1795" s="14"/>
      <c r="C1795" s="2"/>
      <c r="D1795" s="2"/>
      <c r="E1795" s="2"/>
      <c r="F1795" s="2"/>
      <c r="G1795" s="2"/>
      <c r="H1795" s="3"/>
      <c r="I1795" s="2"/>
      <c r="J1795" s="2"/>
      <c r="K1795" s="4"/>
      <c r="L1795" s="4"/>
      <c r="M1795" s="2"/>
      <c r="N1795" s="2"/>
      <c r="O1795" s="2"/>
      <c r="P1795" s="2"/>
      <c r="Q1795" s="5"/>
      <c r="R1795" s="5"/>
      <c r="S1795" s="2"/>
      <c r="T1795" s="2"/>
      <c r="U1795" s="5"/>
      <c r="V1795" s="5"/>
      <c r="W1795" s="2"/>
      <c r="X1795" s="5"/>
      <c r="Y1795" s="1"/>
      <c r="Z1795" s="1"/>
      <c r="AA1795" s="1"/>
    </row>
    <row r="1796">
      <c r="A1796" s="1"/>
      <c r="B1796" s="14"/>
      <c r="C1796" s="2"/>
      <c r="D1796" s="2"/>
      <c r="E1796" s="2"/>
      <c r="F1796" s="2"/>
      <c r="G1796" s="2"/>
      <c r="H1796" s="3"/>
      <c r="I1796" s="2"/>
      <c r="J1796" s="2"/>
      <c r="K1796" s="4"/>
      <c r="L1796" s="4"/>
      <c r="M1796" s="2"/>
      <c r="N1796" s="2"/>
      <c r="O1796" s="2"/>
      <c r="P1796" s="2"/>
      <c r="Q1796" s="5"/>
      <c r="R1796" s="5"/>
      <c r="S1796" s="2"/>
      <c r="T1796" s="2"/>
      <c r="U1796" s="5"/>
      <c r="V1796" s="5"/>
      <c r="W1796" s="2"/>
      <c r="X1796" s="5"/>
      <c r="Y1796" s="1"/>
      <c r="Z1796" s="1"/>
      <c r="AA1796" s="1"/>
    </row>
    <row r="1797">
      <c r="A1797" s="1"/>
      <c r="B1797" s="14"/>
      <c r="C1797" s="2"/>
      <c r="D1797" s="2"/>
      <c r="E1797" s="2"/>
      <c r="F1797" s="2"/>
      <c r="G1797" s="2"/>
      <c r="H1797" s="3"/>
      <c r="I1797" s="2"/>
      <c r="J1797" s="2"/>
      <c r="K1797" s="4"/>
      <c r="L1797" s="4"/>
      <c r="M1797" s="2"/>
      <c r="N1797" s="2"/>
      <c r="O1797" s="2"/>
      <c r="P1797" s="2"/>
      <c r="Q1797" s="5"/>
      <c r="R1797" s="5"/>
      <c r="S1797" s="2"/>
      <c r="T1797" s="2"/>
      <c r="U1797" s="5"/>
      <c r="V1797" s="5"/>
      <c r="W1797" s="2"/>
      <c r="X1797" s="5"/>
      <c r="Y1797" s="1"/>
      <c r="Z1797" s="1"/>
      <c r="AA1797" s="1"/>
    </row>
    <row r="1798">
      <c r="A1798" s="1"/>
      <c r="B1798" s="14"/>
      <c r="C1798" s="2"/>
      <c r="D1798" s="2"/>
      <c r="E1798" s="2"/>
      <c r="F1798" s="2"/>
      <c r="G1798" s="2"/>
      <c r="H1798" s="3"/>
      <c r="I1798" s="2"/>
      <c r="J1798" s="2"/>
      <c r="K1798" s="4"/>
      <c r="L1798" s="4"/>
      <c r="M1798" s="2"/>
      <c r="N1798" s="2"/>
      <c r="O1798" s="2"/>
      <c r="P1798" s="2"/>
      <c r="Q1798" s="5"/>
      <c r="R1798" s="5"/>
      <c r="S1798" s="2"/>
      <c r="T1798" s="2"/>
      <c r="U1798" s="5"/>
      <c r="V1798" s="5"/>
      <c r="W1798" s="2"/>
      <c r="X1798" s="5"/>
      <c r="Y1798" s="1"/>
      <c r="Z1798" s="1"/>
      <c r="AA1798" s="1"/>
    </row>
    <row r="1799">
      <c r="A1799" s="1"/>
      <c r="B1799" s="14"/>
      <c r="C1799" s="2"/>
      <c r="D1799" s="2"/>
      <c r="E1799" s="2"/>
      <c r="F1799" s="2"/>
      <c r="G1799" s="2"/>
      <c r="H1799" s="3"/>
      <c r="I1799" s="2"/>
      <c r="J1799" s="2"/>
      <c r="K1799" s="4"/>
      <c r="L1799" s="4"/>
      <c r="M1799" s="2"/>
      <c r="N1799" s="2"/>
      <c r="O1799" s="2"/>
      <c r="P1799" s="2"/>
      <c r="Q1799" s="5"/>
      <c r="R1799" s="5"/>
      <c r="S1799" s="2"/>
      <c r="T1799" s="2"/>
      <c r="U1799" s="5"/>
      <c r="V1799" s="5"/>
      <c r="W1799" s="2"/>
      <c r="X1799" s="5"/>
      <c r="Y1799" s="1"/>
      <c r="Z1799" s="1"/>
      <c r="AA1799" s="1"/>
    </row>
    <row r="1800">
      <c r="A1800" s="1"/>
      <c r="B1800" s="14"/>
      <c r="C1800" s="2"/>
      <c r="D1800" s="2"/>
      <c r="E1800" s="2"/>
      <c r="F1800" s="2"/>
      <c r="G1800" s="2"/>
      <c r="H1800" s="3"/>
      <c r="I1800" s="2"/>
      <c r="J1800" s="2"/>
      <c r="K1800" s="4"/>
      <c r="L1800" s="4"/>
      <c r="M1800" s="2"/>
      <c r="N1800" s="2"/>
      <c r="O1800" s="2"/>
      <c r="P1800" s="2"/>
      <c r="Q1800" s="5"/>
      <c r="R1800" s="5"/>
      <c r="S1800" s="2"/>
      <c r="T1800" s="2"/>
      <c r="U1800" s="5"/>
      <c r="V1800" s="5"/>
      <c r="W1800" s="2"/>
      <c r="X1800" s="5"/>
      <c r="Y1800" s="1"/>
      <c r="Z1800" s="1"/>
      <c r="AA1800" s="1"/>
    </row>
    <row r="1801">
      <c r="A1801" s="1"/>
      <c r="B1801" s="14"/>
      <c r="C1801" s="2"/>
      <c r="D1801" s="2"/>
      <c r="E1801" s="2"/>
      <c r="F1801" s="2"/>
      <c r="G1801" s="2"/>
      <c r="H1801" s="3"/>
      <c r="I1801" s="2"/>
      <c r="J1801" s="2"/>
      <c r="K1801" s="4"/>
      <c r="L1801" s="4"/>
      <c r="M1801" s="2"/>
      <c r="N1801" s="2"/>
      <c r="O1801" s="2"/>
      <c r="P1801" s="2"/>
      <c r="Q1801" s="5"/>
      <c r="R1801" s="5"/>
      <c r="S1801" s="2"/>
      <c r="T1801" s="2"/>
      <c r="U1801" s="5"/>
      <c r="V1801" s="5"/>
      <c r="W1801" s="2"/>
      <c r="X1801" s="5"/>
      <c r="Y1801" s="1"/>
      <c r="Z1801" s="1"/>
      <c r="AA1801" s="1"/>
    </row>
    <row r="1802">
      <c r="A1802" s="1"/>
      <c r="B1802" s="14"/>
      <c r="C1802" s="2"/>
      <c r="D1802" s="2"/>
      <c r="E1802" s="2"/>
      <c r="F1802" s="2"/>
      <c r="G1802" s="2"/>
      <c r="H1802" s="3"/>
      <c r="I1802" s="2"/>
      <c r="J1802" s="2"/>
      <c r="K1802" s="4"/>
      <c r="L1802" s="4"/>
      <c r="M1802" s="2"/>
      <c r="N1802" s="2"/>
      <c r="O1802" s="2"/>
      <c r="P1802" s="2"/>
      <c r="Q1802" s="5"/>
      <c r="R1802" s="5"/>
      <c r="S1802" s="2"/>
      <c r="T1802" s="2"/>
      <c r="U1802" s="5"/>
      <c r="V1802" s="5"/>
      <c r="W1802" s="2"/>
      <c r="X1802" s="5"/>
      <c r="Y1802" s="1"/>
      <c r="Z1802" s="1"/>
      <c r="AA1802" s="1"/>
    </row>
    <row r="1803">
      <c r="A1803" s="1"/>
      <c r="B1803" s="14"/>
      <c r="C1803" s="2"/>
      <c r="D1803" s="2"/>
      <c r="E1803" s="2"/>
      <c r="F1803" s="2"/>
      <c r="G1803" s="2"/>
      <c r="H1803" s="3"/>
      <c r="I1803" s="2"/>
      <c r="J1803" s="2"/>
      <c r="K1803" s="4"/>
      <c r="L1803" s="4"/>
      <c r="M1803" s="2"/>
      <c r="N1803" s="2"/>
      <c r="O1803" s="2"/>
      <c r="P1803" s="2"/>
      <c r="Q1803" s="5"/>
      <c r="R1803" s="5"/>
      <c r="S1803" s="2"/>
      <c r="T1803" s="2"/>
      <c r="U1803" s="5"/>
      <c r="V1803" s="5"/>
      <c r="W1803" s="2"/>
      <c r="X1803" s="5"/>
      <c r="Y1803" s="1"/>
      <c r="Z1803" s="1"/>
      <c r="AA1803" s="1"/>
    </row>
    <row r="1804">
      <c r="A1804" s="1"/>
      <c r="B1804" s="14"/>
      <c r="C1804" s="2"/>
      <c r="D1804" s="2"/>
      <c r="E1804" s="2"/>
      <c r="F1804" s="2"/>
      <c r="G1804" s="2"/>
      <c r="H1804" s="3"/>
      <c r="I1804" s="2"/>
      <c r="J1804" s="2"/>
      <c r="K1804" s="4"/>
      <c r="L1804" s="4"/>
      <c r="M1804" s="2"/>
      <c r="N1804" s="2"/>
      <c r="O1804" s="2"/>
      <c r="P1804" s="2"/>
      <c r="Q1804" s="5"/>
      <c r="R1804" s="5"/>
      <c r="S1804" s="2"/>
      <c r="T1804" s="2"/>
      <c r="U1804" s="5"/>
      <c r="V1804" s="5"/>
      <c r="W1804" s="2"/>
      <c r="X1804" s="5"/>
      <c r="Y1804" s="1"/>
      <c r="Z1804" s="1"/>
      <c r="AA1804" s="1"/>
    </row>
    <row r="1805">
      <c r="A1805" s="1"/>
      <c r="B1805" s="14"/>
      <c r="C1805" s="2"/>
      <c r="D1805" s="2"/>
      <c r="E1805" s="2"/>
      <c r="F1805" s="2"/>
      <c r="G1805" s="2"/>
      <c r="H1805" s="3"/>
      <c r="I1805" s="2"/>
      <c r="J1805" s="2"/>
      <c r="K1805" s="4"/>
      <c r="L1805" s="4"/>
      <c r="M1805" s="2"/>
      <c r="N1805" s="2"/>
      <c r="O1805" s="2"/>
      <c r="P1805" s="2"/>
      <c r="Q1805" s="5"/>
      <c r="R1805" s="5"/>
      <c r="S1805" s="2"/>
      <c r="T1805" s="2"/>
      <c r="U1805" s="5"/>
      <c r="V1805" s="5"/>
      <c r="W1805" s="2"/>
      <c r="X1805" s="5"/>
      <c r="Y1805" s="1"/>
      <c r="Z1805" s="1"/>
      <c r="AA1805" s="1"/>
    </row>
    <row r="1806">
      <c r="A1806" s="1"/>
      <c r="B1806" s="14"/>
      <c r="C1806" s="2"/>
      <c r="D1806" s="2"/>
      <c r="E1806" s="2"/>
      <c r="F1806" s="2"/>
      <c r="G1806" s="2"/>
      <c r="H1806" s="3"/>
      <c r="I1806" s="2"/>
      <c r="J1806" s="2"/>
      <c r="K1806" s="4"/>
      <c r="L1806" s="4"/>
      <c r="M1806" s="2"/>
      <c r="N1806" s="2"/>
      <c r="O1806" s="2"/>
      <c r="P1806" s="2"/>
      <c r="Q1806" s="5"/>
      <c r="R1806" s="5"/>
      <c r="S1806" s="2"/>
      <c r="T1806" s="2"/>
      <c r="U1806" s="5"/>
      <c r="V1806" s="5"/>
      <c r="W1806" s="2"/>
      <c r="X1806" s="5"/>
      <c r="Y1806" s="1"/>
      <c r="Z1806" s="1"/>
      <c r="AA1806" s="1"/>
    </row>
    <row r="1807">
      <c r="A1807" s="1"/>
      <c r="B1807" s="14"/>
      <c r="C1807" s="2"/>
      <c r="D1807" s="2"/>
      <c r="E1807" s="2"/>
      <c r="F1807" s="2"/>
      <c r="G1807" s="2"/>
      <c r="H1807" s="3"/>
      <c r="I1807" s="2"/>
      <c r="J1807" s="2"/>
      <c r="K1807" s="4"/>
      <c r="L1807" s="4"/>
      <c r="M1807" s="2"/>
      <c r="N1807" s="2"/>
      <c r="O1807" s="2"/>
      <c r="P1807" s="2"/>
      <c r="Q1807" s="5"/>
      <c r="R1807" s="5"/>
      <c r="S1807" s="2"/>
      <c r="T1807" s="2"/>
      <c r="U1807" s="5"/>
      <c r="V1807" s="5"/>
      <c r="W1807" s="2"/>
      <c r="X1807" s="5"/>
      <c r="Y1807" s="1"/>
      <c r="Z1807" s="1"/>
      <c r="AA1807" s="1"/>
    </row>
    <row r="1808">
      <c r="A1808" s="1"/>
      <c r="B1808" s="14"/>
      <c r="C1808" s="2"/>
      <c r="D1808" s="2"/>
      <c r="E1808" s="2"/>
      <c r="F1808" s="2"/>
      <c r="G1808" s="2"/>
      <c r="H1808" s="3"/>
      <c r="I1808" s="2"/>
      <c r="J1808" s="2"/>
      <c r="K1808" s="4"/>
      <c r="L1808" s="4"/>
      <c r="M1808" s="2"/>
      <c r="N1808" s="2"/>
      <c r="O1808" s="2"/>
      <c r="P1808" s="2"/>
      <c r="Q1808" s="5"/>
      <c r="R1808" s="5"/>
      <c r="S1808" s="2"/>
      <c r="T1808" s="2"/>
      <c r="U1808" s="5"/>
      <c r="V1808" s="5"/>
      <c r="W1808" s="2"/>
      <c r="X1808" s="5"/>
      <c r="Y1808" s="1"/>
      <c r="Z1808" s="1"/>
      <c r="AA1808" s="1"/>
    </row>
    <row r="1809">
      <c r="A1809" s="1"/>
      <c r="B1809" s="14"/>
      <c r="C1809" s="2"/>
      <c r="D1809" s="2"/>
      <c r="E1809" s="2"/>
      <c r="F1809" s="2"/>
      <c r="G1809" s="2"/>
      <c r="H1809" s="3"/>
      <c r="I1809" s="2"/>
      <c r="J1809" s="2"/>
      <c r="K1809" s="4"/>
      <c r="L1809" s="4"/>
      <c r="M1809" s="2"/>
      <c r="N1809" s="2"/>
      <c r="O1809" s="2"/>
      <c r="P1809" s="2"/>
      <c r="Q1809" s="5"/>
      <c r="R1809" s="5"/>
      <c r="S1809" s="2"/>
      <c r="T1809" s="2"/>
      <c r="U1809" s="5"/>
      <c r="V1809" s="5"/>
      <c r="W1809" s="2"/>
      <c r="X1809" s="5"/>
      <c r="Y1809" s="1"/>
      <c r="Z1809" s="1"/>
      <c r="AA1809" s="1"/>
    </row>
    <row r="1810">
      <c r="A1810" s="1"/>
      <c r="B1810" s="14"/>
      <c r="C1810" s="2"/>
      <c r="D1810" s="2"/>
      <c r="E1810" s="2"/>
      <c r="F1810" s="2"/>
      <c r="G1810" s="2"/>
      <c r="H1810" s="3"/>
      <c r="I1810" s="2"/>
      <c r="J1810" s="2"/>
      <c r="K1810" s="4"/>
      <c r="L1810" s="4"/>
      <c r="M1810" s="2"/>
      <c r="N1810" s="2"/>
      <c r="O1810" s="2"/>
      <c r="P1810" s="2"/>
      <c r="Q1810" s="5"/>
      <c r="R1810" s="5"/>
      <c r="S1810" s="2"/>
      <c r="T1810" s="2"/>
      <c r="U1810" s="5"/>
      <c r="V1810" s="5"/>
      <c r="W1810" s="2"/>
      <c r="X1810" s="5"/>
      <c r="Y1810" s="1"/>
      <c r="Z1810" s="1"/>
      <c r="AA1810" s="1"/>
    </row>
    <row r="1811">
      <c r="A1811" s="1"/>
      <c r="B1811" s="14"/>
      <c r="C1811" s="2"/>
      <c r="D1811" s="2"/>
      <c r="E1811" s="2"/>
      <c r="F1811" s="2"/>
      <c r="G1811" s="2"/>
      <c r="H1811" s="3"/>
      <c r="I1811" s="2"/>
      <c r="J1811" s="2"/>
      <c r="K1811" s="4"/>
      <c r="L1811" s="4"/>
      <c r="M1811" s="2"/>
      <c r="N1811" s="2"/>
      <c r="O1811" s="2"/>
      <c r="P1811" s="2"/>
      <c r="Q1811" s="5"/>
      <c r="R1811" s="5"/>
      <c r="S1811" s="2"/>
      <c r="T1811" s="2"/>
      <c r="U1811" s="5"/>
      <c r="V1811" s="5"/>
      <c r="W1811" s="2"/>
      <c r="X1811" s="5"/>
      <c r="Y1811" s="1"/>
      <c r="Z1811" s="1"/>
      <c r="AA1811" s="1"/>
    </row>
    <row r="1812">
      <c r="A1812" s="1"/>
      <c r="B1812" s="14"/>
      <c r="C1812" s="2"/>
      <c r="D1812" s="2"/>
      <c r="E1812" s="2"/>
      <c r="F1812" s="2"/>
      <c r="G1812" s="2"/>
      <c r="H1812" s="3"/>
      <c r="I1812" s="2"/>
      <c r="J1812" s="2"/>
      <c r="K1812" s="4"/>
      <c r="L1812" s="4"/>
      <c r="M1812" s="2"/>
      <c r="N1812" s="2"/>
      <c r="O1812" s="2"/>
      <c r="P1812" s="2"/>
      <c r="Q1812" s="5"/>
      <c r="R1812" s="5"/>
      <c r="S1812" s="2"/>
      <c r="T1812" s="2"/>
      <c r="U1812" s="5"/>
      <c r="V1812" s="5"/>
      <c r="W1812" s="2"/>
      <c r="X1812" s="5"/>
      <c r="Y1812" s="1"/>
      <c r="Z1812" s="1"/>
      <c r="AA1812" s="1"/>
    </row>
    <row r="1813">
      <c r="A1813" s="1"/>
      <c r="B1813" s="14"/>
      <c r="C1813" s="2"/>
      <c r="D1813" s="2"/>
      <c r="E1813" s="2"/>
      <c r="F1813" s="2"/>
      <c r="G1813" s="2"/>
      <c r="H1813" s="3"/>
      <c r="I1813" s="2"/>
      <c r="J1813" s="2"/>
      <c r="K1813" s="4"/>
      <c r="L1813" s="4"/>
      <c r="M1813" s="2"/>
      <c r="N1813" s="2"/>
      <c r="O1813" s="2"/>
      <c r="P1813" s="2"/>
      <c r="Q1813" s="5"/>
      <c r="R1813" s="5"/>
      <c r="S1813" s="2"/>
      <c r="T1813" s="2"/>
      <c r="U1813" s="5"/>
      <c r="V1813" s="5"/>
      <c r="W1813" s="2"/>
      <c r="X1813" s="5"/>
      <c r="Y1813" s="1"/>
      <c r="Z1813" s="1"/>
      <c r="AA1813" s="1"/>
    </row>
    <row r="1814">
      <c r="A1814" s="1"/>
      <c r="B1814" s="14"/>
      <c r="C1814" s="2"/>
      <c r="D1814" s="2"/>
      <c r="E1814" s="2"/>
      <c r="F1814" s="2"/>
      <c r="G1814" s="2"/>
      <c r="H1814" s="3"/>
      <c r="I1814" s="2"/>
      <c r="J1814" s="2"/>
      <c r="K1814" s="4"/>
      <c r="L1814" s="4"/>
      <c r="M1814" s="2"/>
      <c r="N1814" s="2"/>
      <c r="O1814" s="2"/>
      <c r="P1814" s="2"/>
      <c r="Q1814" s="5"/>
      <c r="R1814" s="5"/>
      <c r="S1814" s="2"/>
      <c r="T1814" s="2"/>
      <c r="U1814" s="5"/>
      <c r="V1814" s="5"/>
      <c r="W1814" s="2"/>
      <c r="X1814" s="5"/>
      <c r="Y1814" s="1"/>
      <c r="Z1814" s="1"/>
      <c r="AA1814" s="1"/>
    </row>
    <row r="1815">
      <c r="A1815" s="1"/>
      <c r="B1815" s="14"/>
      <c r="C1815" s="2"/>
      <c r="D1815" s="2"/>
      <c r="E1815" s="2"/>
      <c r="F1815" s="2"/>
      <c r="G1815" s="2"/>
      <c r="H1815" s="3"/>
      <c r="I1815" s="2"/>
      <c r="J1815" s="2"/>
      <c r="K1815" s="4"/>
      <c r="L1815" s="4"/>
      <c r="M1815" s="2"/>
      <c r="N1815" s="2"/>
      <c r="O1815" s="2"/>
      <c r="P1815" s="2"/>
      <c r="Q1815" s="5"/>
      <c r="R1815" s="5"/>
      <c r="S1815" s="2"/>
      <c r="T1815" s="2"/>
      <c r="U1815" s="5"/>
      <c r="V1815" s="5"/>
      <c r="W1815" s="2"/>
      <c r="X1815" s="5"/>
      <c r="Y1815" s="1"/>
      <c r="Z1815" s="1"/>
      <c r="AA1815" s="1"/>
    </row>
    <row r="1816">
      <c r="A1816" s="1"/>
      <c r="B1816" s="14"/>
      <c r="C1816" s="2"/>
      <c r="D1816" s="2"/>
      <c r="E1816" s="2"/>
      <c r="F1816" s="2"/>
      <c r="G1816" s="2"/>
      <c r="H1816" s="3"/>
      <c r="I1816" s="2"/>
      <c r="J1816" s="2"/>
      <c r="K1816" s="4"/>
      <c r="L1816" s="4"/>
      <c r="M1816" s="2"/>
      <c r="N1816" s="2"/>
      <c r="O1816" s="2"/>
      <c r="P1816" s="2"/>
      <c r="Q1816" s="5"/>
      <c r="R1816" s="5"/>
      <c r="S1816" s="2"/>
      <c r="T1816" s="2"/>
      <c r="U1816" s="5"/>
      <c r="V1816" s="5"/>
      <c r="W1816" s="2"/>
      <c r="X1816" s="5"/>
      <c r="Y1816" s="1"/>
      <c r="Z1816" s="1"/>
      <c r="AA1816" s="1"/>
    </row>
    <row r="1817">
      <c r="A1817" s="1"/>
      <c r="B1817" s="14"/>
      <c r="C1817" s="2"/>
      <c r="D1817" s="2"/>
      <c r="E1817" s="2"/>
      <c r="F1817" s="2"/>
      <c r="G1817" s="2"/>
      <c r="H1817" s="3"/>
      <c r="I1817" s="2"/>
      <c r="J1817" s="2"/>
      <c r="K1817" s="4"/>
      <c r="L1817" s="4"/>
      <c r="M1817" s="2"/>
      <c r="N1817" s="2"/>
      <c r="O1817" s="2"/>
      <c r="P1817" s="2"/>
      <c r="Q1817" s="5"/>
      <c r="R1817" s="5"/>
      <c r="S1817" s="2"/>
      <c r="T1817" s="2"/>
      <c r="U1817" s="5"/>
      <c r="V1817" s="5"/>
      <c r="W1817" s="2"/>
      <c r="X1817" s="5"/>
      <c r="Y1817" s="1"/>
      <c r="Z1817" s="1"/>
      <c r="AA1817" s="1"/>
    </row>
    <row r="1818">
      <c r="A1818" s="1"/>
      <c r="B1818" s="14"/>
      <c r="C1818" s="2"/>
      <c r="D1818" s="2"/>
      <c r="E1818" s="2"/>
      <c r="F1818" s="2"/>
      <c r="G1818" s="2"/>
      <c r="H1818" s="3"/>
      <c r="I1818" s="2"/>
      <c r="J1818" s="2"/>
      <c r="K1818" s="4"/>
      <c r="L1818" s="4"/>
      <c r="M1818" s="2"/>
      <c r="N1818" s="2"/>
      <c r="O1818" s="2"/>
      <c r="P1818" s="2"/>
      <c r="Q1818" s="5"/>
      <c r="R1818" s="5"/>
      <c r="S1818" s="2"/>
      <c r="T1818" s="2"/>
      <c r="U1818" s="5"/>
      <c r="V1818" s="5"/>
      <c r="W1818" s="2"/>
      <c r="X1818" s="5"/>
      <c r="Y1818" s="1"/>
      <c r="Z1818" s="1"/>
      <c r="AA1818" s="1"/>
    </row>
    <row r="1819">
      <c r="A1819" s="1"/>
      <c r="B1819" s="14"/>
      <c r="C1819" s="2"/>
      <c r="D1819" s="2"/>
      <c r="E1819" s="2"/>
      <c r="F1819" s="2"/>
      <c r="G1819" s="2"/>
      <c r="H1819" s="3"/>
      <c r="I1819" s="2"/>
      <c r="J1819" s="2"/>
      <c r="K1819" s="4"/>
      <c r="L1819" s="4"/>
      <c r="M1819" s="2"/>
      <c r="N1819" s="2"/>
      <c r="O1819" s="2"/>
      <c r="P1819" s="2"/>
      <c r="Q1819" s="5"/>
      <c r="R1819" s="5"/>
      <c r="S1819" s="2"/>
      <c r="T1819" s="2"/>
      <c r="U1819" s="5"/>
      <c r="V1819" s="5"/>
      <c r="W1819" s="2"/>
      <c r="X1819" s="5"/>
      <c r="Y1819" s="1"/>
      <c r="Z1819" s="1"/>
      <c r="AA1819" s="1"/>
    </row>
    <row r="1820">
      <c r="A1820" s="1"/>
      <c r="B1820" s="14"/>
      <c r="C1820" s="2"/>
      <c r="D1820" s="2"/>
      <c r="E1820" s="2"/>
      <c r="F1820" s="2"/>
      <c r="G1820" s="2"/>
      <c r="H1820" s="3"/>
      <c r="I1820" s="2"/>
      <c r="J1820" s="2"/>
      <c r="K1820" s="4"/>
      <c r="L1820" s="4"/>
      <c r="M1820" s="2"/>
      <c r="N1820" s="2"/>
      <c r="O1820" s="2"/>
      <c r="P1820" s="2"/>
      <c r="Q1820" s="5"/>
      <c r="R1820" s="5"/>
      <c r="S1820" s="2"/>
      <c r="T1820" s="2"/>
      <c r="U1820" s="5"/>
      <c r="V1820" s="5"/>
      <c r="W1820" s="2"/>
      <c r="X1820" s="5"/>
      <c r="Y1820" s="1"/>
      <c r="Z1820" s="1"/>
      <c r="AA1820" s="1"/>
    </row>
    <row r="1821">
      <c r="A1821" s="1"/>
      <c r="B1821" s="14"/>
      <c r="C1821" s="2"/>
      <c r="D1821" s="2"/>
      <c r="E1821" s="2"/>
      <c r="F1821" s="2"/>
      <c r="G1821" s="2"/>
      <c r="H1821" s="3"/>
      <c r="I1821" s="2"/>
      <c r="J1821" s="2"/>
      <c r="K1821" s="4"/>
      <c r="L1821" s="4"/>
      <c r="M1821" s="2"/>
      <c r="N1821" s="2"/>
      <c r="O1821" s="2"/>
      <c r="P1821" s="2"/>
      <c r="Q1821" s="5"/>
      <c r="R1821" s="5"/>
      <c r="S1821" s="2"/>
      <c r="T1821" s="2"/>
      <c r="U1821" s="5"/>
      <c r="V1821" s="5"/>
      <c r="W1821" s="2"/>
      <c r="X1821" s="5"/>
      <c r="Y1821" s="1"/>
      <c r="Z1821" s="1"/>
      <c r="AA1821" s="1"/>
    </row>
    <row r="1822">
      <c r="A1822" s="1"/>
      <c r="B1822" s="14"/>
      <c r="C1822" s="2"/>
      <c r="D1822" s="2"/>
      <c r="E1822" s="2"/>
      <c r="F1822" s="2"/>
      <c r="G1822" s="2"/>
      <c r="H1822" s="3"/>
      <c r="I1822" s="2"/>
      <c r="J1822" s="2"/>
      <c r="K1822" s="4"/>
      <c r="L1822" s="4"/>
      <c r="M1822" s="2"/>
      <c r="N1822" s="2"/>
      <c r="O1822" s="2"/>
      <c r="P1822" s="2"/>
      <c r="Q1822" s="5"/>
      <c r="R1822" s="5"/>
      <c r="S1822" s="2"/>
      <c r="T1822" s="2"/>
      <c r="U1822" s="5"/>
      <c r="V1822" s="5"/>
      <c r="W1822" s="2"/>
      <c r="X1822" s="5"/>
      <c r="Y1822" s="1"/>
      <c r="Z1822" s="1"/>
      <c r="AA1822" s="1"/>
    </row>
    <row r="1823">
      <c r="A1823" s="1"/>
      <c r="B1823" s="14"/>
      <c r="C1823" s="2"/>
      <c r="D1823" s="2"/>
      <c r="E1823" s="2"/>
      <c r="F1823" s="2"/>
      <c r="G1823" s="2"/>
      <c r="H1823" s="3"/>
      <c r="I1823" s="2"/>
      <c r="J1823" s="2"/>
      <c r="K1823" s="4"/>
      <c r="L1823" s="4"/>
      <c r="M1823" s="2"/>
      <c r="N1823" s="2"/>
      <c r="O1823" s="2"/>
      <c r="P1823" s="2"/>
      <c r="Q1823" s="5"/>
      <c r="R1823" s="5"/>
      <c r="S1823" s="2"/>
      <c r="T1823" s="2"/>
      <c r="U1823" s="5"/>
      <c r="V1823" s="5"/>
      <c r="W1823" s="2"/>
      <c r="X1823" s="5"/>
      <c r="Y1823" s="1"/>
      <c r="Z1823" s="1"/>
      <c r="AA1823" s="1"/>
    </row>
    <row r="1824">
      <c r="A1824" s="1"/>
      <c r="B1824" s="14"/>
      <c r="C1824" s="2"/>
      <c r="D1824" s="2"/>
      <c r="E1824" s="2"/>
      <c r="F1824" s="2"/>
      <c r="G1824" s="2"/>
      <c r="H1824" s="3"/>
      <c r="I1824" s="2"/>
      <c r="J1824" s="2"/>
      <c r="K1824" s="4"/>
      <c r="L1824" s="4"/>
      <c r="M1824" s="2"/>
      <c r="N1824" s="2"/>
      <c r="O1824" s="2"/>
      <c r="P1824" s="2"/>
      <c r="Q1824" s="5"/>
      <c r="R1824" s="5"/>
      <c r="S1824" s="2"/>
      <c r="T1824" s="2"/>
      <c r="U1824" s="5"/>
      <c r="V1824" s="5"/>
      <c r="W1824" s="2"/>
      <c r="X1824" s="5"/>
      <c r="Y1824" s="1"/>
      <c r="Z1824" s="1"/>
      <c r="AA1824" s="1"/>
    </row>
    <row r="1825">
      <c r="A1825" s="1"/>
      <c r="B1825" s="14"/>
      <c r="C1825" s="2"/>
      <c r="D1825" s="2"/>
      <c r="E1825" s="2"/>
      <c r="F1825" s="2"/>
      <c r="G1825" s="2"/>
      <c r="H1825" s="3"/>
      <c r="I1825" s="2"/>
      <c r="J1825" s="2"/>
      <c r="K1825" s="4"/>
      <c r="L1825" s="4"/>
      <c r="M1825" s="2"/>
      <c r="N1825" s="2"/>
      <c r="O1825" s="2"/>
      <c r="P1825" s="2"/>
      <c r="Q1825" s="5"/>
      <c r="R1825" s="5"/>
      <c r="S1825" s="2"/>
      <c r="T1825" s="2"/>
      <c r="U1825" s="5"/>
      <c r="V1825" s="5"/>
      <c r="W1825" s="2"/>
      <c r="X1825" s="5"/>
      <c r="Y1825" s="1"/>
      <c r="Z1825" s="1"/>
      <c r="AA1825" s="1"/>
    </row>
    <row r="1826">
      <c r="A1826" s="1"/>
      <c r="B1826" s="14"/>
      <c r="C1826" s="2"/>
      <c r="D1826" s="2"/>
      <c r="E1826" s="2"/>
      <c r="F1826" s="2"/>
      <c r="G1826" s="2"/>
      <c r="H1826" s="3"/>
      <c r="I1826" s="2"/>
      <c r="J1826" s="2"/>
      <c r="K1826" s="4"/>
      <c r="L1826" s="4"/>
      <c r="M1826" s="2"/>
      <c r="N1826" s="2"/>
      <c r="O1826" s="2"/>
      <c r="P1826" s="2"/>
      <c r="Q1826" s="5"/>
      <c r="R1826" s="5"/>
      <c r="S1826" s="2"/>
      <c r="T1826" s="2"/>
      <c r="U1826" s="5"/>
      <c r="V1826" s="5"/>
      <c r="W1826" s="2"/>
      <c r="X1826" s="5"/>
      <c r="Y1826" s="1"/>
      <c r="Z1826" s="1"/>
      <c r="AA1826" s="1"/>
    </row>
    <row r="1827">
      <c r="A1827" s="1"/>
      <c r="B1827" s="14"/>
      <c r="C1827" s="2"/>
      <c r="D1827" s="2"/>
      <c r="E1827" s="2"/>
      <c r="F1827" s="2"/>
      <c r="G1827" s="2"/>
      <c r="H1827" s="3"/>
      <c r="I1827" s="2"/>
      <c r="J1827" s="2"/>
      <c r="K1827" s="4"/>
      <c r="L1827" s="4"/>
      <c r="M1827" s="2"/>
      <c r="N1827" s="2"/>
      <c r="O1827" s="2"/>
      <c r="P1827" s="2"/>
      <c r="Q1827" s="5"/>
      <c r="R1827" s="5"/>
      <c r="S1827" s="2"/>
      <c r="T1827" s="2"/>
      <c r="U1827" s="5"/>
      <c r="V1827" s="5"/>
      <c r="W1827" s="2"/>
      <c r="X1827" s="5"/>
      <c r="Y1827" s="1"/>
      <c r="Z1827" s="1"/>
      <c r="AA1827" s="1"/>
    </row>
    <row r="1828">
      <c r="A1828" s="1"/>
      <c r="B1828" s="14"/>
      <c r="C1828" s="2"/>
      <c r="D1828" s="2"/>
      <c r="E1828" s="2"/>
      <c r="F1828" s="2"/>
      <c r="G1828" s="2"/>
      <c r="H1828" s="3"/>
      <c r="I1828" s="2"/>
      <c r="J1828" s="2"/>
      <c r="K1828" s="4"/>
      <c r="L1828" s="4"/>
      <c r="M1828" s="2"/>
      <c r="N1828" s="2"/>
      <c r="O1828" s="2"/>
      <c r="P1828" s="2"/>
      <c r="Q1828" s="5"/>
      <c r="R1828" s="5"/>
      <c r="S1828" s="2"/>
      <c r="T1828" s="2"/>
      <c r="U1828" s="5"/>
      <c r="V1828" s="5"/>
      <c r="W1828" s="2"/>
      <c r="X1828" s="5"/>
      <c r="Y1828" s="1"/>
      <c r="Z1828" s="1"/>
      <c r="AA1828" s="1"/>
    </row>
    <row r="1829">
      <c r="A1829" s="1"/>
      <c r="B1829" s="14"/>
      <c r="C1829" s="2"/>
      <c r="D1829" s="2"/>
      <c r="E1829" s="2"/>
      <c r="F1829" s="2"/>
      <c r="G1829" s="2"/>
      <c r="H1829" s="3"/>
      <c r="I1829" s="2"/>
      <c r="J1829" s="2"/>
      <c r="K1829" s="4"/>
      <c r="L1829" s="4"/>
      <c r="M1829" s="2"/>
      <c r="N1829" s="2"/>
      <c r="O1829" s="2"/>
      <c r="P1829" s="2"/>
      <c r="Q1829" s="5"/>
      <c r="R1829" s="5"/>
      <c r="S1829" s="2"/>
      <c r="T1829" s="2"/>
      <c r="U1829" s="5"/>
      <c r="V1829" s="5"/>
      <c r="W1829" s="2"/>
      <c r="X1829" s="5"/>
      <c r="Y1829" s="1"/>
      <c r="Z1829" s="1"/>
      <c r="AA1829" s="1"/>
    </row>
    <row r="1830">
      <c r="A1830" s="1"/>
      <c r="B1830" s="14"/>
      <c r="C1830" s="2"/>
      <c r="D1830" s="2"/>
      <c r="E1830" s="2"/>
      <c r="F1830" s="2"/>
      <c r="G1830" s="2"/>
      <c r="H1830" s="3"/>
      <c r="I1830" s="2"/>
      <c r="J1830" s="2"/>
      <c r="K1830" s="4"/>
      <c r="L1830" s="4"/>
      <c r="M1830" s="2"/>
      <c r="N1830" s="2"/>
      <c r="O1830" s="2"/>
      <c r="P1830" s="2"/>
      <c r="Q1830" s="5"/>
      <c r="R1830" s="5"/>
      <c r="S1830" s="2"/>
      <c r="T1830" s="2"/>
      <c r="U1830" s="5"/>
      <c r="V1830" s="5"/>
      <c r="W1830" s="2"/>
      <c r="X1830" s="5"/>
      <c r="Y1830" s="1"/>
      <c r="Z1830" s="1"/>
      <c r="AA1830" s="1"/>
    </row>
    <row r="1831">
      <c r="A1831" s="1"/>
      <c r="B1831" s="14"/>
      <c r="C1831" s="2"/>
      <c r="D1831" s="2"/>
      <c r="E1831" s="2"/>
      <c r="F1831" s="2"/>
      <c r="G1831" s="2"/>
      <c r="H1831" s="3"/>
      <c r="I1831" s="2"/>
      <c r="J1831" s="2"/>
      <c r="K1831" s="4"/>
      <c r="L1831" s="4"/>
      <c r="M1831" s="2"/>
      <c r="N1831" s="2"/>
      <c r="O1831" s="2"/>
      <c r="P1831" s="2"/>
      <c r="Q1831" s="5"/>
      <c r="R1831" s="5"/>
      <c r="S1831" s="2"/>
      <c r="T1831" s="2"/>
      <c r="U1831" s="5"/>
      <c r="V1831" s="5"/>
      <c r="W1831" s="2"/>
      <c r="X1831" s="5"/>
      <c r="Y1831" s="1"/>
      <c r="Z1831" s="1"/>
      <c r="AA1831" s="1"/>
    </row>
    <row r="1832">
      <c r="A1832" s="1"/>
      <c r="B1832" s="14"/>
      <c r="C1832" s="2"/>
      <c r="D1832" s="2"/>
      <c r="E1832" s="2"/>
      <c r="F1832" s="2"/>
      <c r="G1832" s="2"/>
      <c r="H1832" s="3"/>
      <c r="I1832" s="2"/>
      <c r="J1832" s="2"/>
      <c r="K1832" s="4"/>
      <c r="L1832" s="4"/>
      <c r="M1832" s="2"/>
      <c r="N1832" s="2"/>
      <c r="O1832" s="2"/>
      <c r="P1832" s="2"/>
      <c r="Q1832" s="5"/>
      <c r="R1832" s="5"/>
      <c r="S1832" s="2"/>
      <c r="T1832" s="2"/>
      <c r="U1832" s="5"/>
      <c r="V1832" s="5"/>
      <c r="W1832" s="2"/>
      <c r="X1832" s="5"/>
      <c r="Y1832" s="1"/>
      <c r="Z1832" s="1"/>
      <c r="AA1832" s="1"/>
    </row>
    <row r="1833">
      <c r="A1833" s="1"/>
      <c r="B1833" s="14"/>
      <c r="C1833" s="2"/>
      <c r="D1833" s="2"/>
      <c r="E1833" s="2"/>
      <c r="F1833" s="2"/>
      <c r="G1833" s="2"/>
      <c r="H1833" s="3"/>
      <c r="I1833" s="2"/>
      <c r="J1833" s="2"/>
      <c r="K1833" s="4"/>
      <c r="L1833" s="4"/>
      <c r="M1833" s="2"/>
      <c r="N1833" s="2"/>
      <c r="O1833" s="2"/>
      <c r="P1833" s="2"/>
      <c r="Q1833" s="5"/>
      <c r="R1833" s="5"/>
      <c r="S1833" s="2"/>
      <c r="T1833" s="2"/>
      <c r="U1833" s="5"/>
      <c r="V1833" s="5"/>
      <c r="W1833" s="2"/>
      <c r="X1833" s="5"/>
      <c r="Y1833" s="1"/>
      <c r="Z1833" s="1"/>
      <c r="AA1833" s="1"/>
    </row>
    <row r="1834">
      <c r="A1834" s="1"/>
      <c r="B1834" s="14"/>
      <c r="C1834" s="2"/>
      <c r="D1834" s="2"/>
      <c r="E1834" s="2"/>
      <c r="F1834" s="2"/>
      <c r="G1834" s="2"/>
      <c r="H1834" s="3"/>
      <c r="I1834" s="2"/>
      <c r="J1834" s="2"/>
      <c r="K1834" s="4"/>
      <c r="L1834" s="4"/>
      <c r="M1834" s="2"/>
      <c r="N1834" s="2"/>
      <c r="O1834" s="2"/>
      <c r="P1834" s="2"/>
      <c r="Q1834" s="5"/>
      <c r="R1834" s="5"/>
      <c r="S1834" s="2"/>
      <c r="T1834" s="2"/>
      <c r="U1834" s="5"/>
      <c r="V1834" s="5"/>
      <c r="W1834" s="2"/>
      <c r="X1834" s="5"/>
      <c r="Y1834" s="1"/>
      <c r="Z1834" s="1"/>
      <c r="AA1834" s="1"/>
    </row>
    <row r="1835">
      <c r="A1835" s="1"/>
      <c r="B1835" s="14"/>
      <c r="C1835" s="2"/>
      <c r="D1835" s="2"/>
      <c r="E1835" s="2"/>
      <c r="F1835" s="2"/>
      <c r="G1835" s="2"/>
      <c r="H1835" s="3"/>
      <c r="I1835" s="2"/>
      <c r="J1835" s="2"/>
      <c r="K1835" s="4"/>
      <c r="L1835" s="4"/>
      <c r="M1835" s="2"/>
      <c r="N1835" s="2"/>
      <c r="O1835" s="2"/>
      <c r="P1835" s="2"/>
      <c r="Q1835" s="5"/>
      <c r="R1835" s="5"/>
      <c r="S1835" s="2"/>
      <c r="T1835" s="2"/>
      <c r="U1835" s="5"/>
      <c r="V1835" s="5"/>
      <c r="W1835" s="2"/>
      <c r="X1835" s="5"/>
      <c r="Y1835" s="1"/>
      <c r="Z1835" s="1"/>
      <c r="AA1835" s="1"/>
    </row>
    <row r="1836">
      <c r="A1836" s="1"/>
      <c r="B1836" s="14"/>
      <c r="C1836" s="2"/>
      <c r="D1836" s="2"/>
      <c r="E1836" s="2"/>
      <c r="F1836" s="2"/>
      <c r="G1836" s="2"/>
      <c r="H1836" s="3"/>
      <c r="I1836" s="2"/>
      <c r="J1836" s="2"/>
      <c r="K1836" s="4"/>
      <c r="L1836" s="4"/>
      <c r="M1836" s="2"/>
      <c r="N1836" s="2"/>
      <c r="O1836" s="2"/>
      <c r="P1836" s="2"/>
      <c r="Q1836" s="5"/>
      <c r="R1836" s="5"/>
      <c r="S1836" s="2"/>
      <c r="T1836" s="2"/>
      <c r="U1836" s="5"/>
      <c r="V1836" s="5"/>
      <c r="W1836" s="2"/>
      <c r="X1836" s="5"/>
      <c r="Y1836" s="1"/>
      <c r="Z1836" s="1"/>
      <c r="AA1836" s="1"/>
    </row>
    <row r="1837">
      <c r="A1837" s="1"/>
      <c r="B1837" s="14"/>
      <c r="C1837" s="2"/>
      <c r="D1837" s="2"/>
      <c r="E1837" s="2"/>
      <c r="F1837" s="2"/>
      <c r="G1837" s="2"/>
      <c r="H1837" s="3"/>
      <c r="I1837" s="2"/>
      <c r="J1837" s="2"/>
      <c r="K1837" s="4"/>
      <c r="L1837" s="4"/>
      <c r="M1837" s="2"/>
      <c r="N1837" s="2"/>
      <c r="O1837" s="2"/>
      <c r="P1837" s="2"/>
      <c r="Q1837" s="5"/>
      <c r="R1837" s="5"/>
      <c r="S1837" s="2"/>
      <c r="T1837" s="2"/>
      <c r="U1837" s="5"/>
      <c r="V1837" s="5"/>
      <c r="W1837" s="2"/>
      <c r="X1837" s="5"/>
      <c r="Y1837" s="1"/>
      <c r="Z1837" s="1"/>
      <c r="AA1837" s="1"/>
    </row>
    <row r="1838">
      <c r="A1838" s="1"/>
      <c r="B1838" s="14"/>
      <c r="C1838" s="2"/>
      <c r="D1838" s="2"/>
      <c r="E1838" s="2"/>
      <c r="F1838" s="2"/>
      <c r="G1838" s="2"/>
      <c r="H1838" s="3"/>
      <c r="I1838" s="2"/>
      <c r="J1838" s="2"/>
      <c r="K1838" s="4"/>
      <c r="L1838" s="4"/>
      <c r="M1838" s="2"/>
      <c r="N1838" s="2"/>
      <c r="O1838" s="2"/>
      <c r="P1838" s="2"/>
      <c r="Q1838" s="5"/>
      <c r="R1838" s="5"/>
      <c r="S1838" s="2"/>
      <c r="T1838" s="2"/>
      <c r="U1838" s="5"/>
      <c r="V1838" s="5"/>
      <c r="W1838" s="2"/>
      <c r="X1838" s="5"/>
      <c r="Y1838" s="1"/>
      <c r="Z1838" s="1"/>
      <c r="AA1838" s="1"/>
    </row>
    <row r="1839">
      <c r="A1839" s="1"/>
      <c r="B1839" s="14"/>
      <c r="C1839" s="2"/>
      <c r="D1839" s="2"/>
      <c r="E1839" s="2"/>
      <c r="F1839" s="2"/>
      <c r="G1839" s="2"/>
      <c r="H1839" s="3"/>
      <c r="I1839" s="2"/>
      <c r="J1839" s="2"/>
      <c r="K1839" s="4"/>
      <c r="L1839" s="4"/>
      <c r="M1839" s="2"/>
      <c r="N1839" s="2"/>
      <c r="O1839" s="2"/>
      <c r="P1839" s="2"/>
      <c r="Q1839" s="5"/>
      <c r="R1839" s="5"/>
      <c r="S1839" s="2"/>
      <c r="T1839" s="2"/>
      <c r="U1839" s="5"/>
      <c r="V1839" s="5"/>
      <c r="W1839" s="2"/>
      <c r="X1839" s="5"/>
      <c r="Y1839" s="1"/>
      <c r="Z1839" s="1"/>
      <c r="AA1839" s="1"/>
    </row>
    <row r="1840">
      <c r="A1840" s="1"/>
      <c r="B1840" s="14"/>
      <c r="C1840" s="2"/>
      <c r="D1840" s="2"/>
      <c r="E1840" s="2"/>
      <c r="F1840" s="2"/>
      <c r="G1840" s="2"/>
      <c r="H1840" s="3"/>
      <c r="I1840" s="2"/>
      <c r="J1840" s="2"/>
      <c r="K1840" s="4"/>
      <c r="L1840" s="4"/>
      <c r="M1840" s="2"/>
      <c r="N1840" s="2"/>
      <c r="O1840" s="2"/>
      <c r="P1840" s="2"/>
      <c r="Q1840" s="5"/>
      <c r="R1840" s="5"/>
      <c r="S1840" s="2"/>
      <c r="T1840" s="2"/>
      <c r="U1840" s="5"/>
      <c r="V1840" s="5"/>
      <c r="W1840" s="2"/>
      <c r="X1840" s="5"/>
      <c r="Y1840" s="1"/>
      <c r="Z1840" s="1"/>
      <c r="AA1840" s="1"/>
    </row>
    <row r="1841">
      <c r="A1841" s="1"/>
      <c r="B1841" s="14"/>
      <c r="C1841" s="2"/>
      <c r="D1841" s="2"/>
      <c r="E1841" s="2"/>
      <c r="F1841" s="2"/>
      <c r="G1841" s="2"/>
      <c r="H1841" s="3"/>
      <c r="I1841" s="2"/>
      <c r="J1841" s="2"/>
      <c r="K1841" s="4"/>
      <c r="L1841" s="4"/>
      <c r="M1841" s="2"/>
      <c r="N1841" s="2"/>
      <c r="O1841" s="2"/>
      <c r="P1841" s="2"/>
      <c r="Q1841" s="5"/>
      <c r="R1841" s="5"/>
      <c r="S1841" s="2"/>
      <c r="T1841" s="2"/>
      <c r="U1841" s="5"/>
      <c r="V1841" s="5"/>
      <c r="W1841" s="2"/>
      <c r="X1841" s="5"/>
      <c r="Y1841" s="1"/>
      <c r="Z1841" s="1"/>
      <c r="AA1841" s="1"/>
    </row>
    <row r="1842">
      <c r="A1842" s="1"/>
      <c r="B1842" s="14"/>
      <c r="C1842" s="2"/>
      <c r="D1842" s="2"/>
      <c r="E1842" s="2"/>
      <c r="F1842" s="2"/>
      <c r="G1842" s="2"/>
      <c r="H1842" s="3"/>
      <c r="I1842" s="2"/>
      <c r="J1842" s="2"/>
      <c r="K1842" s="4"/>
      <c r="L1842" s="4"/>
      <c r="M1842" s="2"/>
      <c r="N1842" s="2"/>
      <c r="O1842" s="2"/>
      <c r="P1842" s="2"/>
      <c r="Q1842" s="5"/>
      <c r="R1842" s="5"/>
      <c r="S1842" s="2"/>
      <c r="T1842" s="2"/>
      <c r="U1842" s="5"/>
      <c r="V1842" s="5"/>
      <c r="W1842" s="2"/>
      <c r="X1842" s="5"/>
      <c r="Y1842" s="1"/>
      <c r="Z1842" s="1"/>
      <c r="AA1842" s="1"/>
    </row>
    <row r="1843">
      <c r="A1843" s="1"/>
      <c r="B1843" s="14"/>
      <c r="C1843" s="2"/>
      <c r="D1843" s="2"/>
      <c r="E1843" s="2"/>
      <c r="F1843" s="2"/>
      <c r="G1843" s="2"/>
      <c r="H1843" s="3"/>
      <c r="I1843" s="2"/>
      <c r="J1843" s="2"/>
      <c r="K1843" s="4"/>
      <c r="L1843" s="4"/>
      <c r="M1843" s="2"/>
      <c r="N1843" s="2"/>
      <c r="O1843" s="2"/>
      <c r="P1843" s="2"/>
      <c r="Q1843" s="5"/>
      <c r="R1843" s="5"/>
      <c r="S1843" s="2"/>
      <c r="T1843" s="2"/>
      <c r="U1843" s="5"/>
      <c r="V1843" s="5"/>
      <c r="W1843" s="2"/>
      <c r="X1843" s="5"/>
      <c r="Y1843" s="1"/>
      <c r="Z1843" s="1"/>
      <c r="AA1843" s="1"/>
    </row>
    <row r="1844">
      <c r="A1844" s="1"/>
      <c r="B1844" s="14"/>
      <c r="C1844" s="2"/>
      <c r="D1844" s="2"/>
      <c r="E1844" s="2"/>
      <c r="F1844" s="2"/>
      <c r="G1844" s="2"/>
      <c r="H1844" s="3"/>
      <c r="I1844" s="2"/>
      <c r="J1844" s="2"/>
      <c r="K1844" s="4"/>
      <c r="L1844" s="4"/>
      <c r="M1844" s="2"/>
      <c r="N1844" s="2"/>
      <c r="O1844" s="2"/>
      <c r="P1844" s="2"/>
      <c r="Q1844" s="5"/>
      <c r="R1844" s="5"/>
      <c r="S1844" s="2"/>
      <c r="T1844" s="2"/>
      <c r="U1844" s="5"/>
      <c r="V1844" s="5"/>
      <c r="W1844" s="2"/>
      <c r="X1844" s="5"/>
      <c r="Y1844" s="1"/>
      <c r="Z1844" s="1"/>
      <c r="AA1844" s="1"/>
    </row>
    <row r="1845">
      <c r="A1845" s="1"/>
      <c r="B1845" s="14"/>
      <c r="C1845" s="2"/>
      <c r="D1845" s="2"/>
      <c r="E1845" s="2"/>
      <c r="F1845" s="2"/>
      <c r="G1845" s="2"/>
      <c r="H1845" s="3"/>
      <c r="I1845" s="2"/>
      <c r="J1845" s="2"/>
      <c r="K1845" s="4"/>
      <c r="L1845" s="4"/>
      <c r="M1845" s="2"/>
      <c r="N1845" s="2"/>
      <c r="O1845" s="2"/>
      <c r="P1845" s="2"/>
      <c r="Q1845" s="5"/>
      <c r="R1845" s="5"/>
      <c r="S1845" s="2"/>
      <c r="T1845" s="2"/>
      <c r="U1845" s="5"/>
      <c r="V1845" s="5"/>
      <c r="W1845" s="2"/>
      <c r="X1845" s="5"/>
      <c r="Y1845" s="1"/>
      <c r="Z1845" s="1"/>
      <c r="AA1845" s="1"/>
    </row>
    <row r="1846">
      <c r="A1846" s="1"/>
      <c r="B1846" s="14"/>
      <c r="C1846" s="2"/>
      <c r="D1846" s="2"/>
      <c r="E1846" s="2"/>
      <c r="F1846" s="2"/>
      <c r="G1846" s="2"/>
      <c r="H1846" s="3"/>
      <c r="I1846" s="2"/>
      <c r="J1846" s="2"/>
      <c r="K1846" s="4"/>
      <c r="L1846" s="4"/>
      <c r="M1846" s="2"/>
      <c r="N1846" s="2"/>
      <c r="O1846" s="2"/>
      <c r="P1846" s="2"/>
      <c r="Q1846" s="5"/>
      <c r="R1846" s="5"/>
      <c r="S1846" s="2"/>
      <c r="T1846" s="2"/>
      <c r="U1846" s="5"/>
      <c r="V1846" s="5"/>
      <c r="W1846" s="2"/>
      <c r="X1846" s="5"/>
      <c r="Y1846" s="1"/>
      <c r="Z1846" s="1"/>
      <c r="AA1846" s="1"/>
    </row>
    <row r="1847">
      <c r="A1847" s="1"/>
      <c r="B1847" s="14"/>
      <c r="C1847" s="2"/>
      <c r="D1847" s="2"/>
      <c r="E1847" s="2"/>
      <c r="F1847" s="2"/>
      <c r="G1847" s="2"/>
      <c r="H1847" s="3"/>
      <c r="I1847" s="2"/>
      <c r="J1847" s="2"/>
      <c r="K1847" s="4"/>
      <c r="L1847" s="4"/>
      <c r="M1847" s="2"/>
      <c r="N1847" s="2"/>
      <c r="O1847" s="2"/>
      <c r="P1847" s="2"/>
      <c r="Q1847" s="5"/>
      <c r="R1847" s="5"/>
      <c r="S1847" s="2"/>
      <c r="T1847" s="2"/>
      <c r="U1847" s="5"/>
      <c r="V1847" s="5"/>
      <c r="W1847" s="2"/>
      <c r="X1847" s="5"/>
      <c r="Y1847" s="1"/>
      <c r="Z1847" s="1"/>
      <c r="AA1847" s="1"/>
    </row>
    <row r="1848">
      <c r="A1848" s="1"/>
      <c r="B1848" s="14"/>
      <c r="C1848" s="2"/>
      <c r="D1848" s="2"/>
      <c r="E1848" s="2"/>
      <c r="F1848" s="2"/>
      <c r="G1848" s="2"/>
      <c r="H1848" s="3"/>
      <c r="I1848" s="2"/>
      <c r="J1848" s="2"/>
      <c r="K1848" s="4"/>
      <c r="L1848" s="4"/>
      <c r="M1848" s="2"/>
      <c r="N1848" s="2"/>
      <c r="O1848" s="2"/>
      <c r="P1848" s="2"/>
      <c r="Q1848" s="5"/>
      <c r="R1848" s="5"/>
      <c r="S1848" s="2"/>
      <c r="T1848" s="2"/>
      <c r="U1848" s="5"/>
      <c r="V1848" s="5"/>
      <c r="W1848" s="2"/>
      <c r="X1848" s="5"/>
      <c r="Y1848" s="1"/>
      <c r="Z1848" s="1"/>
      <c r="AA1848" s="1"/>
    </row>
    <row r="1849">
      <c r="A1849" s="1"/>
      <c r="B1849" s="14"/>
      <c r="C1849" s="2"/>
      <c r="D1849" s="2"/>
      <c r="E1849" s="2"/>
      <c r="F1849" s="2"/>
      <c r="G1849" s="2"/>
      <c r="H1849" s="3"/>
      <c r="I1849" s="2"/>
      <c r="J1849" s="2"/>
      <c r="K1849" s="4"/>
      <c r="L1849" s="4"/>
      <c r="M1849" s="2"/>
      <c r="N1849" s="2"/>
      <c r="O1849" s="2"/>
      <c r="P1849" s="2"/>
      <c r="Q1849" s="5"/>
      <c r="R1849" s="5"/>
      <c r="S1849" s="2"/>
      <c r="T1849" s="2"/>
      <c r="U1849" s="5"/>
      <c r="V1849" s="5"/>
      <c r="W1849" s="2"/>
      <c r="X1849" s="5"/>
      <c r="Y1849" s="1"/>
      <c r="Z1849" s="1"/>
      <c r="AA1849" s="1"/>
    </row>
    <row r="1850">
      <c r="A1850" s="1"/>
      <c r="B1850" s="14"/>
      <c r="C1850" s="2"/>
      <c r="D1850" s="2"/>
      <c r="E1850" s="2"/>
      <c r="F1850" s="2"/>
      <c r="G1850" s="2"/>
      <c r="H1850" s="3"/>
      <c r="I1850" s="2"/>
      <c r="J1850" s="2"/>
      <c r="K1850" s="4"/>
      <c r="L1850" s="4"/>
      <c r="M1850" s="2"/>
      <c r="N1850" s="2"/>
      <c r="O1850" s="2"/>
      <c r="P1850" s="2"/>
      <c r="Q1850" s="5"/>
      <c r="R1850" s="5"/>
      <c r="S1850" s="2"/>
      <c r="T1850" s="2"/>
      <c r="U1850" s="5"/>
      <c r="V1850" s="5"/>
      <c r="W1850" s="2"/>
      <c r="X1850" s="5"/>
      <c r="Y1850" s="1"/>
      <c r="Z1850" s="1"/>
      <c r="AA1850" s="1"/>
    </row>
    <row r="1851">
      <c r="A1851" s="1"/>
      <c r="B1851" s="14"/>
      <c r="C1851" s="2"/>
      <c r="D1851" s="2"/>
      <c r="E1851" s="2"/>
      <c r="F1851" s="2"/>
      <c r="G1851" s="2"/>
      <c r="H1851" s="3"/>
      <c r="I1851" s="2"/>
      <c r="J1851" s="2"/>
      <c r="K1851" s="4"/>
      <c r="L1851" s="4"/>
      <c r="M1851" s="2"/>
      <c r="N1851" s="2"/>
      <c r="O1851" s="2"/>
      <c r="P1851" s="2"/>
      <c r="Q1851" s="5"/>
      <c r="R1851" s="5"/>
      <c r="S1851" s="2"/>
      <c r="T1851" s="2"/>
      <c r="U1851" s="5"/>
      <c r="V1851" s="5"/>
      <c r="W1851" s="2"/>
      <c r="X1851" s="5"/>
      <c r="Y1851" s="1"/>
      <c r="Z1851" s="1"/>
      <c r="AA1851" s="1"/>
    </row>
    <row r="1852">
      <c r="A1852" s="1"/>
      <c r="B1852" s="14"/>
      <c r="C1852" s="2"/>
      <c r="D1852" s="2"/>
      <c r="E1852" s="2"/>
      <c r="F1852" s="2"/>
      <c r="G1852" s="2"/>
      <c r="H1852" s="3"/>
      <c r="I1852" s="2"/>
      <c r="J1852" s="2"/>
      <c r="K1852" s="4"/>
      <c r="L1852" s="4"/>
      <c r="M1852" s="2"/>
      <c r="N1852" s="2"/>
      <c r="O1852" s="2"/>
      <c r="P1852" s="2"/>
      <c r="Q1852" s="5"/>
      <c r="R1852" s="5"/>
      <c r="S1852" s="2"/>
      <c r="T1852" s="2"/>
      <c r="U1852" s="5"/>
      <c r="V1852" s="5"/>
      <c r="W1852" s="2"/>
      <c r="X1852" s="5"/>
      <c r="Y1852" s="1"/>
      <c r="Z1852" s="1"/>
      <c r="AA1852" s="1"/>
    </row>
    <row r="1853">
      <c r="A1853" s="1"/>
      <c r="B1853" s="14"/>
      <c r="C1853" s="2"/>
      <c r="D1853" s="2"/>
      <c r="E1853" s="2"/>
      <c r="F1853" s="2"/>
      <c r="G1853" s="2"/>
      <c r="H1853" s="3"/>
      <c r="I1853" s="2"/>
      <c r="J1853" s="2"/>
      <c r="K1853" s="4"/>
      <c r="L1853" s="4"/>
      <c r="M1853" s="2"/>
      <c r="N1853" s="2"/>
      <c r="O1853" s="2"/>
      <c r="P1853" s="2"/>
      <c r="Q1853" s="5"/>
      <c r="R1853" s="5"/>
      <c r="S1853" s="2"/>
      <c r="T1853" s="2"/>
      <c r="U1853" s="5"/>
      <c r="V1853" s="5"/>
      <c r="W1853" s="2"/>
      <c r="X1853" s="5"/>
      <c r="Y1853" s="1"/>
      <c r="Z1853" s="1"/>
      <c r="AA1853" s="1"/>
    </row>
    <row r="1854">
      <c r="A1854" s="1"/>
      <c r="B1854" s="14"/>
      <c r="C1854" s="2"/>
      <c r="D1854" s="2"/>
      <c r="E1854" s="2"/>
      <c r="F1854" s="2"/>
      <c r="G1854" s="2"/>
      <c r="H1854" s="3"/>
      <c r="I1854" s="2"/>
      <c r="J1854" s="2"/>
      <c r="K1854" s="4"/>
      <c r="L1854" s="4"/>
      <c r="M1854" s="2"/>
      <c r="N1854" s="2"/>
      <c r="O1854" s="2"/>
      <c r="P1854" s="2"/>
      <c r="Q1854" s="5"/>
      <c r="R1854" s="5"/>
      <c r="S1854" s="2"/>
      <c r="T1854" s="2"/>
      <c r="U1854" s="5"/>
      <c r="V1854" s="5"/>
      <c r="W1854" s="2"/>
      <c r="X1854" s="5"/>
      <c r="Y1854" s="1"/>
      <c r="Z1854" s="1"/>
      <c r="AA1854" s="1"/>
    </row>
    <row r="1855">
      <c r="A1855" s="1"/>
      <c r="B1855" s="14"/>
      <c r="C1855" s="2"/>
      <c r="D1855" s="2"/>
      <c r="E1855" s="2"/>
      <c r="F1855" s="2"/>
      <c r="G1855" s="2"/>
      <c r="H1855" s="3"/>
      <c r="I1855" s="2"/>
      <c r="J1855" s="2"/>
      <c r="K1855" s="4"/>
      <c r="L1855" s="4"/>
      <c r="M1855" s="2"/>
      <c r="N1855" s="2"/>
      <c r="O1855" s="2"/>
      <c r="P1855" s="2"/>
      <c r="Q1855" s="5"/>
      <c r="R1855" s="5"/>
      <c r="S1855" s="2"/>
      <c r="T1855" s="2"/>
      <c r="U1855" s="5"/>
      <c r="V1855" s="5"/>
      <c r="W1855" s="2"/>
      <c r="X1855" s="5"/>
      <c r="Y1855" s="1"/>
      <c r="Z1855" s="1"/>
      <c r="AA1855" s="1"/>
    </row>
    <row r="1856">
      <c r="A1856" s="1"/>
      <c r="B1856" s="14"/>
      <c r="C1856" s="2"/>
      <c r="D1856" s="2"/>
      <c r="E1856" s="2"/>
      <c r="F1856" s="2"/>
      <c r="G1856" s="2"/>
      <c r="H1856" s="3"/>
      <c r="I1856" s="2"/>
      <c r="J1856" s="2"/>
      <c r="K1856" s="4"/>
      <c r="L1856" s="4"/>
      <c r="M1856" s="2"/>
      <c r="N1856" s="2"/>
      <c r="O1856" s="2"/>
      <c r="P1856" s="2"/>
      <c r="Q1856" s="5"/>
      <c r="R1856" s="5"/>
      <c r="S1856" s="2"/>
      <c r="T1856" s="2"/>
      <c r="U1856" s="5"/>
      <c r="V1856" s="5"/>
      <c r="W1856" s="2"/>
      <c r="X1856" s="5"/>
      <c r="Y1856" s="1"/>
      <c r="Z1856" s="1"/>
      <c r="AA1856" s="1"/>
    </row>
    <row r="1857">
      <c r="A1857" s="1"/>
      <c r="B1857" s="14"/>
      <c r="C1857" s="2"/>
      <c r="D1857" s="2"/>
      <c r="E1857" s="2"/>
      <c r="F1857" s="2"/>
      <c r="G1857" s="2"/>
      <c r="H1857" s="3"/>
      <c r="I1857" s="2"/>
      <c r="J1857" s="2"/>
      <c r="K1857" s="4"/>
      <c r="L1857" s="4"/>
      <c r="M1857" s="2"/>
      <c r="N1857" s="2"/>
      <c r="O1857" s="2"/>
      <c r="P1857" s="2"/>
      <c r="Q1857" s="5"/>
      <c r="R1857" s="5"/>
      <c r="S1857" s="2"/>
      <c r="T1857" s="2"/>
      <c r="U1857" s="5"/>
      <c r="V1857" s="5"/>
      <c r="W1857" s="2"/>
      <c r="X1857" s="5"/>
      <c r="Y1857" s="1"/>
      <c r="Z1857" s="1"/>
      <c r="AA1857" s="1"/>
    </row>
    <row r="1858">
      <c r="A1858" s="1"/>
      <c r="B1858" s="14"/>
      <c r="C1858" s="2"/>
      <c r="D1858" s="2"/>
      <c r="E1858" s="2"/>
      <c r="F1858" s="2"/>
      <c r="G1858" s="2"/>
      <c r="H1858" s="3"/>
      <c r="I1858" s="2"/>
      <c r="J1858" s="2"/>
      <c r="K1858" s="4"/>
      <c r="L1858" s="4"/>
      <c r="M1858" s="2"/>
      <c r="N1858" s="2"/>
      <c r="O1858" s="2"/>
      <c r="P1858" s="2"/>
      <c r="Q1858" s="5"/>
      <c r="R1858" s="5"/>
      <c r="S1858" s="2"/>
      <c r="T1858" s="2"/>
      <c r="U1858" s="5"/>
      <c r="V1858" s="5"/>
      <c r="W1858" s="2"/>
      <c r="X1858" s="5"/>
      <c r="Y1858" s="1"/>
      <c r="Z1858" s="1"/>
      <c r="AA1858" s="1"/>
    </row>
    <row r="1859">
      <c r="A1859" s="1"/>
      <c r="B1859" s="14"/>
      <c r="C1859" s="2"/>
      <c r="D1859" s="2"/>
      <c r="E1859" s="2"/>
      <c r="F1859" s="2"/>
      <c r="G1859" s="2"/>
      <c r="H1859" s="3"/>
      <c r="I1859" s="2"/>
      <c r="J1859" s="2"/>
      <c r="K1859" s="4"/>
      <c r="L1859" s="4"/>
      <c r="M1859" s="2"/>
      <c r="N1859" s="2"/>
      <c r="O1859" s="2"/>
      <c r="P1859" s="2"/>
      <c r="Q1859" s="5"/>
      <c r="R1859" s="5"/>
      <c r="S1859" s="2"/>
      <c r="T1859" s="2"/>
      <c r="U1859" s="5"/>
      <c r="V1859" s="5"/>
      <c r="W1859" s="2"/>
      <c r="X1859" s="5"/>
      <c r="Y1859" s="1"/>
      <c r="Z1859" s="1"/>
      <c r="AA1859" s="1"/>
    </row>
    <row r="1860">
      <c r="A1860" s="1"/>
      <c r="B1860" s="14"/>
      <c r="C1860" s="2"/>
      <c r="D1860" s="2"/>
      <c r="E1860" s="2"/>
      <c r="F1860" s="2"/>
      <c r="G1860" s="2"/>
      <c r="H1860" s="3"/>
      <c r="I1860" s="2"/>
      <c r="J1860" s="2"/>
      <c r="K1860" s="4"/>
      <c r="L1860" s="4"/>
      <c r="M1860" s="2"/>
      <c r="N1860" s="2"/>
      <c r="O1860" s="2"/>
      <c r="P1860" s="2"/>
      <c r="Q1860" s="5"/>
      <c r="R1860" s="5"/>
      <c r="S1860" s="2"/>
      <c r="T1860" s="2"/>
      <c r="U1860" s="5"/>
      <c r="V1860" s="5"/>
      <c r="W1860" s="2"/>
      <c r="X1860" s="5"/>
      <c r="Y1860" s="1"/>
      <c r="Z1860" s="1"/>
      <c r="AA1860" s="1"/>
    </row>
    <row r="1861">
      <c r="A1861" s="1"/>
      <c r="B1861" s="14"/>
      <c r="C1861" s="2"/>
      <c r="D1861" s="2"/>
      <c r="E1861" s="2"/>
      <c r="F1861" s="2"/>
      <c r="G1861" s="2"/>
      <c r="H1861" s="3"/>
      <c r="I1861" s="2"/>
      <c r="J1861" s="2"/>
      <c r="K1861" s="4"/>
      <c r="L1861" s="4"/>
      <c r="M1861" s="2"/>
      <c r="N1861" s="2"/>
      <c r="O1861" s="2"/>
      <c r="P1861" s="2"/>
      <c r="Q1861" s="5"/>
      <c r="R1861" s="5"/>
      <c r="S1861" s="2"/>
      <c r="T1861" s="2"/>
      <c r="U1861" s="5"/>
      <c r="V1861" s="5"/>
      <c r="W1861" s="2"/>
      <c r="X1861" s="5"/>
      <c r="Y1861" s="1"/>
      <c r="Z1861" s="1"/>
      <c r="AA1861" s="1"/>
    </row>
    <row r="1862">
      <c r="A1862" s="1"/>
      <c r="B1862" s="14"/>
      <c r="C1862" s="2"/>
      <c r="D1862" s="2"/>
      <c r="E1862" s="2"/>
      <c r="F1862" s="2"/>
      <c r="G1862" s="2"/>
      <c r="H1862" s="3"/>
      <c r="I1862" s="2"/>
      <c r="J1862" s="2"/>
      <c r="K1862" s="4"/>
      <c r="L1862" s="4"/>
      <c r="M1862" s="2"/>
      <c r="N1862" s="2"/>
      <c r="O1862" s="2"/>
      <c r="P1862" s="2"/>
      <c r="Q1862" s="5"/>
      <c r="R1862" s="5"/>
      <c r="S1862" s="2"/>
      <c r="T1862" s="2"/>
      <c r="U1862" s="5"/>
      <c r="V1862" s="5"/>
      <c r="W1862" s="2"/>
      <c r="X1862" s="5"/>
      <c r="Y1862" s="1"/>
      <c r="Z1862" s="1"/>
      <c r="AA1862" s="1"/>
    </row>
    <row r="1863">
      <c r="A1863" s="1"/>
      <c r="B1863" s="14"/>
      <c r="C1863" s="2"/>
      <c r="D1863" s="2"/>
      <c r="E1863" s="2"/>
      <c r="F1863" s="2"/>
      <c r="G1863" s="2"/>
      <c r="H1863" s="3"/>
      <c r="I1863" s="2"/>
      <c r="J1863" s="2"/>
      <c r="K1863" s="4"/>
      <c r="L1863" s="4"/>
      <c r="M1863" s="2"/>
      <c r="N1863" s="2"/>
      <c r="O1863" s="2"/>
      <c r="P1863" s="2"/>
      <c r="Q1863" s="5"/>
      <c r="R1863" s="5"/>
      <c r="S1863" s="2"/>
      <c r="T1863" s="2"/>
      <c r="U1863" s="5"/>
      <c r="V1863" s="5"/>
      <c r="W1863" s="2"/>
      <c r="X1863" s="5"/>
      <c r="Y1863" s="1"/>
      <c r="Z1863" s="1"/>
      <c r="AA1863" s="1"/>
    </row>
    <row r="1864">
      <c r="A1864" s="1"/>
      <c r="B1864" s="14"/>
      <c r="C1864" s="2"/>
      <c r="D1864" s="2"/>
      <c r="E1864" s="2"/>
      <c r="F1864" s="2"/>
      <c r="G1864" s="2"/>
      <c r="H1864" s="3"/>
      <c r="I1864" s="2"/>
      <c r="J1864" s="2"/>
      <c r="K1864" s="4"/>
      <c r="L1864" s="4"/>
      <c r="M1864" s="2"/>
      <c r="N1864" s="2"/>
      <c r="O1864" s="2"/>
      <c r="P1864" s="2"/>
      <c r="Q1864" s="5"/>
      <c r="R1864" s="5"/>
      <c r="S1864" s="2"/>
      <c r="T1864" s="2"/>
      <c r="U1864" s="5"/>
      <c r="V1864" s="5"/>
      <c r="W1864" s="2"/>
      <c r="X1864" s="5"/>
      <c r="Y1864" s="1"/>
      <c r="Z1864" s="1"/>
      <c r="AA1864" s="1"/>
    </row>
    <row r="1865">
      <c r="A1865" s="1"/>
      <c r="B1865" s="14"/>
      <c r="C1865" s="2"/>
      <c r="D1865" s="2"/>
      <c r="E1865" s="2"/>
      <c r="F1865" s="2"/>
      <c r="G1865" s="2"/>
      <c r="H1865" s="3"/>
      <c r="I1865" s="2"/>
      <c r="J1865" s="2"/>
      <c r="K1865" s="4"/>
      <c r="L1865" s="4"/>
      <c r="M1865" s="2"/>
      <c r="N1865" s="2"/>
      <c r="O1865" s="2"/>
      <c r="P1865" s="2"/>
      <c r="Q1865" s="5"/>
      <c r="R1865" s="5"/>
      <c r="S1865" s="2"/>
      <c r="T1865" s="2"/>
      <c r="U1865" s="5"/>
      <c r="V1865" s="5"/>
      <c r="W1865" s="2"/>
      <c r="X1865" s="5"/>
      <c r="Y1865" s="1"/>
      <c r="Z1865" s="1"/>
      <c r="AA1865" s="1"/>
    </row>
    <row r="1866">
      <c r="A1866" s="1"/>
      <c r="B1866" s="14"/>
      <c r="C1866" s="2"/>
      <c r="D1866" s="2"/>
      <c r="E1866" s="2"/>
      <c r="F1866" s="2"/>
      <c r="G1866" s="2"/>
      <c r="H1866" s="3"/>
      <c r="I1866" s="2"/>
      <c r="J1866" s="2"/>
      <c r="K1866" s="4"/>
      <c r="L1866" s="4"/>
      <c r="M1866" s="2"/>
      <c r="N1866" s="2"/>
      <c r="O1866" s="2"/>
      <c r="P1866" s="2"/>
      <c r="Q1866" s="5"/>
      <c r="R1866" s="5"/>
      <c r="S1866" s="2"/>
      <c r="T1866" s="2"/>
      <c r="U1866" s="5"/>
      <c r="V1866" s="5"/>
      <c r="W1866" s="2"/>
      <c r="X1866" s="5"/>
      <c r="Y1866" s="1"/>
      <c r="Z1866" s="1"/>
      <c r="AA1866" s="1"/>
    </row>
    <row r="1867">
      <c r="A1867" s="1"/>
      <c r="B1867" s="14"/>
      <c r="C1867" s="2"/>
      <c r="D1867" s="2"/>
      <c r="E1867" s="2"/>
      <c r="F1867" s="2"/>
      <c r="G1867" s="2"/>
      <c r="H1867" s="3"/>
      <c r="I1867" s="2"/>
      <c r="J1867" s="2"/>
      <c r="K1867" s="4"/>
      <c r="L1867" s="4"/>
      <c r="M1867" s="2"/>
      <c r="N1867" s="2"/>
      <c r="O1867" s="2"/>
      <c r="P1867" s="2"/>
      <c r="Q1867" s="5"/>
      <c r="R1867" s="5"/>
      <c r="S1867" s="2"/>
      <c r="T1867" s="2"/>
      <c r="U1867" s="5"/>
      <c r="V1867" s="5"/>
      <c r="W1867" s="2"/>
      <c r="X1867" s="5"/>
      <c r="Y1867" s="1"/>
      <c r="Z1867" s="1"/>
      <c r="AA1867" s="1"/>
    </row>
    <row r="1868">
      <c r="A1868" s="1"/>
      <c r="B1868" s="14"/>
      <c r="C1868" s="2"/>
      <c r="D1868" s="2"/>
      <c r="E1868" s="2"/>
      <c r="F1868" s="2"/>
      <c r="G1868" s="2"/>
      <c r="H1868" s="3"/>
      <c r="I1868" s="2"/>
      <c r="J1868" s="2"/>
      <c r="K1868" s="4"/>
      <c r="L1868" s="4"/>
      <c r="M1868" s="2"/>
      <c r="N1868" s="2"/>
      <c r="O1868" s="2"/>
      <c r="P1868" s="2"/>
      <c r="Q1868" s="5"/>
      <c r="R1868" s="5"/>
      <c r="S1868" s="2"/>
      <c r="T1868" s="2"/>
      <c r="U1868" s="5"/>
      <c r="V1868" s="5"/>
      <c r="W1868" s="2"/>
      <c r="X1868" s="5"/>
      <c r="Y1868" s="1"/>
      <c r="Z1868" s="1"/>
      <c r="AA1868" s="1"/>
    </row>
    <row r="1869">
      <c r="A1869" s="1"/>
      <c r="B1869" s="14"/>
      <c r="C1869" s="2"/>
      <c r="D1869" s="2"/>
      <c r="E1869" s="2"/>
      <c r="F1869" s="2"/>
      <c r="G1869" s="2"/>
      <c r="H1869" s="3"/>
      <c r="I1869" s="2"/>
      <c r="J1869" s="2"/>
      <c r="K1869" s="4"/>
      <c r="L1869" s="4"/>
      <c r="M1869" s="2"/>
      <c r="N1869" s="2"/>
      <c r="O1869" s="2"/>
      <c r="P1869" s="2"/>
      <c r="Q1869" s="5"/>
      <c r="R1869" s="5"/>
      <c r="S1869" s="2"/>
      <c r="T1869" s="2"/>
      <c r="U1869" s="5"/>
      <c r="V1869" s="5"/>
      <c r="W1869" s="2"/>
      <c r="X1869" s="5"/>
      <c r="Y1869" s="1"/>
      <c r="Z1869" s="1"/>
      <c r="AA1869" s="1"/>
    </row>
    <row r="1870">
      <c r="A1870" s="1"/>
      <c r="B1870" s="14"/>
      <c r="C1870" s="2"/>
      <c r="D1870" s="2"/>
      <c r="E1870" s="2"/>
      <c r="F1870" s="2"/>
      <c r="G1870" s="2"/>
      <c r="H1870" s="3"/>
      <c r="I1870" s="2"/>
      <c r="J1870" s="2"/>
      <c r="K1870" s="4"/>
      <c r="L1870" s="4"/>
      <c r="M1870" s="2"/>
      <c r="N1870" s="2"/>
      <c r="O1870" s="2"/>
      <c r="P1870" s="2"/>
      <c r="Q1870" s="5"/>
      <c r="R1870" s="5"/>
      <c r="S1870" s="2"/>
      <c r="T1870" s="2"/>
      <c r="U1870" s="5"/>
      <c r="V1870" s="5"/>
      <c r="W1870" s="2"/>
      <c r="X1870" s="5"/>
      <c r="Y1870" s="1"/>
      <c r="Z1870" s="1"/>
      <c r="AA1870" s="1"/>
    </row>
    <row r="1871">
      <c r="A1871" s="1"/>
      <c r="B1871" s="14"/>
      <c r="C1871" s="2"/>
      <c r="D1871" s="2"/>
      <c r="E1871" s="2"/>
      <c r="F1871" s="2"/>
      <c r="G1871" s="2"/>
      <c r="H1871" s="3"/>
      <c r="I1871" s="2"/>
      <c r="J1871" s="2"/>
      <c r="K1871" s="4"/>
      <c r="L1871" s="4"/>
      <c r="M1871" s="2"/>
      <c r="N1871" s="2"/>
      <c r="O1871" s="2"/>
      <c r="P1871" s="2"/>
      <c r="Q1871" s="5"/>
      <c r="R1871" s="5"/>
      <c r="S1871" s="2"/>
      <c r="T1871" s="2"/>
      <c r="U1871" s="5"/>
      <c r="V1871" s="5"/>
      <c r="W1871" s="2"/>
      <c r="X1871" s="5"/>
      <c r="Y1871" s="1"/>
      <c r="Z1871" s="1"/>
      <c r="AA1871" s="1"/>
    </row>
    <row r="1872">
      <c r="A1872" s="1"/>
      <c r="B1872" s="14"/>
      <c r="C1872" s="2"/>
      <c r="D1872" s="2"/>
      <c r="E1872" s="2"/>
      <c r="F1872" s="2"/>
      <c r="G1872" s="2"/>
      <c r="H1872" s="3"/>
      <c r="I1872" s="2"/>
      <c r="J1872" s="2"/>
      <c r="K1872" s="4"/>
      <c r="L1872" s="4"/>
      <c r="M1872" s="2"/>
      <c r="N1872" s="2"/>
      <c r="O1872" s="2"/>
      <c r="P1872" s="2"/>
      <c r="Q1872" s="5"/>
      <c r="R1872" s="5"/>
      <c r="S1872" s="2"/>
      <c r="T1872" s="2"/>
      <c r="U1872" s="5"/>
      <c r="V1872" s="5"/>
      <c r="W1872" s="2"/>
      <c r="X1872" s="5"/>
      <c r="Y1872" s="1"/>
      <c r="Z1872" s="1"/>
      <c r="AA1872" s="1"/>
    </row>
    <row r="1873">
      <c r="A1873" s="1"/>
      <c r="B1873" s="14"/>
      <c r="C1873" s="2"/>
      <c r="D1873" s="2"/>
      <c r="E1873" s="2"/>
      <c r="F1873" s="2"/>
      <c r="G1873" s="2"/>
      <c r="H1873" s="3"/>
      <c r="I1873" s="2"/>
      <c r="J1873" s="2"/>
      <c r="K1873" s="4"/>
      <c r="L1873" s="4"/>
      <c r="M1873" s="2"/>
      <c r="N1873" s="2"/>
      <c r="O1873" s="2"/>
      <c r="P1873" s="2"/>
      <c r="Q1873" s="5"/>
      <c r="R1873" s="5"/>
      <c r="S1873" s="2"/>
      <c r="T1873" s="2"/>
      <c r="U1873" s="5"/>
      <c r="V1873" s="5"/>
      <c r="W1873" s="2"/>
      <c r="X1873" s="5"/>
      <c r="Y1873" s="1"/>
      <c r="Z1873" s="1"/>
      <c r="AA1873" s="1"/>
    </row>
    <row r="1874">
      <c r="A1874" s="1"/>
      <c r="B1874" s="14"/>
      <c r="C1874" s="2"/>
      <c r="D1874" s="2"/>
      <c r="E1874" s="2"/>
      <c r="F1874" s="2"/>
      <c r="G1874" s="2"/>
      <c r="H1874" s="3"/>
      <c r="I1874" s="2"/>
      <c r="J1874" s="2"/>
      <c r="K1874" s="4"/>
      <c r="L1874" s="4"/>
      <c r="M1874" s="2"/>
      <c r="N1874" s="2"/>
      <c r="O1874" s="2"/>
      <c r="P1874" s="2"/>
      <c r="Q1874" s="5"/>
      <c r="R1874" s="5"/>
      <c r="S1874" s="2"/>
      <c r="T1874" s="2"/>
      <c r="U1874" s="5"/>
      <c r="V1874" s="5"/>
      <c r="W1874" s="2"/>
      <c r="X1874" s="5"/>
      <c r="Y1874" s="1"/>
      <c r="Z1874" s="1"/>
      <c r="AA1874" s="1"/>
    </row>
    <row r="1875">
      <c r="A1875" s="1"/>
      <c r="B1875" s="14"/>
      <c r="C1875" s="2"/>
      <c r="D1875" s="2"/>
      <c r="E1875" s="2"/>
      <c r="F1875" s="2"/>
      <c r="G1875" s="2"/>
      <c r="H1875" s="3"/>
      <c r="I1875" s="2"/>
      <c r="J1875" s="2"/>
      <c r="K1875" s="4"/>
      <c r="L1875" s="4"/>
      <c r="M1875" s="2"/>
      <c r="N1875" s="2"/>
      <c r="O1875" s="2"/>
      <c r="P1875" s="2"/>
      <c r="Q1875" s="5"/>
      <c r="R1875" s="5"/>
      <c r="S1875" s="2"/>
      <c r="T1875" s="2"/>
      <c r="U1875" s="5"/>
      <c r="V1875" s="5"/>
      <c r="W1875" s="2"/>
      <c r="X1875" s="5"/>
      <c r="Y1875" s="1"/>
      <c r="Z1875" s="1"/>
      <c r="AA1875" s="1"/>
    </row>
    <row r="1876">
      <c r="A1876" s="1"/>
      <c r="B1876" s="14"/>
      <c r="C1876" s="2"/>
      <c r="D1876" s="2"/>
      <c r="E1876" s="2"/>
      <c r="F1876" s="2"/>
      <c r="G1876" s="2"/>
      <c r="H1876" s="3"/>
      <c r="I1876" s="2"/>
      <c r="J1876" s="2"/>
      <c r="K1876" s="4"/>
      <c r="L1876" s="4"/>
      <c r="M1876" s="2"/>
      <c r="N1876" s="2"/>
      <c r="O1876" s="2"/>
      <c r="P1876" s="2"/>
      <c r="Q1876" s="5"/>
      <c r="R1876" s="5"/>
      <c r="S1876" s="2"/>
      <c r="T1876" s="2"/>
      <c r="U1876" s="5"/>
      <c r="V1876" s="5"/>
      <c r="W1876" s="2"/>
      <c r="X1876" s="5"/>
      <c r="Y1876" s="1"/>
      <c r="Z1876" s="1"/>
      <c r="AA1876" s="1"/>
    </row>
    <row r="1877">
      <c r="A1877" s="1"/>
      <c r="B1877" s="14"/>
      <c r="C1877" s="2"/>
      <c r="D1877" s="2"/>
      <c r="E1877" s="2"/>
      <c r="F1877" s="2"/>
      <c r="G1877" s="2"/>
      <c r="H1877" s="3"/>
      <c r="I1877" s="2"/>
      <c r="J1877" s="2"/>
      <c r="K1877" s="4"/>
      <c r="L1877" s="4"/>
      <c r="M1877" s="2"/>
      <c r="N1877" s="2"/>
      <c r="O1877" s="2"/>
      <c r="P1877" s="2"/>
      <c r="Q1877" s="5"/>
      <c r="R1877" s="5"/>
      <c r="S1877" s="2"/>
      <c r="T1877" s="2"/>
      <c r="U1877" s="5"/>
      <c r="V1877" s="5"/>
      <c r="W1877" s="2"/>
      <c r="X1877" s="5"/>
      <c r="Y1877" s="1"/>
      <c r="Z1877" s="1"/>
      <c r="AA1877" s="1"/>
    </row>
    <row r="1878">
      <c r="A1878" s="1"/>
      <c r="B1878" s="14"/>
      <c r="C1878" s="2"/>
      <c r="D1878" s="2"/>
      <c r="E1878" s="2"/>
      <c r="F1878" s="2"/>
      <c r="G1878" s="2"/>
      <c r="H1878" s="3"/>
      <c r="I1878" s="2"/>
      <c r="J1878" s="2"/>
      <c r="K1878" s="4"/>
      <c r="L1878" s="4"/>
      <c r="M1878" s="2"/>
      <c r="N1878" s="2"/>
      <c r="O1878" s="2"/>
      <c r="P1878" s="2"/>
      <c r="Q1878" s="5"/>
      <c r="R1878" s="5"/>
      <c r="S1878" s="2"/>
      <c r="T1878" s="2"/>
      <c r="U1878" s="5"/>
      <c r="V1878" s="5"/>
      <c r="W1878" s="2"/>
      <c r="X1878" s="5"/>
      <c r="Y1878" s="1"/>
      <c r="Z1878" s="1"/>
      <c r="AA1878" s="1"/>
    </row>
    <row r="1879">
      <c r="A1879" s="1"/>
      <c r="B1879" s="14"/>
      <c r="C1879" s="2"/>
      <c r="D1879" s="2"/>
      <c r="E1879" s="2"/>
      <c r="F1879" s="2"/>
      <c r="G1879" s="2"/>
      <c r="H1879" s="3"/>
      <c r="I1879" s="2"/>
      <c r="J1879" s="2"/>
      <c r="K1879" s="4"/>
      <c r="L1879" s="4"/>
      <c r="M1879" s="2"/>
      <c r="N1879" s="2"/>
      <c r="O1879" s="2"/>
      <c r="P1879" s="2"/>
      <c r="Q1879" s="5"/>
      <c r="R1879" s="5"/>
      <c r="S1879" s="2"/>
      <c r="T1879" s="2"/>
      <c r="U1879" s="5"/>
      <c r="V1879" s="5"/>
      <c r="W1879" s="2"/>
      <c r="X1879" s="5"/>
      <c r="Y1879" s="1"/>
      <c r="Z1879" s="1"/>
      <c r="AA1879" s="1"/>
    </row>
    <row r="1880">
      <c r="A1880" s="1"/>
      <c r="B1880" s="14"/>
      <c r="C1880" s="2"/>
      <c r="D1880" s="2"/>
      <c r="E1880" s="2"/>
      <c r="F1880" s="2"/>
      <c r="G1880" s="2"/>
      <c r="H1880" s="3"/>
      <c r="I1880" s="2"/>
      <c r="J1880" s="2"/>
      <c r="K1880" s="4"/>
      <c r="L1880" s="4"/>
      <c r="M1880" s="2"/>
      <c r="N1880" s="2"/>
      <c r="O1880" s="2"/>
      <c r="P1880" s="2"/>
      <c r="Q1880" s="5"/>
      <c r="R1880" s="5"/>
      <c r="S1880" s="2"/>
      <c r="T1880" s="2"/>
      <c r="U1880" s="5"/>
      <c r="V1880" s="5"/>
      <c r="W1880" s="2"/>
      <c r="X1880" s="5"/>
      <c r="Y1880" s="1"/>
      <c r="Z1880" s="1"/>
      <c r="AA1880" s="1"/>
    </row>
    <row r="1881">
      <c r="A1881" s="1"/>
      <c r="B1881" s="14"/>
      <c r="C1881" s="2"/>
      <c r="D1881" s="2"/>
      <c r="E1881" s="2"/>
      <c r="F1881" s="2"/>
      <c r="G1881" s="2"/>
      <c r="H1881" s="3"/>
      <c r="I1881" s="2"/>
      <c r="J1881" s="2"/>
      <c r="K1881" s="4"/>
      <c r="L1881" s="4"/>
      <c r="M1881" s="2"/>
      <c r="N1881" s="2"/>
      <c r="O1881" s="2"/>
      <c r="P1881" s="2"/>
      <c r="Q1881" s="5"/>
      <c r="R1881" s="5"/>
      <c r="S1881" s="2"/>
      <c r="T1881" s="2"/>
      <c r="U1881" s="5"/>
      <c r="V1881" s="5"/>
      <c r="W1881" s="2"/>
      <c r="X1881" s="5"/>
      <c r="Y1881" s="1"/>
      <c r="Z1881" s="1"/>
      <c r="AA1881" s="1"/>
    </row>
    <row r="1882">
      <c r="A1882" s="1"/>
      <c r="B1882" s="14"/>
      <c r="C1882" s="2"/>
      <c r="D1882" s="2"/>
      <c r="E1882" s="2"/>
      <c r="F1882" s="2"/>
      <c r="G1882" s="2"/>
      <c r="H1882" s="3"/>
      <c r="I1882" s="2"/>
      <c r="J1882" s="2"/>
      <c r="K1882" s="4"/>
      <c r="L1882" s="4"/>
      <c r="M1882" s="2"/>
      <c r="N1882" s="2"/>
      <c r="O1882" s="2"/>
      <c r="P1882" s="2"/>
      <c r="Q1882" s="5"/>
      <c r="R1882" s="5"/>
      <c r="S1882" s="2"/>
      <c r="T1882" s="2"/>
      <c r="U1882" s="5"/>
      <c r="V1882" s="5"/>
      <c r="W1882" s="2"/>
      <c r="X1882" s="5"/>
      <c r="Y1882" s="1"/>
      <c r="Z1882" s="1"/>
      <c r="AA1882" s="1"/>
    </row>
    <row r="1883">
      <c r="A1883" s="1"/>
      <c r="B1883" s="14"/>
      <c r="C1883" s="2"/>
      <c r="D1883" s="2"/>
      <c r="E1883" s="2"/>
      <c r="F1883" s="2"/>
      <c r="G1883" s="2"/>
      <c r="H1883" s="3"/>
      <c r="I1883" s="2"/>
      <c r="J1883" s="2"/>
      <c r="K1883" s="4"/>
      <c r="L1883" s="4"/>
      <c r="M1883" s="2"/>
      <c r="N1883" s="2"/>
      <c r="O1883" s="2"/>
      <c r="P1883" s="2"/>
      <c r="Q1883" s="5"/>
      <c r="R1883" s="5"/>
      <c r="S1883" s="2"/>
      <c r="T1883" s="2"/>
      <c r="U1883" s="5"/>
      <c r="V1883" s="5"/>
      <c r="W1883" s="2"/>
      <c r="X1883" s="5"/>
      <c r="Y1883" s="1"/>
      <c r="Z1883" s="1"/>
      <c r="AA1883" s="1"/>
    </row>
    <row r="1884">
      <c r="A1884" s="1"/>
      <c r="B1884" s="14"/>
      <c r="C1884" s="2"/>
      <c r="D1884" s="2"/>
      <c r="E1884" s="2"/>
      <c r="F1884" s="2"/>
      <c r="G1884" s="2"/>
      <c r="H1884" s="3"/>
      <c r="I1884" s="2"/>
      <c r="J1884" s="2"/>
      <c r="K1884" s="4"/>
      <c r="L1884" s="4"/>
      <c r="M1884" s="2"/>
      <c r="N1884" s="2"/>
      <c r="O1884" s="2"/>
      <c r="P1884" s="2"/>
      <c r="Q1884" s="5"/>
      <c r="R1884" s="5"/>
      <c r="S1884" s="2"/>
      <c r="T1884" s="2"/>
      <c r="U1884" s="5"/>
      <c r="V1884" s="5"/>
      <c r="W1884" s="2"/>
      <c r="X1884" s="5"/>
      <c r="Y1884" s="1"/>
      <c r="Z1884" s="1"/>
      <c r="AA1884" s="1"/>
    </row>
    <row r="1885">
      <c r="A1885" s="1"/>
      <c r="B1885" s="14"/>
      <c r="C1885" s="2"/>
      <c r="D1885" s="2"/>
      <c r="E1885" s="2"/>
      <c r="F1885" s="2"/>
      <c r="G1885" s="2"/>
      <c r="H1885" s="3"/>
      <c r="I1885" s="2"/>
      <c r="J1885" s="2"/>
      <c r="K1885" s="4"/>
      <c r="L1885" s="4"/>
      <c r="M1885" s="2"/>
      <c r="N1885" s="2"/>
      <c r="O1885" s="2"/>
      <c r="P1885" s="2"/>
      <c r="Q1885" s="5"/>
      <c r="R1885" s="5"/>
      <c r="S1885" s="2"/>
      <c r="T1885" s="2"/>
      <c r="U1885" s="5"/>
      <c r="V1885" s="5"/>
      <c r="W1885" s="2"/>
      <c r="X1885" s="5"/>
      <c r="Y1885" s="1"/>
      <c r="Z1885" s="1"/>
      <c r="AA1885" s="1"/>
    </row>
    <row r="1886">
      <c r="A1886" s="1"/>
      <c r="B1886" s="14"/>
      <c r="C1886" s="2"/>
      <c r="D1886" s="2"/>
      <c r="E1886" s="2"/>
      <c r="F1886" s="2"/>
      <c r="G1886" s="2"/>
      <c r="H1886" s="3"/>
      <c r="I1886" s="2"/>
      <c r="J1886" s="2"/>
      <c r="K1886" s="4"/>
      <c r="L1886" s="4"/>
      <c r="M1886" s="2"/>
      <c r="N1886" s="2"/>
      <c r="O1886" s="2"/>
      <c r="P1886" s="2"/>
      <c r="Q1886" s="5"/>
      <c r="R1886" s="5"/>
      <c r="S1886" s="2"/>
      <c r="T1886" s="2"/>
      <c r="U1886" s="5"/>
      <c r="V1886" s="5"/>
      <c r="W1886" s="2"/>
      <c r="X1886" s="5"/>
      <c r="Y1886" s="1"/>
      <c r="Z1886" s="1"/>
      <c r="AA1886" s="1"/>
    </row>
    <row r="1887">
      <c r="A1887" s="1"/>
      <c r="B1887" s="14"/>
      <c r="C1887" s="2"/>
      <c r="D1887" s="2"/>
      <c r="E1887" s="2"/>
      <c r="F1887" s="2"/>
      <c r="G1887" s="2"/>
      <c r="H1887" s="3"/>
      <c r="I1887" s="2"/>
      <c r="J1887" s="2"/>
      <c r="K1887" s="4"/>
      <c r="L1887" s="4"/>
      <c r="M1887" s="2"/>
      <c r="N1887" s="2"/>
      <c r="O1887" s="2"/>
      <c r="P1887" s="2"/>
      <c r="Q1887" s="5"/>
      <c r="R1887" s="5"/>
      <c r="S1887" s="2"/>
      <c r="T1887" s="2"/>
      <c r="U1887" s="5"/>
      <c r="V1887" s="5"/>
      <c r="W1887" s="2"/>
      <c r="X1887" s="5"/>
      <c r="Y1887" s="1"/>
      <c r="Z1887" s="1"/>
      <c r="AA1887" s="1"/>
    </row>
    <row r="1888">
      <c r="A1888" s="1"/>
      <c r="B1888" s="14"/>
      <c r="C1888" s="2"/>
      <c r="D1888" s="2"/>
      <c r="E1888" s="2"/>
      <c r="F1888" s="2"/>
      <c r="G1888" s="2"/>
      <c r="H1888" s="3"/>
      <c r="I1888" s="2"/>
      <c r="J1888" s="2"/>
      <c r="K1888" s="4"/>
      <c r="L1888" s="4"/>
      <c r="M1888" s="2"/>
      <c r="N1888" s="2"/>
      <c r="O1888" s="2"/>
      <c r="P1888" s="2"/>
      <c r="Q1888" s="5"/>
      <c r="R1888" s="5"/>
      <c r="S1888" s="2"/>
      <c r="T1888" s="2"/>
      <c r="U1888" s="5"/>
      <c r="V1888" s="5"/>
      <c r="W1888" s="2"/>
      <c r="X1888" s="5"/>
      <c r="Y1888" s="1"/>
      <c r="Z1888" s="1"/>
      <c r="AA1888" s="1"/>
    </row>
    <row r="1889">
      <c r="A1889" s="1"/>
      <c r="B1889" s="14"/>
      <c r="C1889" s="2"/>
      <c r="D1889" s="2"/>
      <c r="E1889" s="2"/>
      <c r="F1889" s="2"/>
      <c r="G1889" s="2"/>
      <c r="H1889" s="3"/>
      <c r="I1889" s="2"/>
      <c r="J1889" s="2"/>
      <c r="K1889" s="4"/>
      <c r="L1889" s="4"/>
      <c r="M1889" s="2"/>
      <c r="N1889" s="2"/>
      <c r="O1889" s="2"/>
      <c r="P1889" s="2"/>
      <c r="Q1889" s="5"/>
      <c r="R1889" s="5"/>
      <c r="S1889" s="2"/>
      <c r="T1889" s="2"/>
      <c r="U1889" s="5"/>
      <c r="V1889" s="5"/>
      <c r="W1889" s="2"/>
      <c r="X1889" s="5"/>
      <c r="Y1889" s="1"/>
      <c r="Z1889" s="1"/>
      <c r="AA1889" s="1"/>
    </row>
    <row r="1890">
      <c r="A1890" s="1"/>
      <c r="B1890" s="14"/>
      <c r="C1890" s="2"/>
      <c r="D1890" s="2"/>
      <c r="E1890" s="2"/>
      <c r="F1890" s="2"/>
      <c r="G1890" s="2"/>
      <c r="H1890" s="3"/>
      <c r="I1890" s="2"/>
      <c r="J1890" s="2"/>
      <c r="K1890" s="4"/>
      <c r="L1890" s="4"/>
      <c r="M1890" s="2"/>
      <c r="N1890" s="2"/>
      <c r="O1890" s="2"/>
      <c r="P1890" s="2"/>
      <c r="Q1890" s="5"/>
      <c r="R1890" s="5"/>
      <c r="S1890" s="2"/>
      <c r="T1890" s="2"/>
      <c r="U1890" s="5"/>
      <c r="V1890" s="5"/>
      <c r="W1890" s="2"/>
      <c r="X1890" s="5"/>
      <c r="Y1890" s="1"/>
      <c r="Z1890" s="1"/>
      <c r="AA1890" s="1"/>
    </row>
    <row r="1891">
      <c r="A1891" s="1"/>
      <c r="B1891" s="14"/>
      <c r="C1891" s="2"/>
      <c r="D1891" s="2"/>
      <c r="E1891" s="2"/>
      <c r="F1891" s="2"/>
      <c r="G1891" s="2"/>
      <c r="H1891" s="3"/>
      <c r="I1891" s="2"/>
      <c r="J1891" s="2"/>
      <c r="K1891" s="4"/>
      <c r="L1891" s="4"/>
      <c r="M1891" s="2"/>
      <c r="N1891" s="2"/>
      <c r="O1891" s="2"/>
      <c r="P1891" s="2"/>
      <c r="Q1891" s="5"/>
      <c r="R1891" s="5"/>
      <c r="S1891" s="2"/>
      <c r="T1891" s="2"/>
      <c r="U1891" s="5"/>
      <c r="V1891" s="5"/>
      <c r="W1891" s="2"/>
      <c r="X1891" s="5"/>
      <c r="Y1891" s="1"/>
      <c r="Z1891" s="1"/>
      <c r="AA1891" s="1"/>
    </row>
    <row r="1892">
      <c r="A1892" s="1"/>
      <c r="B1892" s="14"/>
      <c r="C1892" s="2"/>
      <c r="D1892" s="2"/>
      <c r="E1892" s="2"/>
      <c r="F1892" s="2"/>
      <c r="G1892" s="2"/>
      <c r="H1892" s="3"/>
      <c r="I1892" s="2"/>
      <c r="J1892" s="2"/>
      <c r="K1892" s="4"/>
      <c r="L1892" s="4"/>
      <c r="M1892" s="2"/>
      <c r="N1892" s="2"/>
      <c r="O1892" s="2"/>
      <c r="P1892" s="2"/>
      <c r="Q1892" s="5"/>
      <c r="R1892" s="5"/>
      <c r="S1892" s="2"/>
      <c r="T1892" s="2"/>
      <c r="U1892" s="5"/>
      <c r="V1892" s="5"/>
      <c r="W1892" s="2"/>
      <c r="X1892" s="5"/>
      <c r="Y1892" s="1"/>
      <c r="Z1892" s="1"/>
      <c r="AA1892" s="1"/>
    </row>
    <row r="1893">
      <c r="A1893" s="1"/>
      <c r="B1893" s="14"/>
      <c r="C1893" s="2"/>
      <c r="D1893" s="2"/>
      <c r="E1893" s="2"/>
      <c r="F1893" s="2"/>
      <c r="G1893" s="2"/>
      <c r="H1893" s="3"/>
      <c r="I1893" s="2"/>
      <c r="J1893" s="2"/>
      <c r="K1893" s="4"/>
      <c r="L1893" s="4"/>
      <c r="M1893" s="2"/>
      <c r="N1893" s="2"/>
      <c r="O1893" s="2"/>
      <c r="P1893" s="2"/>
      <c r="Q1893" s="5"/>
      <c r="R1893" s="5"/>
      <c r="S1893" s="2"/>
      <c r="T1893" s="2"/>
      <c r="U1893" s="5"/>
      <c r="V1893" s="5"/>
      <c r="W1893" s="2"/>
      <c r="X1893" s="5"/>
      <c r="Y1893" s="1"/>
      <c r="Z1893" s="1"/>
      <c r="AA1893" s="1"/>
    </row>
    <row r="1894">
      <c r="A1894" s="1"/>
      <c r="B1894" s="14"/>
      <c r="C1894" s="2"/>
      <c r="D1894" s="2"/>
      <c r="E1894" s="2"/>
      <c r="F1894" s="2"/>
      <c r="G1894" s="2"/>
      <c r="H1894" s="3"/>
      <c r="I1894" s="2"/>
      <c r="J1894" s="2"/>
      <c r="K1894" s="4"/>
      <c r="L1894" s="4"/>
      <c r="M1894" s="2"/>
      <c r="N1894" s="2"/>
      <c r="O1894" s="2"/>
      <c r="P1894" s="2"/>
      <c r="Q1894" s="5"/>
      <c r="R1894" s="5"/>
      <c r="S1894" s="2"/>
      <c r="T1894" s="2"/>
      <c r="U1894" s="5"/>
      <c r="V1894" s="5"/>
      <c r="W1894" s="2"/>
      <c r="X1894" s="5"/>
      <c r="Y1894" s="1"/>
      <c r="Z1894" s="1"/>
      <c r="AA1894" s="1"/>
    </row>
    <row r="1895">
      <c r="A1895" s="1"/>
      <c r="B1895" s="14"/>
      <c r="C1895" s="2"/>
      <c r="D1895" s="2"/>
      <c r="E1895" s="2"/>
      <c r="F1895" s="2"/>
      <c r="G1895" s="2"/>
      <c r="H1895" s="3"/>
      <c r="I1895" s="2"/>
      <c r="J1895" s="2"/>
      <c r="K1895" s="4"/>
      <c r="L1895" s="4"/>
      <c r="M1895" s="2"/>
      <c r="N1895" s="2"/>
      <c r="O1895" s="2"/>
      <c r="P1895" s="2"/>
      <c r="Q1895" s="5"/>
      <c r="R1895" s="5"/>
      <c r="S1895" s="2"/>
      <c r="T1895" s="2"/>
      <c r="U1895" s="5"/>
      <c r="V1895" s="5"/>
      <c r="W1895" s="2"/>
      <c r="X1895" s="5"/>
      <c r="Y1895" s="1"/>
      <c r="Z1895" s="1"/>
      <c r="AA1895" s="1"/>
    </row>
    <row r="1896">
      <c r="A1896" s="1"/>
      <c r="B1896" s="14"/>
      <c r="C1896" s="2"/>
      <c r="D1896" s="2"/>
      <c r="E1896" s="2"/>
      <c r="F1896" s="2"/>
      <c r="G1896" s="2"/>
      <c r="H1896" s="3"/>
      <c r="I1896" s="2"/>
      <c r="J1896" s="2"/>
      <c r="K1896" s="4"/>
      <c r="L1896" s="4"/>
      <c r="M1896" s="2"/>
      <c r="N1896" s="2"/>
      <c r="O1896" s="2"/>
      <c r="P1896" s="2"/>
      <c r="Q1896" s="5"/>
      <c r="R1896" s="5"/>
      <c r="S1896" s="2"/>
      <c r="T1896" s="2"/>
      <c r="U1896" s="5"/>
      <c r="V1896" s="5"/>
      <c r="W1896" s="2"/>
      <c r="X1896" s="5"/>
      <c r="Y1896" s="1"/>
      <c r="Z1896" s="1"/>
      <c r="AA1896" s="1"/>
    </row>
    <row r="1897">
      <c r="A1897" s="1"/>
      <c r="B1897" s="14"/>
      <c r="C1897" s="2"/>
      <c r="D1897" s="2"/>
      <c r="E1897" s="2"/>
      <c r="F1897" s="2"/>
      <c r="G1897" s="2"/>
      <c r="H1897" s="3"/>
      <c r="I1897" s="2"/>
      <c r="J1897" s="2"/>
      <c r="K1897" s="4"/>
      <c r="L1897" s="4"/>
      <c r="M1897" s="2"/>
      <c r="N1897" s="2"/>
      <c r="O1897" s="2"/>
      <c r="P1897" s="2"/>
      <c r="Q1897" s="5"/>
      <c r="R1897" s="5"/>
      <c r="S1897" s="2"/>
      <c r="T1897" s="2"/>
      <c r="U1897" s="5"/>
      <c r="V1897" s="5"/>
      <c r="W1897" s="2"/>
      <c r="X1897" s="5"/>
      <c r="Y1897" s="1"/>
      <c r="Z1897" s="1"/>
      <c r="AA1897" s="1"/>
    </row>
    <row r="1898">
      <c r="A1898" s="1"/>
      <c r="B1898" s="14"/>
      <c r="C1898" s="2"/>
      <c r="D1898" s="2"/>
      <c r="E1898" s="2"/>
      <c r="F1898" s="2"/>
      <c r="G1898" s="2"/>
      <c r="H1898" s="3"/>
      <c r="I1898" s="2"/>
      <c r="J1898" s="2"/>
      <c r="K1898" s="4"/>
      <c r="L1898" s="4"/>
      <c r="M1898" s="2"/>
      <c r="N1898" s="2"/>
      <c r="O1898" s="2"/>
      <c r="P1898" s="2"/>
      <c r="Q1898" s="5"/>
      <c r="R1898" s="5"/>
      <c r="S1898" s="2"/>
      <c r="T1898" s="2"/>
      <c r="U1898" s="5"/>
      <c r="V1898" s="5"/>
      <c r="W1898" s="2"/>
      <c r="X1898" s="5"/>
      <c r="Y1898" s="1"/>
      <c r="Z1898" s="1"/>
      <c r="AA1898" s="1"/>
    </row>
    <row r="1899">
      <c r="A1899" s="1"/>
      <c r="B1899" s="14"/>
      <c r="C1899" s="2"/>
      <c r="D1899" s="2"/>
      <c r="E1899" s="2"/>
      <c r="F1899" s="2"/>
      <c r="G1899" s="2"/>
      <c r="H1899" s="3"/>
      <c r="I1899" s="2"/>
      <c r="J1899" s="2"/>
      <c r="K1899" s="4"/>
      <c r="L1899" s="4"/>
      <c r="M1899" s="2"/>
      <c r="N1899" s="2"/>
      <c r="O1899" s="2"/>
      <c r="P1899" s="2"/>
      <c r="Q1899" s="5"/>
      <c r="R1899" s="5"/>
      <c r="S1899" s="2"/>
      <c r="T1899" s="2"/>
      <c r="U1899" s="5"/>
      <c r="V1899" s="5"/>
      <c r="W1899" s="2"/>
      <c r="X1899" s="5"/>
      <c r="Y1899" s="1"/>
      <c r="Z1899" s="1"/>
      <c r="AA1899" s="1"/>
    </row>
    <row r="1900">
      <c r="A1900" s="1"/>
      <c r="B1900" s="14"/>
      <c r="C1900" s="2"/>
      <c r="D1900" s="2"/>
      <c r="E1900" s="2"/>
      <c r="F1900" s="2"/>
      <c r="G1900" s="2"/>
      <c r="H1900" s="3"/>
      <c r="I1900" s="2"/>
      <c r="J1900" s="2"/>
      <c r="K1900" s="4"/>
      <c r="L1900" s="4"/>
      <c r="M1900" s="2"/>
      <c r="N1900" s="2"/>
      <c r="O1900" s="2"/>
      <c r="P1900" s="2"/>
      <c r="Q1900" s="5"/>
      <c r="R1900" s="5"/>
      <c r="S1900" s="2"/>
      <c r="T1900" s="2"/>
      <c r="U1900" s="5"/>
      <c r="V1900" s="5"/>
      <c r="W1900" s="2"/>
      <c r="X1900" s="5"/>
      <c r="Y1900" s="1"/>
      <c r="Z1900" s="1"/>
      <c r="AA1900" s="1"/>
    </row>
    <row r="1901">
      <c r="A1901" s="1"/>
      <c r="B1901" s="14"/>
      <c r="C1901" s="2"/>
      <c r="D1901" s="2"/>
      <c r="E1901" s="2"/>
      <c r="F1901" s="2"/>
      <c r="G1901" s="2"/>
      <c r="H1901" s="3"/>
      <c r="I1901" s="2"/>
      <c r="J1901" s="2"/>
      <c r="K1901" s="4"/>
      <c r="L1901" s="4"/>
      <c r="M1901" s="2"/>
      <c r="N1901" s="2"/>
      <c r="O1901" s="2"/>
      <c r="P1901" s="2"/>
      <c r="Q1901" s="5"/>
      <c r="R1901" s="5"/>
      <c r="S1901" s="2"/>
      <c r="T1901" s="2"/>
      <c r="U1901" s="5"/>
      <c r="V1901" s="5"/>
      <c r="W1901" s="2"/>
      <c r="X1901" s="5"/>
      <c r="Y1901" s="1"/>
      <c r="Z1901" s="1"/>
      <c r="AA1901" s="1"/>
    </row>
    <row r="1902">
      <c r="A1902" s="1"/>
      <c r="B1902" s="14"/>
      <c r="C1902" s="2"/>
      <c r="D1902" s="2"/>
      <c r="E1902" s="2"/>
      <c r="F1902" s="2"/>
      <c r="G1902" s="2"/>
      <c r="H1902" s="3"/>
      <c r="I1902" s="2"/>
      <c r="J1902" s="2"/>
      <c r="K1902" s="4"/>
      <c r="L1902" s="4"/>
      <c r="M1902" s="2"/>
      <c r="N1902" s="2"/>
      <c r="O1902" s="2"/>
      <c r="P1902" s="2"/>
      <c r="Q1902" s="5"/>
      <c r="R1902" s="5"/>
      <c r="S1902" s="2"/>
      <c r="T1902" s="2"/>
      <c r="U1902" s="5"/>
      <c r="V1902" s="5"/>
      <c r="W1902" s="2"/>
      <c r="X1902" s="5"/>
      <c r="Y1902" s="1"/>
      <c r="Z1902" s="1"/>
      <c r="AA1902" s="1"/>
    </row>
    <row r="1903">
      <c r="A1903" s="1"/>
      <c r="B1903" s="14"/>
      <c r="C1903" s="2"/>
      <c r="D1903" s="2"/>
      <c r="E1903" s="2"/>
      <c r="F1903" s="2"/>
      <c r="G1903" s="2"/>
      <c r="H1903" s="3"/>
      <c r="I1903" s="2"/>
      <c r="J1903" s="2"/>
      <c r="K1903" s="4"/>
      <c r="L1903" s="4"/>
      <c r="M1903" s="2"/>
      <c r="N1903" s="2"/>
      <c r="O1903" s="2"/>
      <c r="P1903" s="2"/>
      <c r="Q1903" s="5"/>
      <c r="R1903" s="5"/>
      <c r="S1903" s="2"/>
      <c r="T1903" s="2"/>
      <c r="U1903" s="5"/>
      <c r="V1903" s="5"/>
      <c r="W1903" s="2"/>
      <c r="X1903" s="5"/>
      <c r="Y1903" s="1"/>
      <c r="Z1903" s="1"/>
      <c r="AA1903" s="1"/>
    </row>
    <row r="1904">
      <c r="A1904" s="1"/>
      <c r="B1904" s="14"/>
      <c r="C1904" s="2"/>
      <c r="D1904" s="2"/>
      <c r="E1904" s="2"/>
      <c r="F1904" s="2"/>
      <c r="G1904" s="2"/>
      <c r="H1904" s="3"/>
      <c r="I1904" s="2"/>
      <c r="J1904" s="2"/>
      <c r="K1904" s="4"/>
      <c r="L1904" s="4"/>
      <c r="M1904" s="2"/>
      <c r="N1904" s="2"/>
      <c r="O1904" s="2"/>
      <c r="P1904" s="2"/>
      <c r="Q1904" s="5"/>
      <c r="R1904" s="5"/>
      <c r="S1904" s="2"/>
      <c r="T1904" s="2"/>
      <c r="U1904" s="5"/>
      <c r="V1904" s="5"/>
      <c r="W1904" s="2"/>
      <c r="X1904" s="5"/>
      <c r="Y1904" s="1"/>
      <c r="Z1904" s="1"/>
      <c r="AA1904" s="1"/>
    </row>
    <row r="1905">
      <c r="A1905" s="1"/>
      <c r="B1905" s="14"/>
      <c r="C1905" s="2"/>
      <c r="D1905" s="2"/>
      <c r="E1905" s="2"/>
      <c r="F1905" s="2"/>
      <c r="G1905" s="2"/>
      <c r="H1905" s="3"/>
      <c r="I1905" s="2"/>
      <c r="J1905" s="2"/>
      <c r="K1905" s="4"/>
      <c r="L1905" s="4"/>
      <c r="M1905" s="2"/>
      <c r="N1905" s="2"/>
      <c r="O1905" s="2"/>
      <c r="P1905" s="2"/>
      <c r="Q1905" s="5"/>
      <c r="R1905" s="5"/>
      <c r="S1905" s="2"/>
      <c r="T1905" s="2"/>
      <c r="U1905" s="5"/>
      <c r="V1905" s="5"/>
      <c r="W1905" s="2"/>
      <c r="X1905" s="5"/>
      <c r="Y1905" s="1"/>
      <c r="Z1905" s="1"/>
      <c r="AA1905" s="1"/>
    </row>
    <row r="1906">
      <c r="A1906" s="1"/>
      <c r="B1906" s="14"/>
      <c r="C1906" s="2"/>
      <c r="D1906" s="2"/>
      <c r="E1906" s="2"/>
      <c r="F1906" s="2"/>
      <c r="G1906" s="2"/>
      <c r="H1906" s="3"/>
      <c r="I1906" s="2"/>
      <c r="J1906" s="2"/>
      <c r="K1906" s="4"/>
      <c r="L1906" s="4"/>
      <c r="M1906" s="2"/>
      <c r="N1906" s="2"/>
      <c r="O1906" s="2"/>
      <c r="P1906" s="2"/>
      <c r="Q1906" s="5"/>
      <c r="R1906" s="5"/>
      <c r="S1906" s="2"/>
      <c r="T1906" s="2"/>
      <c r="U1906" s="5"/>
      <c r="V1906" s="5"/>
      <c r="W1906" s="2"/>
      <c r="X1906" s="5"/>
      <c r="Y1906" s="1"/>
      <c r="Z1906" s="1"/>
      <c r="AA1906" s="1"/>
    </row>
    <row r="1907">
      <c r="A1907" s="1"/>
      <c r="B1907" s="14"/>
      <c r="C1907" s="2"/>
      <c r="D1907" s="2"/>
      <c r="E1907" s="2"/>
      <c r="F1907" s="2"/>
      <c r="G1907" s="2"/>
      <c r="H1907" s="3"/>
      <c r="I1907" s="2"/>
      <c r="J1907" s="2"/>
      <c r="K1907" s="4"/>
      <c r="L1907" s="4"/>
      <c r="M1907" s="2"/>
      <c r="N1907" s="2"/>
      <c r="O1907" s="2"/>
      <c r="P1907" s="2"/>
      <c r="Q1907" s="5"/>
      <c r="R1907" s="5"/>
      <c r="S1907" s="2"/>
      <c r="T1907" s="2"/>
      <c r="U1907" s="5"/>
      <c r="V1907" s="5"/>
      <c r="W1907" s="2"/>
      <c r="X1907" s="5"/>
      <c r="Y1907" s="1"/>
      <c r="Z1907" s="1"/>
      <c r="AA1907" s="1"/>
    </row>
    <row r="1908">
      <c r="A1908" s="1"/>
      <c r="B1908" s="14"/>
      <c r="C1908" s="2"/>
      <c r="D1908" s="2"/>
      <c r="E1908" s="2"/>
      <c r="F1908" s="2"/>
      <c r="G1908" s="2"/>
      <c r="H1908" s="3"/>
      <c r="I1908" s="2"/>
      <c r="J1908" s="2"/>
      <c r="K1908" s="4"/>
      <c r="L1908" s="4"/>
      <c r="M1908" s="2"/>
      <c r="N1908" s="2"/>
      <c r="O1908" s="2"/>
      <c r="P1908" s="2"/>
      <c r="Q1908" s="5"/>
      <c r="R1908" s="5"/>
      <c r="S1908" s="2"/>
      <c r="T1908" s="2"/>
      <c r="U1908" s="5"/>
      <c r="V1908" s="5"/>
      <c r="W1908" s="2"/>
      <c r="X1908" s="5"/>
      <c r="Y1908" s="1"/>
      <c r="Z1908" s="1"/>
      <c r="AA1908" s="1"/>
    </row>
    <row r="1909">
      <c r="A1909" s="1"/>
      <c r="B1909" s="14"/>
      <c r="C1909" s="2"/>
      <c r="D1909" s="2"/>
      <c r="E1909" s="2"/>
      <c r="F1909" s="2"/>
      <c r="G1909" s="2"/>
      <c r="H1909" s="3"/>
      <c r="I1909" s="2"/>
      <c r="J1909" s="2"/>
      <c r="K1909" s="4"/>
      <c r="L1909" s="4"/>
      <c r="M1909" s="2"/>
      <c r="N1909" s="2"/>
      <c r="O1909" s="2"/>
      <c r="P1909" s="2"/>
      <c r="Q1909" s="5"/>
      <c r="R1909" s="5"/>
      <c r="S1909" s="2"/>
      <c r="T1909" s="2"/>
      <c r="U1909" s="5"/>
      <c r="V1909" s="5"/>
      <c r="W1909" s="2"/>
      <c r="X1909" s="5"/>
      <c r="Y1909" s="1"/>
      <c r="Z1909" s="1"/>
      <c r="AA1909" s="1"/>
    </row>
    <row r="1910">
      <c r="A1910" s="1"/>
      <c r="B1910" s="14"/>
      <c r="C1910" s="2"/>
      <c r="D1910" s="2"/>
      <c r="E1910" s="2"/>
      <c r="F1910" s="2"/>
      <c r="G1910" s="2"/>
      <c r="H1910" s="3"/>
      <c r="I1910" s="2"/>
      <c r="J1910" s="2"/>
      <c r="K1910" s="4"/>
      <c r="L1910" s="4"/>
      <c r="M1910" s="2"/>
      <c r="N1910" s="2"/>
      <c r="O1910" s="2"/>
      <c r="P1910" s="2"/>
      <c r="Q1910" s="5"/>
      <c r="R1910" s="5"/>
      <c r="S1910" s="2"/>
      <c r="T1910" s="2"/>
      <c r="U1910" s="5"/>
      <c r="V1910" s="5"/>
      <c r="W1910" s="2"/>
      <c r="X1910" s="5"/>
      <c r="Y1910" s="1"/>
      <c r="Z1910" s="1"/>
      <c r="AA1910" s="1"/>
    </row>
    <row r="1911">
      <c r="A1911" s="1"/>
      <c r="B1911" s="14"/>
      <c r="C1911" s="2"/>
      <c r="D1911" s="2"/>
      <c r="E1911" s="2"/>
      <c r="F1911" s="2"/>
      <c r="G1911" s="2"/>
      <c r="H1911" s="3"/>
      <c r="I1911" s="2"/>
      <c r="J1911" s="2"/>
      <c r="K1911" s="4"/>
      <c r="L1911" s="4"/>
      <c r="M1911" s="2"/>
      <c r="N1911" s="2"/>
      <c r="O1911" s="2"/>
      <c r="P1911" s="2"/>
      <c r="Q1911" s="5"/>
      <c r="R1911" s="5"/>
      <c r="S1911" s="2"/>
      <c r="T1911" s="2"/>
      <c r="U1911" s="5"/>
      <c r="V1911" s="5"/>
      <c r="W1911" s="2"/>
      <c r="X1911" s="5"/>
      <c r="Y1911" s="1"/>
      <c r="Z1911" s="1"/>
      <c r="AA1911" s="1"/>
    </row>
    <row r="1912">
      <c r="A1912" s="1"/>
      <c r="B1912" s="14"/>
      <c r="C1912" s="2"/>
      <c r="D1912" s="2"/>
      <c r="E1912" s="2"/>
      <c r="F1912" s="2"/>
      <c r="G1912" s="2"/>
      <c r="H1912" s="3"/>
      <c r="I1912" s="2"/>
      <c r="J1912" s="2"/>
      <c r="K1912" s="4"/>
      <c r="L1912" s="4"/>
      <c r="M1912" s="2"/>
      <c r="N1912" s="2"/>
      <c r="O1912" s="2"/>
      <c r="P1912" s="2"/>
      <c r="Q1912" s="5"/>
      <c r="R1912" s="5"/>
      <c r="S1912" s="2"/>
      <c r="T1912" s="2"/>
      <c r="U1912" s="5"/>
      <c r="V1912" s="5"/>
      <c r="W1912" s="2"/>
      <c r="X1912" s="5"/>
      <c r="Y1912" s="1"/>
      <c r="Z1912" s="1"/>
      <c r="AA1912" s="1"/>
    </row>
    <row r="1913">
      <c r="A1913" s="1"/>
      <c r="B1913" s="14"/>
      <c r="C1913" s="2"/>
      <c r="D1913" s="2"/>
      <c r="E1913" s="2"/>
      <c r="F1913" s="2"/>
      <c r="G1913" s="2"/>
      <c r="H1913" s="3"/>
      <c r="I1913" s="2"/>
      <c r="J1913" s="2"/>
      <c r="K1913" s="4"/>
      <c r="L1913" s="4"/>
      <c r="M1913" s="2"/>
      <c r="N1913" s="2"/>
      <c r="O1913" s="2"/>
      <c r="P1913" s="2"/>
      <c r="Q1913" s="5"/>
      <c r="R1913" s="5"/>
      <c r="S1913" s="2"/>
      <c r="T1913" s="2"/>
      <c r="U1913" s="5"/>
      <c r="V1913" s="5"/>
      <c r="W1913" s="2"/>
      <c r="X1913" s="5"/>
      <c r="Y1913" s="1"/>
      <c r="Z1913" s="1"/>
      <c r="AA1913" s="1"/>
    </row>
    <row r="1914">
      <c r="A1914" s="1"/>
      <c r="B1914" s="14"/>
      <c r="C1914" s="2"/>
      <c r="D1914" s="2"/>
      <c r="E1914" s="2"/>
      <c r="F1914" s="2"/>
      <c r="G1914" s="2"/>
      <c r="H1914" s="3"/>
      <c r="I1914" s="2"/>
      <c r="J1914" s="2"/>
      <c r="K1914" s="4"/>
      <c r="L1914" s="4"/>
      <c r="M1914" s="2"/>
      <c r="N1914" s="2"/>
      <c r="O1914" s="2"/>
      <c r="P1914" s="2"/>
      <c r="Q1914" s="5"/>
      <c r="R1914" s="5"/>
      <c r="S1914" s="2"/>
      <c r="T1914" s="2"/>
      <c r="U1914" s="5"/>
      <c r="V1914" s="5"/>
      <c r="W1914" s="2"/>
      <c r="X1914" s="5"/>
      <c r="Y1914" s="1"/>
      <c r="Z1914" s="1"/>
      <c r="AA1914" s="1"/>
    </row>
    <row r="1915">
      <c r="A1915" s="1"/>
      <c r="B1915" s="14"/>
      <c r="C1915" s="2"/>
      <c r="D1915" s="2"/>
      <c r="E1915" s="2"/>
      <c r="F1915" s="2"/>
      <c r="G1915" s="2"/>
      <c r="H1915" s="3"/>
      <c r="I1915" s="2"/>
      <c r="J1915" s="2"/>
      <c r="K1915" s="4"/>
      <c r="L1915" s="4"/>
      <c r="M1915" s="2"/>
      <c r="N1915" s="2"/>
      <c r="O1915" s="2"/>
      <c r="P1915" s="2"/>
      <c r="Q1915" s="5"/>
      <c r="R1915" s="5"/>
      <c r="S1915" s="2"/>
      <c r="T1915" s="2"/>
      <c r="U1915" s="5"/>
      <c r="V1915" s="5"/>
      <c r="W1915" s="2"/>
      <c r="X1915" s="5"/>
      <c r="Y1915" s="1"/>
      <c r="Z1915" s="1"/>
      <c r="AA1915" s="1"/>
    </row>
    <row r="1916">
      <c r="A1916" s="1"/>
      <c r="B1916" s="14"/>
      <c r="C1916" s="2"/>
      <c r="D1916" s="2"/>
      <c r="E1916" s="2"/>
      <c r="F1916" s="2"/>
      <c r="G1916" s="2"/>
      <c r="H1916" s="3"/>
      <c r="I1916" s="2"/>
      <c r="J1916" s="2"/>
      <c r="K1916" s="4"/>
      <c r="L1916" s="4"/>
      <c r="M1916" s="2"/>
      <c r="N1916" s="2"/>
      <c r="O1916" s="2"/>
      <c r="P1916" s="2"/>
      <c r="Q1916" s="5"/>
      <c r="R1916" s="5"/>
      <c r="S1916" s="2"/>
      <c r="T1916" s="2"/>
      <c r="U1916" s="5"/>
      <c r="V1916" s="5"/>
      <c r="W1916" s="2"/>
      <c r="X1916" s="5"/>
      <c r="Y1916" s="1"/>
      <c r="Z1916" s="1"/>
      <c r="AA1916" s="1"/>
    </row>
    <row r="1917">
      <c r="A1917" s="1"/>
      <c r="B1917" s="14"/>
      <c r="C1917" s="2"/>
      <c r="D1917" s="2"/>
      <c r="E1917" s="2"/>
      <c r="F1917" s="2"/>
      <c r="G1917" s="2"/>
      <c r="H1917" s="3"/>
      <c r="I1917" s="2"/>
      <c r="J1917" s="2"/>
      <c r="K1917" s="4"/>
      <c r="L1917" s="4"/>
      <c r="M1917" s="2"/>
      <c r="N1917" s="2"/>
      <c r="O1917" s="2"/>
      <c r="P1917" s="2"/>
      <c r="Q1917" s="5"/>
      <c r="R1917" s="5"/>
      <c r="S1917" s="2"/>
      <c r="T1917" s="2"/>
      <c r="U1917" s="5"/>
      <c r="V1917" s="5"/>
      <c r="W1917" s="2"/>
      <c r="X1917" s="5"/>
      <c r="Y1917" s="1"/>
      <c r="Z1917" s="1"/>
      <c r="AA1917" s="1"/>
    </row>
    <row r="1918">
      <c r="A1918" s="1"/>
      <c r="B1918" s="14"/>
      <c r="C1918" s="2"/>
      <c r="D1918" s="2"/>
      <c r="E1918" s="2"/>
      <c r="F1918" s="2"/>
      <c r="G1918" s="2"/>
      <c r="H1918" s="3"/>
      <c r="I1918" s="2"/>
      <c r="J1918" s="2"/>
      <c r="K1918" s="4"/>
      <c r="L1918" s="4"/>
      <c r="M1918" s="2"/>
      <c r="N1918" s="2"/>
      <c r="O1918" s="2"/>
      <c r="P1918" s="2"/>
      <c r="Q1918" s="5"/>
      <c r="R1918" s="5"/>
      <c r="S1918" s="2"/>
      <c r="T1918" s="2"/>
      <c r="U1918" s="5"/>
      <c r="V1918" s="5"/>
      <c r="W1918" s="2"/>
      <c r="X1918" s="5"/>
      <c r="Y1918" s="1"/>
      <c r="Z1918" s="1"/>
      <c r="AA1918" s="1"/>
    </row>
    <row r="1919">
      <c r="A1919" s="1"/>
      <c r="B1919" s="14"/>
      <c r="C1919" s="2"/>
      <c r="D1919" s="2"/>
      <c r="E1919" s="2"/>
      <c r="F1919" s="2"/>
      <c r="G1919" s="2"/>
      <c r="H1919" s="3"/>
      <c r="I1919" s="2"/>
      <c r="J1919" s="2"/>
      <c r="K1919" s="4"/>
      <c r="L1919" s="4"/>
      <c r="M1919" s="2"/>
      <c r="N1919" s="2"/>
      <c r="O1919" s="2"/>
      <c r="P1919" s="2"/>
      <c r="Q1919" s="5"/>
      <c r="R1919" s="5"/>
      <c r="S1919" s="2"/>
      <c r="T1919" s="2"/>
      <c r="U1919" s="5"/>
      <c r="V1919" s="5"/>
      <c r="W1919" s="2"/>
      <c r="X1919" s="5"/>
      <c r="Y1919" s="1"/>
      <c r="Z1919" s="1"/>
      <c r="AA1919" s="1"/>
    </row>
    <row r="1920">
      <c r="A1920" s="1"/>
      <c r="B1920" s="14"/>
      <c r="C1920" s="2"/>
      <c r="D1920" s="2"/>
      <c r="E1920" s="2"/>
      <c r="F1920" s="2"/>
      <c r="G1920" s="2"/>
      <c r="H1920" s="3"/>
      <c r="I1920" s="2"/>
      <c r="J1920" s="2"/>
      <c r="K1920" s="4"/>
      <c r="L1920" s="4"/>
      <c r="M1920" s="2"/>
      <c r="N1920" s="2"/>
      <c r="O1920" s="2"/>
      <c r="P1920" s="2"/>
      <c r="Q1920" s="5"/>
      <c r="R1920" s="5"/>
      <c r="S1920" s="2"/>
      <c r="T1920" s="2"/>
      <c r="U1920" s="5"/>
      <c r="V1920" s="5"/>
      <c r="W1920" s="2"/>
      <c r="X1920" s="5"/>
      <c r="Y1920" s="1"/>
      <c r="Z1920" s="1"/>
      <c r="AA1920" s="1"/>
    </row>
    <row r="1921">
      <c r="A1921" s="1"/>
      <c r="B1921" s="14"/>
      <c r="C1921" s="2"/>
      <c r="D1921" s="2"/>
      <c r="E1921" s="2"/>
      <c r="F1921" s="2"/>
      <c r="G1921" s="2"/>
      <c r="H1921" s="3"/>
      <c r="I1921" s="2"/>
      <c r="J1921" s="2"/>
      <c r="K1921" s="4"/>
      <c r="L1921" s="4"/>
      <c r="M1921" s="2"/>
      <c r="N1921" s="2"/>
      <c r="O1921" s="2"/>
      <c r="P1921" s="2"/>
      <c r="Q1921" s="5"/>
      <c r="R1921" s="5"/>
      <c r="S1921" s="2"/>
      <c r="T1921" s="2"/>
      <c r="U1921" s="5"/>
      <c r="V1921" s="5"/>
      <c r="W1921" s="2"/>
      <c r="X1921" s="5"/>
      <c r="Y1921" s="1"/>
      <c r="Z1921" s="1"/>
      <c r="AA1921" s="1"/>
    </row>
    <row r="1922">
      <c r="A1922" s="1"/>
      <c r="B1922" s="14"/>
      <c r="C1922" s="2"/>
      <c r="D1922" s="2"/>
      <c r="E1922" s="2"/>
      <c r="F1922" s="2"/>
      <c r="G1922" s="2"/>
      <c r="H1922" s="3"/>
      <c r="I1922" s="2"/>
      <c r="J1922" s="2"/>
      <c r="K1922" s="4"/>
      <c r="L1922" s="4"/>
      <c r="M1922" s="2"/>
      <c r="N1922" s="2"/>
      <c r="O1922" s="2"/>
      <c r="P1922" s="2"/>
      <c r="Q1922" s="5"/>
      <c r="R1922" s="5"/>
      <c r="S1922" s="2"/>
      <c r="T1922" s="2"/>
      <c r="U1922" s="5"/>
      <c r="V1922" s="5"/>
      <c r="W1922" s="2"/>
      <c r="X1922" s="5"/>
      <c r="Y1922" s="1"/>
      <c r="Z1922" s="1"/>
      <c r="AA1922" s="1"/>
    </row>
    <row r="1923">
      <c r="A1923" s="1"/>
      <c r="B1923" s="14"/>
      <c r="C1923" s="2"/>
      <c r="D1923" s="2"/>
      <c r="E1923" s="2"/>
      <c r="F1923" s="2"/>
      <c r="G1923" s="2"/>
      <c r="H1923" s="3"/>
      <c r="I1923" s="2"/>
      <c r="J1923" s="2"/>
      <c r="K1923" s="4"/>
      <c r="L1923" s="4"/>
      <c r="M1923" s="2"/>
      <c r="N1923" s="2"/>
      <c r="O1923" s="2"/>
      <c r="P1923" s="2"/>
      <c r="Q1923" s="5"/>
      <c r="R1923" s="5"/>
      <c r="S1923" s="2"/>
      <c r="T1923" s="2"/>
      <c r="U1923" s="5"/>
      <c r="V1923" s="5"/>
      <c r="W1923" s="2"/>
      <c r="X1923" s="5"/>
      <c r="Y1923" s="1"/>
      <c r="Z1923" s="1"/>
      <c r="AA1923" s="1"/>
    </row>
    <row r="1924">
      <c r="A1924" s="1"/>
      <c r="B1924" s="14"/>
      <c r="C1924" s="2"/>
      <c r="D1924" s="2"/>
      <c r="E1924" s="2"/>
      <c r="F1924" s="2"/>
      <c r="G1924" s="2"/>
      <c r="H1924" s="3"/>
      <c r="I1924" s="2"/>
      <c r="J1924" s="2"/>
      <c r="K1924" s="4"/>
      <c r="L1924" s="4"/>
      <c r="M1924" s="2"/>
      <c r="N1924" s="2"/>
      <c r="O1924" s="2"/>
      <c r="P1924" s="2"/>
      <c r="Q1924" s="5"/>
      <c r="R1924" s="5"/>
      <c r="S1924" s="2"/>
      <c r="T1924" s="2"/>
      <c r="U1924" s="5"/>
      <c r="V1924" s="5"/>
      <c r="W1924" s="2"/>
      <c r="X1924" s="5"/>
      <c r="Y1924" s="1"/>
      <c r="Z1924" s="1"/>
      <c r="AA1924" s="1"/>
    </row>
    <row r="1925">
      <c r="A1925" s="1"/>
      <c r="B1925" s="14"/>
      <c r="C1925" s="2"/>
      <c r="D1925" s="2"/>
      <c r="E1925" s="2"/>
      <c r="F1925" s="2"/>
      <c r="G1925" s="2"/>
      <c r="H1925" s="3"/>
      <c r="I1925" s="2"/>
      <c r="J1925" s="2"/>
      <c r="K1925" s="4"/>
      <c r="L1925" s="4"/>
      <c r="M1925" s="2"/>
      <c r="N1925" s="2"/>
      <c r="O1925" s="2"/>
      <c r="P1925" s="2"/>
      <c r="Q1925" s="5"/>
      <c r="R1925" s="5"/>
      <c r="S1925" s="2"/>
      <c r="T1925" s="2"/>
      <c r="U1925" s="5"/>
      <c r="V1925" s="5"/>
      <c r="W1925" s="2"/>
      <c r="X1925" s="5"/>
      <c r="Y1925" s="1"/>
      <c r="Z1925" s="1"/>
      <c r="AA1925" s="1"/>
    </row>
    <row r="1926">
      <c r="A1926" s="1"/>
      <c r="B1926" s="14"/>
      <c r="C1926" s="2"/>
      <c r="D1926" s="2"/>
      <c r="E1926" s="2"/>
      <c r="F1926" s="2"/>
      <c r="G1926" s="2"/>
      <c r="H1926" s="3"/>
      <c r="I1926" s="2"/>
      <c r="J1926" s="2"/>
      <c r="K1926" s="4"/>
      <c r="L1926" s="4"/>
      <c r="M1926" s="2"/>
      <c r="N1926" s="2"/>
      <c r="O1926" s="2"/>
      <c r="P1926" s="2"/>
      <c r="Q1926" s="5"/>
      <c r="R1926" s="5"/>
      <c r="S1926" s="2"/>
      <c r="T1926" s="2"/>
      <c r="U1926" s="5"/>
      <c r="V1926" s="5"/>
      <c r="W1926" s="2"/>
      <c r="X1926" s="5"/>
      <c r="Y1926" s="1"/>
      <c r="Z1926" s="1"/>
      <c r="AA1926" s="1"/>
    </row>
    <row r="1927">
      <c r="A1927" s="1"/>
      <c r="B1927" s="14"/>
      <c r="C1927" s="2"/>
      <c r="D1927" s="2"/>
      <c r="E1927" s="2"/>
      <c r="F1927" s="2"/>
      <c r="G1927" s="2"/>
      <c r="H1927" s="3"/>
      <c r="I1927" s="2"/>
      <c r="J1927" s="2"/>
      <c r="K1927" s="4"/>
      <c r="L1927" s="4"/>
      <c r="M1927" s="2"/>
      <c r="N1927" s="2"/>
      <c r="O1927" s="2"/>
      <c r="P1927" s="2"/>
      <c r="Q1927" s="5"/>
      <c r="R1927" s="5"/>
      <c r="S1927" s="2"/>
      <c r="T1927" s="2"/>
      <c r="U1927" s="5"/>
      <c r="V1927" s="5"/>
      <c r="W1927" s="2"/>
      <c r="X1927" s="5"/>
      <c r="Y1927" s="1"/>
      <c r="Z1927" s="1"/>
      <c r="AA1927" s="1"/>
    </row>
    <row r="1928">
      <c r="A1928" s="1"/>
      <c r="B1928" s="14"/>
      <c r="C1928" s="2"/>
      <c r="D1928" s="2"/>
      <c r="E1928" s="2"/>
      <c r="F1928" s="2"/>
      <c r="G1928" s="2"/>
      <c r="H1928" s="3"/>
      <c r="I1928" s="2"/>
      <c r="J1928" s="2"/>
      <c r="K1928" s="4"/>
      <c r="L1928" s="4"/>
      <c r="M1928" s="2"/>
      <c r="N1928" s="2"/>
      <c r="O1928" s="2"/>
      <c r="P1928" s="2"/>
      <c r="Q1928" s="5"/>
      <c r="R1928" s="5"/>
      <c r="S1928" s="2"/>
      <c r="T1928" s="2"/>
      <c r="U1928" s="5"/>
      <c r="V1928" s="5"/>
      <c r="W1928" s="2"/>
      <c r="X1928" s="5"/>
      <c r="Y1928" s="1"/>
      <c r="Z1928" s="1"/>
      <c r="AA1928" s="1"/>
    </row>
    <row r="1929">
      <c r="A1929" s="1"/>
      <c r="B1929" s="14"/>
      <c r="C1929" s="2"/>
      <c r="D1929" s="2"/>
      <c r="E1929" s="2"/>
      <c r="F1929" s="2"/>
      <c r="G1929" s="2"/>
      <c r="H1929" s="3"/>
      <c r="I1929" s="2"/>
      <c r="J1929" s="2"/>
      <c r="K1929" s="4"/>
      <c r="L1929" s="4"/>
      <c r="M1929" s="2"/>
      <c r="N1929" s="2"/>
      <c r="O1929" s="2"/>
      <c r="P1929" s="2"/>
      <c r="Q1929" s="5"/>
      <c r="R1929" s="5"/>
      <c r="S1929" s="2"/>
      <c r="T1929" s="2"/>
      <c r="U1929" s="5"/>
      <c r="V1929" s="5"/>
      <c r="W1929" s="2"/>
      <c r="X1929" s="5"/>
      <c r="Y1929" s="1"/>
      <c r="Z1929" s="1"/>
      <c r="AA1929" s="1"/>
    </row>
    <row r="1930">
      <c r="A1930" s="1"/>
      <c r="B1930" s="14"/>
      <c r="C1930" s="2"/>
      <c r="D1930" s="2"/>
      <c r="E1930" s="2"/>
      <c r="F1930" s="2"/>
      <c r="G1930" s="2"/>
      <c r="H1930" s="3"/>
      <c r="I1930" s="2"/>
      <c r="J1930" s="2"/>
      <c r="K1930" s="4"/>
      <c r="L1930" s="4"/>
      <c r="M1930" s="2"/>
      <c r="N1930" s="2"/>
      <c r="O1930" s="2"/>
      <c r="P1930" s="2"/>
      <c r="Q1930" s="5"/>
      <c r="R1930" s="5"/>
      <c r="S1930" s="2"/>
      <c r="T1930" s="2"/>
      <c r="U1930" s="5"/>
      <c r="V1930" s="5"/>
      <c r="W1930" s="2"/>
      <c r="X1930" s="5"/>
      <c r="Y1930" s="1"/>
      <c r="Z1930" s="1"/>
      <c r="AA1930" s="1"/>
    </row>
    <row r="1931">
      <c r="A1931" s="1"/>
      <c r="B1931" s="14"/>
      <c r="C1931" s="2"/>
      <c r="D1931" s="2"/>
      <c r="E1931" s="2"/>
      <c r="F1931" s="2"/>
      <c r="G1931" s="2"/>
      <c r="H1931" s="3"/>
      <c r="I1931" s="2"/>
      <c r="J1931" s="2"/>
      <c r="K1931" s="4"/>
      <c r="L1931" s="4"/>
      <c r="M1931" s="2"/>
      <c r="N1931" s="2"/>
      <c r="O1931" s="2"/>
      <c r="P1931" s="2"/>
      <c r="Q1931" s="5"/>
      <c r="R1931" s="5"/>
      <c r="S1931" s="2"/>
      <c r="T1931" s="2"/>
      <c r="U1931" s="5"/>
      <c r="V1931" s="5"/>
      <c r="W1931" s="2"/>
      <c r="X1931" s="5"/>
      <c r="Y1931" s="1"/>
      <c r="Z1931" s="1"/>
      <c r="AA1931" s="1"/>
    </row>
    <row r="1932">
      <c r="A1932" s="1"/>
      <c r="B1932" s="14"/>
      <c r="C1932" s="2"/>
      <c r="D1932" s="2"/>
      <c r="E1932" s="2"/>
      <c r="F1932" s="2"/>
      <c r="G1932" s="2"/>
      <c r="H1932" s="3"/>
      <c r="I1932" s="2"/>
      <c r="J1932" s="2"/>
      <c r="K1932" s="4"/>
      <c r="L1932" s="4"/>
      <c r="M1932" s="2"/>
      <c r="N1932" s="2"/>
      <c r="O1932" s="2"/>
      <c r="P1932" s="2"/>
      <c r="Q1932" s="5"/>
      <c r="R1932" s="5"/>
      <c r="S1932" s="2"/>
      <c r="T1932" s="2"/>
      <c r="U1932" s="5"/>
      <c r="V1932" s="5"/>
      <c r="W1932" s="2"/>
      <c r="X1932" s="5"/>
      <c r="Y1932" s="1"/>
      <c r="Z1932" s="1"/>
      <c r="AA1932" s="1"/>
    </row>
    <row r="1933">
      <c r="A1933" s="1"/>
      <c r="B1933" s="14"/>
      <c r="C1933" s="2"/>
      <c r="D1933" s="2"/>
      <c r="E1933" s="2"/>
      <c r="F1933" s="2"/>
      <c r="G1933" s="2"/>
      <c r="H1933" s="3"/>
      <c r="I1933" s="2"/>
      <c r="J1933" s="2"/>
      <c r="K1933" s="4"/>
      <c r="L1933" s="4"/>
      <c r="M1933" s="2"/>
      <c r="N1933" s="2"/>
      <c r="O1933" s="2"/>
      <c r="P1933" s="2"/>
      <c r="Q1933" s="5"/>
      <c r="R1933" s="5"/>
      <c r="S1933" s="2"/>
      <c r="T1933" s="2"/>
      <c r="U1933" s="5"/>
      <c r="V1933" s="5"/>
      <c r="W1933" s="2"/>
      <c r="X1933" s="5"/>
      <c r="Y1933" s="1"/>
      <c r="Z1933" s="1"/>
      <c r="AA1933" s="1"/>
    </row>
    <row r="1934">
      <c r="A1934" s="1"/>
      <c r="B1934" s="14"/>
      <c r="C1934" s="2"/>
      <c r="D1934" s="2"/>
      <c r="E1934" s="2"/>
      <c r="F1934" s="2"/>
      <c r="G1934" s="2"/>
      <c r="H1934" s="3"/>
      <c r="I1934" s="2"/>
      <c r="J1934" s="2"/>
      <c r="K1934" s="4"/>
      <c r="L1934" s="4"/>
      <c r="M1934" s="2"/>
      <c r="N1934" s="2"/>
      <c r="O1934" s="2"/>
      <c r="P1934" s="2"/>
      <c r="Q1934" s="5"/>
      <c r="R1934" s="5"/>
      <c r="S1934" s="2"/>
      <c r="T1934" s="2"/>
      <c r="U1934" s="5"/>
      <c r="V1934" s="5"/>
      <c r="W1934" s="2"/>
      <c r="X1934" s="5"/>
      <c r="Y1934" s="1"/>
      <c r="Z1934" s="1"/>
      <c r="AA1934" s="1"/>
    </row>
    <row r="1935">
      <c r="A1935" s="1"/>
      <c r="B1935" s="14"/>
      <c r="C1935" s="2"/>
      <c r="D1935" s="2"/>
      <c r="E1935" s="2"/>
      <c r="F1935" s="2"/>
      <c r="G1935" s="2"/>
      <c r="H1935" s="3"/>
      <c r="I1935" s="2"/>
      <c r="J1935" s="2"/>
      <c r="K1935" s="4"/>
      <c r="L1935" s="4"/>
      <c r="M1935" s="2"/>
      <c r="N1935" s="2"/>
      <c r="O1935" s="2"/>
      <c r="P1935" s="2"/>
      <c r="Q1935" s="5"/>
      <c r="R1935" s="5"/>
      <c r="S1935" s="2"/>
      <c r="T1935" s="2"/>
      <c r="U1935" s="5"/>
      <c r="V1935" s="5"/>
      <c r="W1935" s="2"/>
      <c r="X1935" s="5"/>
      <c r="Y1935" s="1"/>
      <c r="Z1935" s="1"/>
      <c r="AA1935" s="1"/>
    </row>
    <row r="1936">
      <c r="A1936" s="1"/>
      <c r="B1936" s="14"/>
      <c r="C1936" s="2"/>
      <c r="D1936" s="2"/>
      <c r="E1936" s="2"/>
      <c r="F1936" s="2"/>
      <c r="G1936" s="2"/>
      <c r="H1936" s="3"/>
      <c r="I1936" s="2"/>
      <c r="J1936" s="2"/>
      <c r="K1936" s="4"/>
      <c r="L1936" s="4"/>
      <c r="M1936" s="2"/>
      <c r="N1936" s="2"/>
      <c r="O1936" s="2"/>
      <c r="P1936" s="2"/>
      <c r="Q1936" s="5"/>
      <c r="R1936" s="5"/>
      <c r="S1936" s="2"/>
      <c r="T1936" s="2"/>
      <c r="U1936" s="5"/>
      <c r="V1936" s="5"/>
      <c r="W1936" s="2"/>
      <c r="X1936" s="5"/>
      <c r="Y1936" s="1"/>
      <c r="Z1936" s="1"/>
      <c r="AA1936" s="1"/>
    </row>
    <row r="1937">
      <c r="A1937" s="1"/>
      <c r="B1937" s="14"/>
      <c r="C1937" s="2"/>
      <c r="D1937" s="2"/>
      <c r="E1937" s="2"/>
      <c r="F1937" s="2"/>
      <c r="G1937" s="2"/>
      <c r="H1937" s="3"/>
      <c r="I1937" s="2"/>
      <c r="J1937" s="2"/>
      <c r="K1937" s="4"/>
      <c r="L1937" s="4"/>
      <c r="M1937" s="2"/>
      <c r="N1937" s="2"/>
      <c r="O1937" s="2"/>
      <c r="P1937" s="2"/>
      <c r="Q1937" s="5"/>
      <c r="R1937" s="5"/>
      <c r="S1937" s="2"/>
      <c r="T1937" s="2"/>
      <c r="U1937" s="5"/>
      <c r="V1937" s="5"/>
      <c r="W1937" s="2"/>
      <c r="X1937" s="5"/>
      <c r="Y1937" s="1"/>
      <c r="Z1937" s="1"/>
      <c r="AA1937" s="1"/>
    </row>
    <row r="1938">
      <c r="A1938" s="1"/>
      <c r="B1938" s="14"/>
      <c r="C1938" s="2"/>
      <c r="D1938" s="2"/>
      <c r="E1938" s="2"/>
      <c r="F1938" s="2"/>
      <c r="G1938" s="2"/>
      <c r="H1938" s="3"/>
      <c r="I1938" s="2"/>
      <c r="J1938" s="2"/>
      <c r="K1938" s="4"/>
      <c r="L1938" s="4"/>
      <c r="M1938" s="2"/>
      <c r="N1938" s="2"/>
      <c r="O1938" s="2"/>
      <c r="P1938" s="2"/>
      <c r="Q1938" s="5"/>
      <c r="R1938" s="5"/>
      <c r="S1938" s="2"/>
      <c r="T1938" s="2"/>
      <c r="U1938" s="5"/>
      <c r="V1938" s="5"/>
      <c r="W1938" s="2"/>
      <c r="X1938" s="5"/>
      <c r="Y1938" s="1"/>
      <c r="Z1938" s="1"/>
      <c r="AA1938" s="1"/>
    </row>
    <row r="1939">
      <c r="A1939" s="1"/>
      <c r="B1939" s="14"/>
      <c r="C1939" s="2"/>
      <c r="D1939" s="2"/>
      <c r="E1939" s="2"/>
      <c r="F1939" s="2"/>
      <c r="G1939" s="2"/>
      <c r="H1939" s="3"/>
      <c r="I1939" s="2"/>
      <c r="J1939" s="2"/>
      <c r="K1939" s="4"/>
      <c r="L1939" s="4"/>
      <c r="M1939" s="2"/>
      <c r="N1939" s="2"/>
      <c r="O1939" s="2"/>
      <c r="P1939" s="2"/>
      <c r="Q1939" s="5"/>
      <c r="R1939" s="5"/>
      <c r="S1939" s="2"/>
      <c r="T1939" s="2"/>
      <c r="U1939" s="5"/>
      <c r="V1939" s="5"/>
      <c r="W1939" s="2"/>
      <c r="X1939" s="5"/>
      <c r="Y1939" s="1"/>
      <c r="Z1939" s="1"/>
      <c r="AA1939" s="1"/>
    </row>
    <row r="1940">
      <c r="A1940" s="1"/>
      <c r="B1940" s="14"/>
      <c r="C1940" s="2"/>
      <c r="D1940" s="2"/>
      <c r="E1940" s="2"/>
      <c r="F1940" s="2"/>
      <c r="G1940" s="2"/>
      <c r="H1940" s="3"/>
      <c r="I1940" s="2"/>
      <c r="J1940" s="2"/>
      <c r="K1940" s="4"/>
      <c r="L1940" s="4"/>
      <c r="M1940" s="2"/>
      <c r="N1940" s="2"/>
      <c r="O1940" s="2"/>
      <c r="P1940" s="2"/>
      <c r="Q1940" s="5"/>
      <c r="R1940" s="5"/>
      <c r="S1940" s="2"/>
      <c r="T1940" s="2"/>
      <c r="U1940" s="5"/>
      <c r="V1940" s="5"/>
      <c r="W1940" s="2"/>
      <c r="X1940" s="5"/>
      <c r="Y1940" s="1"/>
      <c r="Z1940" s="1"/>
      <c r="AA1940" s="1"/>
    </row>
    <row r="1941">
      <c r="A1941" s="1"/>
      <c r="B1941" s="14"/>
      <c r="C1941" s="2"/>
      <c r="D1941" s="2"/>
      <c r="E1941" s="2"/>
      <c r="F1941" s="2"/>
      <c r="G1941" s="2"/>
      <c r="H1941" s="3"/>
      <c r="I1941" s="2"/>
      <c r="J1941" s="2"/>
      <c r="K1941" s="4"/>
      <c r="L1941" s="4"/>
      <c r="M1941" s="2"/>
      <c r="N1941" s="2"/>
      <c r="O1941" s="2"/>
      <c r="P1941" s="2"/>
      <c r="Q1941" s="5"/>
      <c r="R1941" s="5"/>
      <c r="S1941" s="2"/>
      <c r="T1941" s="2"/>
      <c r="U1941" s="5"/>
      <c r="V1941" s="5"/>
      <c r="W1941" s="2"/>
      <c r="X1941" s="5"/>
      <c r="Y1941" s="1"/>
      <c r="Z1941" s="1"/>
      <c r="AA1941" s="1"/>
    </row>
    <row r="1942">
      <c r="A1942" s="1"/>
      <c r="B1942" s="14"/>
      <c r="C1942" s="2"/>
      <c r="D1942" s="2"/>
      <c r="E1942" s="2"/>
      <c r="F1942" s="2"/>
      <c r="G1942" s="2"/>
      <c r="H1942" s="3"/>
      <c r="I1942" s="2"/>
      <c r="J1942" s="2"/>
      <c r="K1942" s="4"/>
      <c r="L1942" s="4"/>
      <c r="M1942" s="2"/>
      <c r="N1942" s="2"/>
      <c r="O1942" s="2"/>
      <c r="P1942" s="2"/>
      <c r="Q1942" s="5"/>
      <c r="R1942" s="5"/>
      <c r="S1942" s="2"/>
      <c r="T1942" s="2"/>
      <c r="U1942" s="5"/>
      <c r="V1942" s="5"/>
      <c r="W1942" s="2"/>
      <c r="X1942" s="5"/>
      <c r="Y1942" s="1"/>
      <c r="Z1942" s="1"/>
      <c r="AA1942" s="1"/>
    </row>
    <row r="1943">
      <c r="A1943" s="1"/>
      <c r="B1943" s="14"/>
      <c r="C1943" s="2"/>
      <c r="D1943" s="2"/>
      <c r="E1943" s="2"/>
      <c r="F1943" s="2"/>
      <c r="G1943" s="2"/>
      <c r="H1943" s="3"/>
      <c r="I1943" s="2"/>
      <c r="J1943" s="2"/>
      <c r="K1943" s="4"/>
      <c r="L1943" s="4"/>
      <c r="M1943" s="2"/>
      <c r="N1943" s="2"/>
      <c r="O1943" s="2"/>
      <c r="P1943" s="2"/>
      <c r="Q1943" s="5"/>
      <c r="R1943" s="5"/>
      <c r="S1943" s="2"/>
      <c r="T1943" s="2"/>
      <c r="U1943" s="5"/>
      <c r="V1943" s="5"/>
      <c r="W1943" s="2"/>
      <c r="X1943" s="5"/>
      <c r="Y1943" s="1"/>
      <c r="Z1943" s="1"/>
      <c r="AA1943" s="1"/>
    </row>
    <row r="1944">
      <c r="A1944" s="1"/>
      <c r="B1944" s="14"/>
      <c r="C1944" s="2"/>
      <c r="D1944" s="2"/>
      <c r="E1944" s="2"/>
      <c r="F1944" s="2"/>
      <c r="G1944" s="2"/>
      <c r="H1944" s="3"/>
      <c r="I1944" s="2"/>
      <c r="J1944" s="2"/>
      <c r="K1944" s="4"/>
      <c r="L1944" s="4"/>
      <c r="M1944" s="2"/>
      <c r="N1944" s="2"/>
      <c r="O1944" s="2"/>
      <c r="P1944" s="2"/>
      <c r="Q1944" s="5"/>
      <c r="R1944" s="5"/>
      <c r="S1944" s="2"/>
      <c r="T1944" s="2"/>
      <c r="U1944" s="5"/>
      <c r="V1944" s="5"/>
      <c r="W1944" s="2"/>
      <c r="X1944" s="5"/>
      <c r="Y1944" s="1"/>
      <c r="Z1944" s="1"/>
      <c r="AA1944" s="1"/>
    </row>
    <row r="1945">
      <c r="A1945" s="1"/>
      <c r="B1945" s="14"/>
      <c r="C1945" s="2"/>
      <c r="D1945" s="2"/>
      <c r="E1945" s="2"/>
      <c r="F1945" s="2"/>
      <c r="G1945" s="2"/>
      <c r="H1945" s="3"/>
      <c r="I1945" s="2"/>
      <c r="J1945" s="2"/>
      <c r="K1945" s="4"/>
      <c r="L1945" s="4"/>
      <c r="M1945" s="2"/>
      <c r="N1945" s="2"/>
      <c r="O1945" s="2"/>
      <c r="P1945" s="2"/>
      <c r="Q1945" s="5"/>
      <c r="R1945" s="5"/>
      <c r="S1945" s="2"/>
      <c r="T1945" s="2"/>
      <c r="U1945" s="5"/>
      <c r="V1945" s="5"/>
      <c r="W1945" s="2"/>
      <c r="X1945" s="5"/>
      <c r="Y1945" s="1"/>
      <c r="Z1945" s="1"/>
      <c r="AA1945" s="1"/>
    </row>
    <row r="1946">
      <c r="A1946" s="1"/>
      <c r="B1946" s="14"/>
      <c r="C1946" s="2"/>
      <c r="D1946" s="2"/>
      <c r="E1946" s="2"/>
      <c r="F1946" s="2"/>
      <c r="G1946" s="2"/>
      <c r="H1946" s="3"/>
      <c r="I1946" s="2"/>
      <c r="J1946" s="2"/>
      <c r="K1946" s="4"/>
      <c r="L1946" s="4"/>
      <c r="M1946" s="2"/>
      <c r="N1946" s="2"/>
      <c r="O1946" s="2"/>
      <c r="P1946" s="2"/>
      <c r="Q1946" s="5"/>
      <c r="R1946" s="5"/>
      <c r="S1946" s="2"/>
      <c r="T1946" s="2"/>
      <c r="U1946" s="5"/>
      <c r="V1946" s="5"/>
      <c r="W1946" s="2"/>
      <c r="X1946" s="5"/>
      <c r="Y1946" s="1"/>
      <c r="Z1946" s="1"/>
      <c r="AA1946" s="1"/>
    </row>
    <row r="1947">
      <c r="A1947" s="1"/>
      <c r="B1947" s="14"/>
      <c r="C1947" s="2"/>
      <c r="D1947" s="2"/>
      <c r="E1947" s="2"/>
      <c r="F1947" s="2"/>
      <c r="G1947" s="2"/>
      <c r="H1947" s="3"/>
      <c r="I1947" s="2"/>
      <c r="J1947" s="2"/>
      <c r="K1947" s="4"/>
      <c r="L1947" s="4"/>
      <c r="M1947" s="2"/>
      <c r="N1947" s="2"/>
      <c r="O1947" s="2"/>
      <c r="P1947" s="2"/>
      <c r="Q1947" s="5"/>
      <c r="R1947" s="5"/>
      <c r="S1947" s="2"/>
      <c r="T1947" s="2"/>
      <c r="U1947" s="5"/>
      <c r="V1947" s="5"/>
      <c r="W1947" s="2"/>
      <c r="X1947" s="5"/>
      <c r="Y1947" s="1"/>
      <c r="Z1947" s="1"/>
      <c r="AA1947" s="1"/>
    </row>
    <row r="1948">
      <c r="A1948" s="1"/>
      <c r="B1948" s="14"/>
      <c r="C1948" s="2"/>
      <c r="D1948" s="2"/>
      <c r="E1948" s="2"/>
      <c r="F1948" s="2"/>
      <c r="G1948" s="2"/>
      <c r="H1948" s="3"/>
      <c r="I1948" s="2"/>
      <c r="J1948" s="2"/>
      <c r="K1948" s="4"/>
      <c r="L1948" s="4"/>
      <c r="M1948" s="2"/>
      <c r="N1948" s="2"/>
      <c r="O1948" s="2"/>
      <c r="P1948" s="2"/>
      <c r="Q1948" s="5"/>
      <c r="R1948" s="5"/>
      <c r="S1948" s="2"/>
      <c r="T1948" s="2"/>
      <c r="U1948" s="5"/>
      <c r="V1948" s="5"/>
      <c r="W1948" s="2"/>
      <c r="X1948" s="5"/>
      <c r="Y1948" s="1"/>
      <c r="Z1948" s="1"/>
      <c r="AA1948" s="1"/>
    </row>
    <row r="1949">
      <c r="A1949" s="1"/>
      <c r="B1949" s="14"/>
      <c r="C1949" s="2"/>
      <c r="D1949" s="2"/>
      <c r="E1949" s="2"/>
      <c r="F1949" s="2"/>
      <c r="G1949" s="2"/>
      <c r="H1949" s="3"/>
      <c r="I1949" s="2"/>
      <c r="J1949" s="2"/>
      <c r="K1949" s="4"/>
      <c r="L1949" s="4"/>
      <c r="M1949" s="2"/>
      <c r="N1949" s="2"/>
      <c r="O1949" s="2"/>
      <c r="P1949" s="2"/>
      <c r="Q1949" s="5"/>
      <c r="R1949" s="5"/>
      <c r="S1949" s="2"/>
      <c r="T1949" s="2"/>
      <c r="U1949" s="5"/>
      <c r="V1949" s="5"/>
      <c r="W1949" s="2"/>
      <c r="X1949" s="5"/>
      <c r="Y1949" s="1"/>
      <c r="Z1949" s="1"/>
      <c r="AA1949" s="1"/>
    </row>
  </sheetData>
  <conditionalFormatting sqref="S3:T3">
    <cfRule type="containsText" dxfId="0" priority="1" operator="containsText" text="COBR">
      <formula>NOT(ISERROR(SEARCH(("COBR"),(S3))))</formula>
    </cfRule>
  </conditionalFormatting>
  <conditionalFormatting sqref="S3:T3">
    <cfRule type="containsText" dxfId="1" priority="2" operator="containsText" text="INTE">
      <formula>NOT(ISERROR(SEARCH(("INTE"),(S3))))</formula>
    </cfRule>
  </conditionalFormatting>
  <conditionalFormatting sqref="S3:T3">
    <cfRule type="containsText" dxfId="2" priority="3" operator="containsText" text="DESC">
      <formula>NOT(ISERROR(SEARCH(("DESC"),(S3))))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20.5"/>
    <col customWidth="1" min="3" max="3" width="23.38"/>
    <col customWidth="1" min="4" max="17" width="15.75"/>
    <col customWidth="1" min="18" max="48" width="16.5"/>
  </cols>
  <sheetData>
    <row r="1" ht="25.5" customHeight="1">
      <c r="A1" s="40"/>
      <c r="B1" s="41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</row>
    <row r="2" ht="25.5" customHeight="1">
      <c r="A2" s="40"/>
      <c r="B2" s="43" t="s">
        <v>29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</row>
    <row r="3" ht="25.5" customHeight="1">
      <c r="A3" s="40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</row>
    <row r="4" ht="25.5" customHeight="1">
      <c r="A4" s="40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</row>
    <row r="5" ht="25.5" customHeight="1">
      <c r="A5" s="40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</row>
    <row r="6" ht="25.5" customHeight="1">
      <c r="A6" s="40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</row>
    <row r="7" ht="25.5" customHeight="1">
      <c r="A7" s="40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</row>
    <row r="8" ht="25.5" customHeight="1">
      <c r="A8" s="40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</row>
    <row r="9" ht="25.5" customHeight="1">
      <c r="A9" s="40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</row>
    <row r="10" ht="25.5" customHeight="1">
      <c r="A10" s="40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</row>
    <row r="11" ht="25.5" customHeight="1">
      <c r="A11" s="40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</row>
    <row r="12" ht="25.5" customHeight="1">
      <c r="A12" s="40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ht="25.5" customHeight="1">
      <c r="A13" s="40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</row>
    <row r="14" ht="25.5" customHeight="1">
      <c r="A14" s="40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</row>
    <row r="15" ht="25.5" customHeight="1">
      <c r="A15" s="40"/>
      <c r="B15" s="43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ht="25.5" customHeight="1">
      <c r="A16" s="50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</row>
    <row r="17" ht="25.5" customHeight="1">
      <c r="A17" s="50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</row>
    <row r="18" ht="25.5" customHeight="1">
      <c r="A18" s="50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ht="25.5" customHeight="1">
      <c r="A19" s="40"/>
      <c r="B19" s="43" t="s">
        <v>51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</row>
    <row r="20" ht="25.5" customHeight="1">
      <c r="A20" s="40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</row>
    <row r="21" ht="25.5" customHeight="1">
      <c r="A21" s="40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ht="25.5" customHeight="1">
      <c r="A22" s="40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</row>
    <row r="23" ht="25.5" customHeight="1">
      <c r="A23" s="40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</row>
    <row r="24" ht="25.5" customHeight="1">
      <c r="A24" s="40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</row>
    <row r="25" ht="25.5" customHeight="1">
      <c r="A25" s="40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</row>
    <row r="26" ht="25.5" customHeight="1">
      <c r="A26" s="50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</row>
    <row r="27" ht="25.5" customHeight="1">
      <c r="A27" s="50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</row>
    <row r="28" ht="25.5" customHeight="1">
      <c r="A28" s="50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</row>
    <row r="29" ht="25.5" customHeight="1">
      <c r="A29" s="50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</row>
    <row r="30" ht="25.5" customHeight="1">
      <c r="A30" s="50"/>
      <c r="B30" s="41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</row>
    <row r="31" ht="25.5" customHeight="1">
      <c r="A31" s="50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</row>
    <row r="32" ht="25.5" customHeight="1">
      <c r="A32" s="50"/>
      <c r="B32" s="41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</row>
    <row r="33" ht="25.5" customHeight="1">
      <c r="A33" s="50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</row>
    <row r="34" ht="25.5" customHeight="1">
      <c r="A34" s="50"/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</row>
    <row r="35" ht="25.5" customHeight="1">
      <c r="A35" s="40"/>
      <c r="B35" s="43" t="s">
        <v>53</v>
      </c>
      <c r="C35" s="42"/>
      <c r="D35" s="42"/>
      <c r="E35" s="42"/>
      <c r="F35" s="51" t="s">
        <v>54</v>
      </c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</row>
    <row r="36" ht="25.5" customHeight="1">
      <c r="A36" s="40"/>
      <c r="D36" s="45"/>
      <c r="E36" s="45"/>
      <c r="H36" s="45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</row>
    <row r="37" ht="25.5" customHeight="1">
      <c r="A37" s="40"/>
      <c r="D37" s="45"/>
      <c r="E37" s="45"/>
      <c r="H37" s="45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</row>
    <row r="38" ht="25.5" customHeight="1">
      <c r="A38" s="40"/>
      <c r="D38" s="42"/>
      <c r="E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</row>
    <row r="39" ht="25.5" customHeight="1">
      <c r="A39" s="40"/>
      <c r="D39" s="47"/>
      <c r="E39" s="47"/>
      <c r="H39" s="47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</row>
    <row r="40" ht="25.5" customHeight="1">
      <c r="A40" s="40"/>
      <c r="D40" s="47"/>
      <c r="E40" s="47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</row>
    <row r="41" ht="25.5" customHeight="1">
      <c r="A41" s="40"/>
      <c r="D41" s="42"/>
      <c r="E41" s="47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</row>
    <row r="42" ht="25.5" customHeight="1">
      <c r="A42" s="40"/>
      <c r="D42" s="42"/>
      <c r="E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</row>
    <row r="43" ht="25.5" customHeight="1">
      <c r="A43" s="40"/>
      <c r="D43" s="42"/>
      <c r="E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</row>
    <row r="44" ht="25.5" customHeight="1">
      <c r="A44" s="40"/>
      <c r="D44" s="42"/>
      <c r="E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</row>
    <row r="45" ht="25.5" customHeight="1">
      <c r="A45" s="40"/>
      <c r="B45" s="41"/>
      <c r="C45" s="42"/>
      <c r="D45" s="42"/>
      <c r="E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</row>
    <row r="46" ht="25.5" customHeight="1">
      <c r="A46" s="40"/>
      <c r="C46" s="54"/>
      <c r="D46" s="54"/>
      <c r="E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</row>
    <row r="47" ht="25.5" customHeight="1">
      <c r="A47" s="40"/>
      <c r="B47" s="43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</row>
    <row r="48" ht="25.5" customHeight="1">
      <c r="A48" s="40"/>
      <c r="B48" s="43" t="s">
        <v>55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</row>
    <row r="49" ht="25.5" customHeight="1">
      <c r="A49" s="40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</row>
    <row r="50" ht="25.5" customHeight="1">
      <c r="A50" s="40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</row>
    <row r="51" ht="25.5" customHeight="1">
      <c r="A51" s="40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</row>
    <row r="52" ht="25.5" customHeight="1">
      <c r="A52" s="40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</row>
    <row r="53" ht="25.5" customHeight="1">
      <c r="A53" s="40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</row>
    <row r="54" ht="25.5" customHeight="1">
      <c r="A54" s="40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</row>
    <row r="55" ht="25.5" customHeight="1">
      <c r="A55" s="40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</row>
    <row r="56" ht="25.5" customHeight="1">
      <c r="A56" s="40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</row>
    <row r="57" ht="25.5" customHeight="1">
      <c r="A57" s="40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</row>
    <row r="58" ht="25.5" customHeight="1">
      <c r="A58" s="40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</row>
    <row r="59" ht="25.5" customHeight="1">
      <c r="A59" s="40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</row>
    <row r="60" ht="25.5" customHeight="1">
      <c r="A60" s="40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</row>
    <row r="61" ht="25.5" customHeight="1">
      <c r="A61" s="40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</row>
    <row r="62" ht="25.5" customHeight="1">
      <c r="A62" s="40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</row>
    <row r="63" ht="25.5" customHeight="1">
      <c r="A63" s="40"/>
      <c r="B63" s="43" t="s">
        <v>67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</row>
    <row r="64" ht="25.5" customHeight="1">
      <c r="A64" s="40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</row>
    <row r="65" ht="25.5" customHeight="1">
      <c r="A65" s="40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</row>
    <row r="66" ht="25.5" customHeight="1">
      <c r="A66" s="40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</row>
    <row r="67" ht="25.5" customHeight="1">
      <c r="A67" s="40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</row>
    <row r="68" ht="25.5" customHeight="1">
      <c r="A68" s="40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</row>
    <row r="69" ht="25.5" customHeight="1">
      <c r="A69" s="40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</row>
    <row r="70" ht="25.5" customHeight="1">
      <c r="A70" s="40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</row>
    <row r="71" ht="25.5" customHeight="1">
      <c r="A71" s="40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</row>
    <row r="72" ht="25.5" customHeight="1">
      <c r="A72" s="40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</row>
    <row r="73" ht="25.5" customHeight="1">
      <c r="A73" s="40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</row>
    <row r="74" ht="25.5" customHeight="1">
      <c r="A74" s="40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</row>
    <row r="75" ht="25.5" customHeight="1">
      <c r="A75" s="40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</row>
    <row r="76" ht="25.5" customHeight="1">
      <c r="A76" s="40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</row>
    <row r="77" ht="25.5" customHeight="1">
      <c r="A77" s="40"/>
      <c r="B77" s="41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</row>
    <row r="78" ht="25.5" customHeight="1">
      <c r="A78" s="40"/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</row>
    <row r="79" ht="25.5" customHeight="1">
      <c r="A79" s="40"/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</row>
    <row r="80" ht="25.5" customHeight="1">
      <c r="A80" s="40"/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</row>
    <row r="81" ht="25.5" customHeight="1">
      <c r="A81" s="40"/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</row>
    <row r="82" ht="25.5" customHeight="1">
      <c r="A82" s="40"/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</row>
    <row r="83" ht="25.5" customHeight="1">
      <c r="A83" s="40"/>
      <c r="B83" s="41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</row>
    <row r="84" ht="25.5" customHeight="1">
      <c r="A84" s="40"/>
      <c r="B84" s="41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</row>
    <row r="85" ht="25.5" customHeight="1">
      <c r="A85" s="40"/>
      <c r="B85" s="41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</row>
    <row r="86" ht="25.5" customHeight="1">
      <c r="A86" s="40"/>
      <c r="B86" s="41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</row>
    <row r="87" ht="25.5" customHeight="1">
      <c r="A87" s="40"/>
      <c r="B87" s="41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</row>
    <row r="88" ht="25.5" customHeight="1">
      <c r="A88" s="40"/>
      <c r="B88" s="41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</row>
    <row r="89" ht="25.5" customHeight="1">
      <c r="A89" s="40"/>
      <c r="B89" s="41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</row>
    <row r="90" ht="25.5" customHeight="1">
      <c r="A90" s="40"/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</row>
    <row r="91" ht="25.5" customHeight="1">
      <c r="A91" s="40"/>
      <c r="B91" s="41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</row>
    <row r="92" ht="25.5" customHeight="1">
      <c r="A92" s="40"/>
      <c r="B92" s="41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</row>
    <row r="93" ht="25.5" customHeight="1">
      <c r="A93" s="40"/>
      <c r="B93" s="41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</row>
    <row r="94" ht="25.5" customHeight="1">
      <c r="A94" s="40"/>
      <c r="B94" s="41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</row>
    <row r="95" ht="25.5" customHeight="1">
      <c r="A95" s="40"/>
      <c r="B95" s="41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</row>
    <row r="96" ht="25.5" customHeight="1">
      <c r="A96" s="40"/>
      <c r="B96" s="41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</row>
    <row r="97" ht="25.5" customHeight="1">
      <c r="A97" s="40"/>
      <c r="B97" s="41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</row>
    <row r="98" ht="25.5" customHeight="1">
      <c r="A98" s="40"/>
      <c r="B98" s="41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</row>
    <row r="99" ht="25.5" customHeight="1">
      <c r="A99" s="40"/>
      <c r="B99" s="41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</row>
    <row r="100" ht="25.5" customHeight="1">
      <c r="A100" s="40"/>
      <c r="B100" s="41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</row>
    <row r="101" ht="25.5" customHeight="1">
      <c r="A101" s="40"/>
      <c r="B101" s="41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</row>
    <row r="102" ht="25.5" customHeight="1">
      <c r="A102" s="40"/>
      <c r="B102" s="41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</row>
    <row r="103" ht="25.5" customHeight="1">
      <c r="A103" s="40"/>
      <c r="B103" s="41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</row>
    <row r="104" ht="25.5" customHeight="1">
      <c r="A104" s="40"/>
      <c r="B104" s="41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</row>
    <row r="105" ht="25.5" customHeight="1">
      <c r="A105" s="40"/>
      <c r="B105" s="41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</row>
    <row r="106" ht="25.5" customHeight="1">
      <c r="A106" s="40"/>
      <c r="B106" s="41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</row>
    <row r="107" ht="25.5" customHeight="1">
      <c r="A107" s="40"/>
      <c r="B107" s="41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</row>
    <row r="108" ht="25.5" customHeight="1">
      <c r="A108" s="40"/>
      <c r="B108" s="41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</row>
    <row r="109" ht="25.5" customHeight="1">
      <c r="A109" s="40"/>
      <c r="B109" s="41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</row>
    <row r="110" ht="25.5" customHeight="1">
      <c r="A110" s="40"/>
      <c r="B110" s="41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</row>
    <row r="111" ht="25.5" customHeight="1">
      <c r="A111" s="40"/>
      <c r="B111" s="41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</row>
    <row r="112" ht="25.5" customHeight="1">
      <c r="A112" s="40"/>
      <c r="B112" s="41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</row>
    <row r="113" ht="25.5" customHeight="1">
      <c r="A113" s="40"/>
      <c r="B113" s="41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</row>
    <row r="114" ht="25.5" customHeight="1">
      <c r="A114" s="40"/>
      <c r="B114" s="41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</row>
    <row r="115" ht="25.5" customHeight="1">
      <c r="A115" s="40"/>
      <c r="B115" s="41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</row>
    <row r="116" ht="25.5" customHeight="1">
      <c r="A116" s="40"/>
      <c r="B116" s="41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</row>
    <row r="117" ht="25.5" customHeight="1">
      <c r="A117" s="40"/>
      <c r="B117" s="41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</row>
    <row r="118" ht="25.5" customHeight="1">
      <c r="A118" s="40"/>
      <c r="B118" s="41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</row>
    <row r="119" ht="25.5" customHeight="1">
      <c r="A119" s="40"/>
      <c r="B119" s="41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</row>
    <row r="120" ht="25.5" customHeight="1">
      <c r="A120" s="40"/>
      <c r="B120" s="41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</row>
    <row r="121" ht="25.5" customHeight="1">
      <c r="A121" s="40"/>
      <c r="B121" s="41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</row>
    <row r="122" ht="25.5" customHeight="1">
      <c r="A122" s="40"/>
      <c r="B122" s="41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</row>
    <row r="123" ht="25.5" customHeight="1">
      <c r="A123" s="40"/>
      <c r="B123" s="41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</row>
    <row r="124" ht="25.5" customHeight="1">
      <c r="A124" s="40"/>
      <c r="B124" s="41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</row>
    <row r="125" ht="25.5" customHeight="1">
      <c r="A125" s="40"/>
      <c r="B125" s="41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</row>
    <row r="126" ht="25.5" customHeight="1">
      <c r="A126" s="40"/>
      <c r="B126" s="41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</row>
    <row r="127" ht="25.5" customHeight="1">
      <c r="A127" s="40"/>
      <c r="B127" s="41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</row>
    <row r="128" ht="25.5" customHeight="1">
      <c r="A128" s="40"/>
      <c r="B128" s="41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</row>
    <row r="129" ht="25.5" customHeight="1">
      <c r="A129" s="40"/>
      <c r="B129" s="41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</row>
    <row r="130" ht="25.5" customHeight="1">
      <c r="A130" s="40"/>
      <c r="B130" s="41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</row>
    <row r="131" ht="25.5" customHeight="1">
      <c r="A131" s="40"/>
      <c r="B131" s="41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</row>
    <row r="132" ht="25.5" customHeight="1">
      <c r="A132" s="40"/>
      <c r="B132" s="41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</row>
    <row r="133" ht="25.5" customHeight="1">
      <c r="A133" s="40"/>
      <c r="B133" s="41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</row>
    <row r="134" ht="25.5" customHeight="1">
      <c r="A134" s="40"/>
      <c r="B134" s="41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</row>
    <row r="135" ht="25.5" customHeight="1">
      <c r="A135" s="40"/>
      <c r="B135" s="41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</row>
    <row r="136" ht="25.5" customHeight="1">
      <c r="A136" s="40"/>
      <c r="B136" s="41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</row>
    <row r="137" ht="25.5" customHeight="1">
      <c r="A137" s="40"/>
      <c r="B137" s="41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</row>
    <row r="138" ht="25.5" customHeight="1">
      <c r="A138" s="40"/>
      <c r="B138" s="41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</row>
    <row r="139" ht="25.5" customHeight="1">
      <c r="A139" s="40"/>
      <c r="B139" s="41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</row>
    <row r="140" ht="25.5" customHeight="1">
      <c r="A140" s="40"/>
      <c r="B140" s="41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</row>
    <row r="141" ht="25.5" customHeight="1">
      <c r="A141" s="40"/>
      <c r="B141" s="41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</row>
    <row r="142" ht="25.5" customHeight="1">
      <c r="A142" s="40"/>
      <c r="B142" s="41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</row>
    <row r="143" ht="25.5" customHeight="1">
      <c r="A143" s="40"/>
      <c r="B143" s="41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</row>
    <row r="144" ht="25.5" customHeight="1">
      <c r="A144" s="40"/>
      <c r="B144" s="41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</row>
    <row r="145" ht="25.5" customHeight="1">
      <c r="A145" s="40"/>
      <c r="B145" s="41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</row>
    <row r="146" ht="25.5" customHeight="1">
      <c r="A146" s="40"/>
      <c r="B146" s="41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</row>
    <row r="147" ht="25.5" customHeight="1">
      <c r="A147" s="40"/>
      <c r="B147" s="41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</row>
    <row r="148" ht="25.5" customHeight="1">
      <c r="A148" s="40"/>
      <c r="B148" s="41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</row>
    <row r="149" ht="25.5" customHeight="1">
      <c r="A149" s="40"/>
      <c r="B149" s="41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</row>
    <row r="150" ht="25.5" customHeight="1">
      <c r="A150" s="40"/>
      <c r="B150" s="41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</row>
    <row r="151" ht="25.5" customHeight="1">
      <c r="A151" s="40"/>
      <c r="B151" s="41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</row>
    <row r="152" ht="25.5" customHeight="1">
      <c r="A152" s="40"/>
      <c r="B152" s="41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</row>
    <row r="153" ht="25.5" customHeight="1">
      <c r="A153" s="40"/>
      <c r="B153" s="41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</row>
    <row r="154" ht="25.5" customHeight="1">
      <c r="A154" s="40"/>
      <c r="B154" s="41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</row>
    <row r="155" ht="25.5" customHeight="1">
      <c r="A155" s="40"/>
      <c r="B155" s="41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</row>
    <row r="156" ht="25.5" customHeight="1">
      <c r="A156" s="40"/>
      <c r="B156" s="41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</row>
    <row r="157" ht="25.5" customHeight="1">
      <c r="A157" s="40"/>
      <c r="B157" s="41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</row>
    <row r="158" ht="25.5" customHeight="1">
      <c r="A158" s="40"/>
      <c r="B158" s="41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</row>
    <row r="159" ht="25.5" customHeight="1">
      <c r="A159" s="40"/>
      <c r="B159" s="41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</row>
    <row r="160" ht="25.5" customHeight="1">
      <c r="A160" s="40"/>
      <c r="B160" s="41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</row>
    <row r="161" ht="25.5" customHeight="1">
      <c r="A161" s="40"/>
      <c r="B161" s="41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</row>
    <row r="162" ht="25.5" customHeight="1">
      <c r="A162" s="40"/>
      <c r="B162" s="41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</row>
    <row r="163" ht="25.5" customHeight="1">
      <c r="A163" s="40"/>
      <c r="B163" s="41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</row>
    <row r="164" ht="25.5" customHeight="1">
      <c r="A164" s="40"/>
      <c r="B164" s="41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</row>
    <row r="165" ht="25.5" customHeight="1">
      <c r="A165" s="40"/>
      <c r="B165" s="41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</row>
    <row r="166" ht="25.5" customHeight="1">
      <c r="A166" s="40"/>
      <c r="B166" s="41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</row>
    <row r="167" ht="25.5" customHeight="1">
      <c r="A167" s="40"/>
      <c r="B167" s="41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</row>
    <row r="168" ht="25.5" customHeight="1">
      <c r="A168" s="40"/>
      <c r="B168" s="41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</row>
    <row r="169" ht="25.5" customHeight="1">
      <c r="A169" s="40"/>
      <c r="B169" s="41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</row>
    <row r="170" ht="25.5" customHeight="1">
      <c r="A170" s="40"/>
      <c r="B170" s="41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</row>
    <row r="171" ht="25.5" customHeight="1">
      <c r="A171" s="40"/>
      <c r="B171" s="41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</row>
    <row r="172" ht="25.5" customHeight="1">
      <c r="A172" s="40"/>
      <c r="B172" s="41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</row>
    <row r="173" ht="25.5" customHeight="1">
      <c r="A173" s="40"/>
      <c r="B173" s="41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</row>
    <row r="174" ht="25.5" customHeight="1">
      <c r="A174" s="40"/>
      <c r="B174" s="41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</row>
    <row r="175" ht="25.5" customHeight="1">
      <c r="A175" s="40"/>
      <c r="B175" s="41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</row>
    <row r="176" ht="25.5" customHeight="1">
      <c r="A176" s="40"/>
      <c r="B176" s="41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</row>
    <row r="177" ht="25.5" customHeight="1">
      <c r="A177" s="40"/>
      <c r="B177" s="41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</row>
    <row r="178" ht="25.5" customHeight="1">
      <c r="A178" s="40"/>
      <c r="B178" s="41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</row>
    <row r="179" ht="25.5" customHeight="1">
      <c r="A179" s="40"/>
      <c r="B179" s="41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</row>
    <row r="180" ht="25.5" customHeight="1">
      <c r="A180" s="40"/>
      <c r="B180" s="41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</row>
    <row r="181" ht="25.5" customHeight="1">
      <c r="A181" s="40"/>
      <c r="B181" s="41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</row>
    <row r="182" ht="25.5" customHeight="1">
      <c r="A182" s="40"/>
      <c r="B182" s="41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</row>
    <row r="183" ht="25.5" customHeight="1">
      <c r="A183" s="40"/>
      <c r="B183" s="41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</row>
    <row r="184" ht="25.5" customHeight="1">
      <c r="A184" s="40"/>
      <c r="B184" s="41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</row>
    <row r="185" ht="25.5" customHeight="1">
      <c r="A185" s="40"/>
      <c r="B185" s="41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</row>
    <row r="186" ht="25.5" customHeight="1">
      <c r="A186" s="40"/>
      <c r="B186" s="41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</row>
    <row r="187" ht="25.5" customHeight="1">
      <c r="A187" s="40"/>
      <c r="B187" s="41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</row>
    <row r="188" ht="25.5" customHeight="1">
      <c r="A188" s="40"/>
      <c r="B188" s="41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</row>
    <row r="189" ht="25.5" customHeight="1">
      <c r="A189" s="40"/>
      <c r="B189" s="41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</row>
    <row r="190" ht="25.5" customHeight="1">
      <c r="A190" s="40"/>
      <c r="B190" s="41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</row>
    <row r="191" ht="25.5" customHeight="1">
      <c r="A191" s="40"/>
      <c r="B191" s="41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</row>
    <row r="192" ht="25.5" customHeight="1">
      <c r="A192" s="40"/>
      <c r="B192" s="41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</row>
    <row r="193" ht="25.5" customHeight="1">
      <c r="A193" s="40"/>
      <c r="B193" s="41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</row>
    <row r="194" ht="25.5" customHeight="1">
      <c r="A194" s="40"/>
      <c r="B194" s="41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</row>
    <row r="195" ht="25.5" customHeight="1">
      <c r="A195" s="40"/>
      <c r="B195" s="41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</row>
    <row r="196" ht="25.5" customHeight="1">
      <c r="A196" s="40"/>
      <c r="B196" s="41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</row>
    <row r="197" ht="25.5" customHeight="1">
      <c r="A197" s="40"/>
      <c r="B197" s="41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</row>
    <row r="198" ht="25.5" customHeight="1">
      <c r="A198" s="40"/>
      <c r="B198" s="41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</row>
    <row r="199" ht="25.5" customHeight="1">
      <c r="A199" s="40"/>
      <c r="B199" s="41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</row>
    <row r="200" ht="25.5" customHeight="1">
      <c r="A200" s="40"/>
      <c r="B200" s="41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</row>
    <row r="201" ht="25.5" customHeight="1">
      <c r="A201" s="40"/>
      <c r="B201" s="41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</row>
    <row r="202" ht="25.5" customHeight="1">
      <c r="A202" s="40"/>
      <c r="B202" s="41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</row>
    <row r="203" ht="25.5" customHeight="1">
      <c r="A203" s="40"/>
      <c r="B203" s="41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</row>
    <row r="204" ht="25.5" customHeight="1">
      <c r="A204" s="40"/>
      <c r="B204" s="41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</row>
    <row r="205" ht="25.5" customHeight="1">
      <c r="A205" s="40"/>
      <c r="B205" s="41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</row>
    <row r="206" ht="25.5" customHeight="1">
      <c r="A206" s="40"/>
      <c r="B206" s="41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</row>
    <row r="207" ht="25.5" customHeight="1">
      <c r="A207" s="40"/>
      <c r="B207" s="41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</row>
    <row r="208" ht="25.5" customHeight="1">
      <c r="A208" s="40"/>
      <c r="B208" s="41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</row>
    <row r="209" ht="25.5" customHeight="1">
      <c r="A209" s="40"/>
      <c r="B209" s="41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</row>
    <row r="210" ht="25.5" customHeight="1">
      <c r="A210" s="40"/>
      <c r="B210" s="41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</row>
    <row r="211" ht="25.5" customHeight="1">
      <c r="A211" s="40"/>
      <c r="B211" s="41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</row>
    <row r="212" ht="25.5" customHeight="1">
      <c r="A212" s="40"/>
      <c r="B212" s="41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</row>
    <row r="213" ht="25.5" customHeight="1">
      <c r="A213" s="40"/>
      <c r="B213" s="41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</row>
    <row r="214" ht="25.5" customHeight="1">
      <c r="A214" s="40"/>
      <c r="B214" s="41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</row>
    <row r="215" ht="25.5" customHeight="1">
      <c r="A215" s="40"/>
      <c r="B215" s="41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</row>
    <row r="216" ht="25.5" customHeight="1">
      <c r="A216" s="40"/>
      <c r="B216" s="41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</row>
    <row r="217" ht="25.5" customHeight="1">
      <c r="A217" s="40"/>
      <c r="B217" s="41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</row>
    <row r="218" ht="25.5" customHeight="1">
      <c r="A218" s="40"/>
      <c r="B218" s="41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</row>
    <row r="219" ht="25.5" customHeight="1">
      <c r="A219" s="40"/>
      <c r="B219" s="41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</row>
    <row r="220" ht="25.5" customHeight="1">
      <c r="A220" s="40"/>
      <c r="B220" s="41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</row>
    <row r="221" ht="25.5" customHeight="1">
      <c r="A221" s="40"/>
      <c r="B221" s="41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</row>
    <row r="222" ht="25.5" customHeight="1">
      <c r="A222" s="40"/>
      <c r="B222" s="41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</row>
    <row r="223" ht="25.5" customHeight="1">
      <c r="A223" s="40"/>
      <c r="B223" s="41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</row>
    <row r="224" ht="25.5" customHeight="1">
      <c r="A224" s="40"/>
      <c r="B224" s="41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</row>
    <row r="225" ht="25.5" customHeight="1">
      <c r="A225" s="40"/>
      <c r="B225" s="41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</row>
    <row r="226" ht="25.5" customHeight="1">
      <c r="A226" s="40"/>
      <c r="B226" s="41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</row>
    <row r="227" ht="25.5" customHeight="1">
      <c r="A227" s="40"/>
      <c r="B227" s="41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</row>
    <row r="228" ht="25.5" customHeight="1">
      <c r="A228" s="40"/>
      <c r="B228" s="41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</row>
    <row r="229" ht="25.5" customHeight="1">
      <c r="A229" s="40"/>
      <c r="B229" s="41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</row>
    <row r="230" ht="25.5" customHeight="1">
      <c r="A230" s="40"/>
      <c r="B230" s="41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</row>
    <row r="231" ht="25.5" customHeight="1">
      <c r="A231" s="40"/>
      <c r="B231" s="41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</row>
    <row r="232" ht="25.5" customHeight="1">
      <c r="A232" s="40"/>
      <c r="B232" s="41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</row>
    <row r="233" ht="25.5" customHeight="1">
      <c r="A233" s="40"/>
      <c r="B233" s="41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</row>
    <row r="234" ht="25.5" customHeight="1">
      <c r="A234" s="40"/>
      <c r="B234" s="41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</row>
    <row r="235" ht="25.5" customHeight="1">
      <c r="A235" s="40"/>
      <c r="B235" s="41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</row>
    <row r="236" ht="25.5" customHeight="1">
      <c r="A236" s="40"/>
      <c r="B236" s="41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</row>
    <row r="237" ht="25.5" customHeight="1">
      <c r="A237" s="40"/>
      <c r="B237" s="41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</row>
    <row r="238" ht="25.5" customHeight="1">
      <c r="A238" s="40"/>
      <c r="B238" s="41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</row>
    <row r="239" ht="25.5" customHeight="1">
      <c r="A239" s="40"/>
      <c r="B239" s="41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</row>
    <row r="240" ht="25.5" customHeight="1">
      <c r="A240" s="40"/>
      <c r="B240" s="41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</row>
    <row r="241" ht="25.5" customHeight="1">
      <c r="A241" s="40"/>
      <c r="B241" s="41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</row>
    <row r="242" ht="25.5" customHeight="1">
      <c r="A242" s="40"/>
      <c r="B242" s="41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</row>
    <row r="243" ht="25.5" customHeight="1">
      <c r="A243" s="40"/>
      <c r="B243" s="41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</row>
    <row r="244" ht="25.5" customHeight="1">
      <c r="A244" s="40"/>
      <c r="B244" s="41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</row>
    <row r="245" ht="25.5" customHeight="1">
      <c r="A245" s="40"/>
      <c r="B245" s="41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</row>
    <row r="246" ht="25.5" customHeight="1">
      <c r="A246" s="40"/>
      <c r="B246" s="41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</row>
    <row r="247" ht="25.5" customHeight="1">
      <c r="A247" s="40"/>
      <c r="B247" s="41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</row>
    <row r="248" ht="25.5" customHeight="1">
      <c r="A248" s="40"/>
      <c r="B248" s="41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</row>
    <row r="249" ht="25.5" customHeight="1">
      <c r="A249" s="40"/>
      <c r="B249" s="41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</row>
    <row r="250" ht="25.5" customHeight="1">
      <c r="A250" s="40"/>
      <c r="B250" s="41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</row>
    <row r="251" ht="25.5" customHeight="1">
      <c r="A251" s="40"/>
      <c r="B251" s="41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</row>
    <row r="252" ht="25.5" customHeight="1">
      <c r="A252" s="40"/>
      <c r="B252" s="41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</row>
    <row r="253" ht="25.5" customHeight="1">
      <c r="A253" s="40"/>
      <c r="B253" s="41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</row>
    <row r="254" ht="25.5" customHeight="1">
      <c r="A254" s="40"/>
      <c r="B254" s="41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</row>
    <row r="255" ht="25.5" customHeight="1">
      <c r="A255" s="40"/>
      <c r="B255" s="41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</row>
    <row r="256" ht="25.5" customHeight="1">
      <c r="A256" s="40"/>
      <c r="B256" s="41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</row>
    <row r="257" ht="25.5" customHeight="1">
      <c r="A257" s="40"/>
      <c r="B257" s="41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</row>
    <row r="258" ht="25.5" customHeight="1">
      <c r="A258" s="40"/>
      <c r="B258" s="41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</row>
    <row r="259" ht="25.5" customHeight="1">
      <c r="A259" s="40"/>
      <c r="B259" s="41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</row>
    <row r="260" ht="25.5" customHeight="1">
      <c r="A260" s="40"/>
      <c r="B260" s="41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</row>
    <row r="261" ht="25.5" customHeight="1">
      <c r="A261" s="40"/>
      <c r="B261" s="41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</row>
    <row r="262" ht="25.5" customHeight="1">
      <c r="A262" s="40"/>
      <c r="B262" s="41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</row>
    <row r="263" ht="25.5" customHeight="1">
      <c r="A263" s="40"/>
      <c r="B263" s="41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</row>
    <row r="264" ht="25.5" customHeight="1">
      <c r="A264" s="40"/>
      <c r="B264" s="41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</row>
    <row r="265" ht="25.5" customHeight="1">
      <c r="A265" s="40"/>
      <c r="B265" s="41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</row>
    <row r="266" ht="25.5" customHeight="1">
      <c r="A266" s="40"/>
      <c r="B266" s="41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</row>
    <row r="267" ht="25.5" customHeight="1">
      <c r="A267" s="40"/>
      <c r="B267" s="41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</row>
    <row r="268" ht="25.5" customHeight="1">
      <c r="A268" s="40"/>
      <c r="B268" s="41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</row>
    <row r="269" ht="25.5" customHeight="1">
      <c r="A269" s="40"/>
      <c r="B269" s="41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</row>
    <row r="270" ht="25.5" customHeight="1">
      <c r="A270" s="40"/>
      <c r="B270" s="41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</row>
    <row r="271" ht="25.5" customHeight="1">
      <c r="A271" s="40"/>
      <c r="B271" s="41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</row>
    <row r="272" ht="25.5" customHeight="1">
      <c r="A272" s="40"/>
      <c r="B272" s="41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</row>
    <row r="273" ht="25.5" customHeight="1">
      <c r="A273" s="40"/>
      <c r="B273" s="41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</row>
    <row r="274" ht="25.5" customHeight="1">
      <c r="A274" s="40"/>
      <c r="B274" s="41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</row>
    <row r="275" ht="25.5" customHeight="1">
      <c r="A275" s="40"/>
      <c r="B275" s="41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</row>
    <row r="276" ht="25.5" customHeight="1">
      <c r="A276" s="40"/>
      <c r="B276" s="41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</row>
    <row r="277" ht="25.5" customHeight="1">
      <c r="A277" s="40"/>
      <c r="B277" s="41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</row>
    <row r="278" ht="25.5" customHeight="1">
      <c r="A278" s="40"/>
      <c r="B278" s="41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</row>
    <row r="279" ht="25.5" customHeight="1">
      <c r="A279" s="40"/>
      <c r="B279" s="41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</row>
    <row r="280" ht="25.5" customHeight="1">
      <c r="A280" s="40"/>
      <c r="B280" s="41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</row>
    <row r="281" ht="25.5" customHeight="1">
      <c r="A281" s="40"/>
      <c r="B281" s="41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</row>
    <row r="282" ht="25.5" customHeight="1">
      <c r="A282" s="40"/>
      <c r="B282" s="41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</row>
    <row r="283" ht="25.5" customHeight="1">
      <c r="A283" s="40"/>
      <c r="B283" s="41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</row>
    <row r="284" ht="25.5" customHeight="1">
      <c r="A284" s="40"/>
      <c r="B284" s="41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</row>
    <row r="285" ht="25.5" customHeight="1">
      <c r="A285" s="40"/>
      <c r="B285" s="41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</row>
    <row r="286" ht="25.5" customHeight="1">
      <c r="A286" s="40"/>
      <c r="B286" s="41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</row>
    <row r="287" ht="25.5" customHeight="1">
      <c r="A287" s="40"/>
      <c r="B287" s="41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</row>
    <row r="288" ht="25.5" customHeight="1">
      <c r="A288" s="40"/>
      <c r="B288" s="41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</row>
    <row r="289" ht="25.5" customHeight="1">
      <c r="A289" s="40"/>
      <c r="B289" s="41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</row>
    <row r="290" ht="25.5" customHeight="1">
      <c r="A290" s="40"/>
      <c r="B290" s="41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</row>
    <row r="291" ht="25.5" customHeight="1">
      <c r="A291" s="40"/>
      <c r="B291" s="41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</row>
    <row r="292" ht="25.5" customHeight="1">
      <c r="A292" s="40"/>
      <c r="B292" s="41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</row>
    <row r="293" ht="25.5" customHeight="1">
      <c r="A293" s="40"/>
      <c r="B293" s="41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</row>
    <row r="294" ht="25.5" customHeight="1">
      <c r="A294" s="40"/>
      <c r="B294" s="41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</row>
    <row r="295" ht="25.5" customHeight="1">
      <c r="A295" s="40"/>
      <c r="B295" s="41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</row>
    <row r="296" ht="25.5" customHeight="1">
      <c r="A296" s="40"/>
      <c r="B296" s="41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</row>
    <row r="297" ht="25.5" customHeight="1">
      <c r="A297" s="40"/>
      <c r="B297" s="41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</row>
    <row r="298" ht="25.5" customHeight="1">
      <c r="A298" s="40"/>
      <c r="B298" s="41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</row>
    <row r="299" ht="25.5" customHeight="1">
      <c r="A299" s="40"/>
      <c r="B299" s="41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</row>
    <row r="300" ht="25.5" customHeight="1">
      <c r="A300" s="40"/>
      <c r="B300" s="41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</row>
    <row r="301" ht="25.5" customHeight="1">
      <c r="A301" s="40"/>
      <c r="B301" s="41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</row>
    <row r="302" ht="25.5" customHeight="1">
      <c r="A302" s="40"/>
      <c r="B302" s="41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</row>
    <row r="303" ht="25.5" customHeight="1">
      <c r="A303" s="40"/>
      <c r="B303" s="41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</row>
    <row r="304" ht="25.5" customHeight="1">
      <c r="A304" s="40"/>
      <c r="B304" s="41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</row>
    <row r="305" ht="25.5" customHeight="1">
      <c r="A305" s="40"/>
      <c r="B305" s="41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</row>
    <row r="306" ht="25.5" customHeight="1">
      <c r="A306" s="40"/>
      <c r="B306" s="41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</row>
    <row r="307" ht="25.5" customHeight="1">
      <c r="A307" s="40"/>
      <c r="B307" s="41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</row>
    <row r="308" ht="25.5" customHeight="1">
      <c r="A308" s="40"/>
      <c r="B308" s="41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</row>
    <row r="309" ht="25.5" customHeight="1">
      <c r="A309" s="40"/>
      <c r="B309" s="41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</row>
    <row r="310" ht="25.5" customHeight="1">
      <c r="A310" s="40"/>
      <c r="B310" s="41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</row>
    <row r="311" ht="25.5" customHeight="1">
      <c r="A311" s="40"/>
      <c r="B311" s="41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</row>
    <row r="312" ht="25.5" customHeight="1">
      <c r="A312" s="40"/>
      <c r="B312" s="41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</row>
    <row r="313" ht="25.5" customHeight="1">
      <c r="A313" s="40"/>
      <c r="B313" s="41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</row>
    <row r="314" ht="25.5" customHeight="1">
      <c r="A314" s="40"/>
      <c r="B314" s="41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</row>
    <row r="315" ht="25.5" customHeight="1">
      <c r="A315" s="40"/>
      <c r="B315" s="41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</row>
    <row r="316" ht="25.5" customHeight="1">
      <c r="A316" s="40"/>
      <c r="B316" s="41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</row>
    <row r="317" ht="25.5" customHeight="1">
      <c r="A317" s="40"/>
      <c r="B317" s="41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</row>
    <row r="318" ht="25.5" customHeight="1">
      <c r="A318" s="40"/>
      <c r="B318" s="41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</row>
    <row r="319" ht="25.5" customHeight="1">
      <c r="A319" s="40"/>
      <c r="B319" s="41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</row>
    <row r="320" ht="25.5" customHeight="1">
      <c r="A320" s="40"/>
      <c r="B320" s="41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</row>
    <row r="321" ht="25.5" customHeight="1">
      <c r="A321" s="40"/>
      <c r="B321" s="41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</row>
    <row r="322" ht="25.5" customHeight="1">
      <c r="A322" s="40"/>
      <c r="B322" s="41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</row>
    <row r="323" ht="25.5" customHeight="1">
      <c r="A323" s="40"/>
      <c r="B323" s="41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</row>
    <row r="324" ht="25.5" customHeight="1">
      <c r="A324" s="40"/>
      <c r="B324" s="41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</row>
    <row r="325" ht="25.5" customHeight="1">
      <c r="A325" s="40"/>
      <c r="B325" s="41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</row>
    <row r="326" ht="25.5" customHeight="1">
      <c r="A326" s="40"/>
      <c r="B326" s="41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</row>
    <row r="327" ht="25.5" customHeight="1">
      <c r="A327" s="40"/>
      <c r="B327" s="41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</row>
    <row r="328" ht="25.5" customHeight="1">
      <c r="A328" s="40"/>
      <c r="B328" s="41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</row>
    <row r="329" ht="25.5" customHeight="1">
      <c r="A329" s="40"/>
      <c r="B329" s="41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</row>
    <row r="330" ht="25.5" customHeight="1">
      <c r="A330" s="40"/>
      <c r="B330" s="41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</row>
    <row r="331" ht="25.5" customHeight="1">
      <c r="A331" s="40"/>
      <c r="B331" s="41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</row>
    <row r="332" ht="25.5" customHeight="1">
      <c r="A332" s="40"/>
      <c r="B332" s="41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</row>
    <row r="333" ht="25.5" customHeight="1">
      <c r="A333" s="40"/>
      <c r="B333" s="41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</row>
    <row r="334" ht="25.5" customHeight="1">
      <c r="A334" s="40"/>
      <c r="B334" s="41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</row>
    <row r="335" ht="25.5" customHeight="1">
      <c r="A335" s="40"/>
      <c r="B335" s="41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</row>
    <row r="336" ht="25.5" customHeight="1">
      <c r="A336" s="40"/>
      <c r="B336" s="41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</row>
    <row r="337" ht="25.5" customHeight="1">
      <c r="A337" s="40"/>
      <c r="B337" s="41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</row>
    <row r="338" ht="25.5" customHeight="1">
      <c r="A338" s="40"/>
      <c r="B338" s="41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</row>
    <row r="339" ht="25.5" customHeight="1">
      <c r="A339" s="40"/>
      <c r="B339" s="41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</row>
    <row r="340" ht="25.5" customHeight="1">
      <c r="A340" s="40"/>
      <c r="B340" s="41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</row>
    <row r="341" ht="25.5" customHeight="1">
      <c r="A341" s="40"/>
      <c r="B341" s="41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</row>
    <row r="342" ht="25.5" customHeight="1">
      <c r="A342" s="40"/>
      <c r="B342" s="41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</row>
    <row r="343" ht="25.5" customHeight="1">
      <c r="A343" s="40"/>
      <c r="B343" s="41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</row>
    <row r="344" ht="25.5" customHeight="1">
      <c r="A344" s="40"/>
      <c r="B344" s="41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</row>
    <row r="345" ht="25.5" customHeight="1">
      <c r="A345" s="40"/>
      <c r="B345" s="41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</row>
    <row r="346" ht="25.5" customHeight="1">
      <c r="A346" s="40"/>
      <c r="B346" s="41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</row>
    <row r="347" ht="25.5" customHeight="1">
      <c r="A347" s="40"/>
      <c r="B347" s="41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</row>
    <row r="348" ht="25.5" customHeight="1">
      <c r="A348" s="40"/>
      <c r="B348" s="41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</row>
    <row r="349" ht="25.5" customHeight="1">
      <c r="A349" s="40"/>
      <c r="B349" s="41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</row>
    <row r="350" ht="25.5" customHeight="1">
      <c r="A350" s="40"/>
      <c r="B350" s="41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</row>
    <row r="351" ht="25.5" customHeight="1">
      <c r="A351" s="40"/>
      <c r="B351" s="41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</row>
    <row r="352" ht="25.5" customHeight="1">
      <c r="A352" s="40"/>
      <c r="B352" s="41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</row>
    <row r="353" ht="25.5" customHeight="1">
      <c r="A353" s="40"/>
      <c r="B353" s="41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</row>
    <row r="354" ht="25.5" customHeight="1">
      <c r="A354" s="40"/>
      <c r="B354" s="41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</row>
    <row r="355" ht="25.5" customHeight="1">
      <c r="A355" s="40"/>
      <c r="B355" s="41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</row>
    <row r="356" ht="25.5" customHeight="1">
      <c r="A356" s="40"/>
      <c r="B356" s="41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</row>
    <row r="357" ht="25.5" customHeight="1">
      <c r="A357" s="40"/>
      <c r="B357" s="41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</row>
    <row r="358" ht="25.5" customHeight="1">
      <c r="A358" s="40"/>
      <c r="B358" s="41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</row>
    <row r="359" ht="25.5" customHeight="1">
      <c r="A359" s="40"/>
      <c r="B359" s="41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</row>
    <row r="360" ht="25.5" customHeight="1">
      <c r="A360" s="40"/>
      <c r="B360" s="41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</row>
    <row r="361" ht="25.5" customHeight="1">
      <c r="A361" s="40"/>
      <c r="B361" s="41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</row>
    <row r="362" ht="25.5" customHeight="1">
      <c r="A362" s="40"/>
      <c r="B362" s="41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</row>
    <row r="363" ht="25.5" customHeight="1">
      <c r="A363" s="40"/>
      <c r="B363" s="41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</row>
    <row r="364" ht="25.5" customHeight="1">
      <c r="A364" s="40"/>
      <c r="B364" s="41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</row>
    <row r="365" ht="25.5" customHeight="1">
      <c r="A365" s="40"/>
      <c r="B365" s="41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</row>
    <row r="366" ht="25.5" customHeight="1">
      <c r="A366" s="40"/>
      <c r="B366" s="41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</row>
    <row r="367" ht="25.5" customHeight="1">
      <c r="A367" s="40"/>
      <c r="B367" s="41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</row>
    <row r="368" ht="25.5" customHeight="1">
      <c r="A368" s="40"/>
      <c r="B368" s="41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</row>
    <row r="369" ht="25.5" customHeight="1">
      <c r="A369" s="40"/>
      <c r="B369" s="41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</row>
    <row r="370" ht="25.5" customHeight="1">
      <c r="A370" s="40"/>
      <c r="B370" s="41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</row>
    <row r="371" ht="25.5" customHeight="1">
      <c r="A371" s="40"/>
      <c r="B371" s="41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</row>
    <row r="372" ht="25.5" customHeight="1">
      <c r="A372" s="40"/>
      <c r="B372" s="41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</row>
    <row r="373" ht="25.5" customHeight="1">
      <c r="A373" s="40"/>
      <c r="B373" s="41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</row>
    <row r="374" ht="25.5" customHeight="1">
      <c r="A374" s="40"/>
      <c r="B374" s="41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</row>
    <row r="375" ht="25.5" customHeight="1">
      <c r="A375" s="40"/>
      <c r="B375" s="41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</row>
    <row r="376" ht="25.5" customHeight="1">
      <c r="A376" s="40"/>
      <c r="B376" s="41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</row>
    <row r="377" ht="25.5" customHeight="1">
      <c r="A377" s="40"/>
      <c r="B377" s="41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</row>
    <row r="378" ht="25.5" customHeight="1">
      <c r="A378" s="40"/>
      <c r="B378" s="41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</row>
    <row r="379" ht="25.5" customHeight="1">
      <c r="A379" s="40"/>
      <c r="B379" s="41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</row>
    <row r="380" ht="25.5" customHeight="1">
      <c r="A380" s="40"/>
      <c r="B380" s="41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</row>
    <row r="381" ht="25.5" customHeight="1">
      <c r="A381" s="40"/>
      <c r="B381" s="41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</row>
    <row r="382" ht="25.5" customHeight="1">
      <c r="A382" s="40"/>
      <c r="B382" s="41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</row>
    <row r="383" ht="25.5" customHeight="1">
      <c r="A383" s="40"/>
      <c r="B383" s="41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</row>
    <row r="384" ht="25.5" customHeight="1">
      <c r="A384" s="40"/>
      <c r="B384" s="41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</row>
    <row r="385" ht="25.5" customHeight="1">
      <c r="A385" s="40"/>
      <c r="B385" s="41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</row>
    <row r="386" ht="25.5" customHeight="1">
      <c r="A386" s="40"/>
      <c r="B386" s="41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</row>
    <row r="387" ht="25.5" customHeight="1">
      <c r="A387" s="40"/>
      <c r="B387" s="41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</row>
    <row r="388" ht="25.5" customHeight="1">
      <c r="A388" s="40"/>
      <c r="B388" s="41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</row>
    <row r="389" ht="25.5" customHeight="1">
      <c r="A389" s="40"/>
      <c r="B389" s="41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</row>
    <row r="390" ht="25.5" customHeight="1">
      <c r="A390" s="40"/>
      <c r="B390" s="41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</row>
    <row r="391" ht="25.5" customHeight="1">
      <c r="A391" s="40"/>
      <c r="B391" s="41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</row>
    <row r="392" ht="25.5" customHeight="1">
      <c r="A392" s="40"/>
      <c r="B392" s="41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</row>
    <row r="393" ht="25.5" customHeight="1">
      <c r="A393" s="40"/>
      <c r="B393" s="41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</row>
    <row r="394" ht="25.5" customHeight="1">
      <c r="A394" s="40"/>
      <c r="B394" s="41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</row>
    <row r="395" ht="25.5" customHeight="1">
      <c r="A395" s="40"/>
      <c r="B395" s="41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</row>
    <row r="396" ht="25.5" customHeight="1">
      <c r="A396" s="40"/>
      <c r="B396" s="41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</row>
    <row r="397" ht="25.5" customHeight="1">
      <c r="A397" s="40"/>
      <c r="B397" s="41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</row>
    <row r="398" ht="25.5" customHeight="1">
      <c r="A398" s="40"/>
      <c r="B398" s="41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</row>
    <row r="399" ht="25.5" customHeight="1">
      <c r="A399" s="40"/>
      <c r="B399" s="41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</row>
    <row r="400" ht="25.5" customHeight="1">
      <c r="A400" s="40"/>
      <c r="B400" s="41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</row>
    <row r="401" ht="25.5" customHeight="1">
      <c r="A401" s="40"/>
      <c r="B401" s="41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</row>
    <row r="402" ht="25.5" customHeight="1">
      <c r="A402" s="40"/>
      <c r="B402" s="41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</row>
    <row r="403" ht="25.5" customHeight="1">
      <c r="A403" s="40"/>
      <c r="B403" s="41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</row>
    <row r="404" ht="25.5" customHeight="1">
      <c r="A404" s="40"/>
      <c r="B404" s="41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</row>
    <row r="405" ht="25.5" customHeight="1">
      <c r="A405" s="40"/>
      <c r="B405" s="41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</row>
    <row r="406" ht="25.5" customHeight="1">
      <c r="A406" s="40"/>
      <c r="B406" s="41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</row>
    <row r="407" ht="25.5" customHeight="1">
      <c r="A407" s="40"/>
      <c r="B407" s="41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</row>
    <row r="408" ht="25.5" customHeight="1">
      <c r="A408" s="40"/>
      <c r="B408" s="41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</row>
    <row r="409" ht="25.5" customHeight="1">
      <c r="A409" s="40"/>
      <c r="B409" s="41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</row>
    <row r="410" ht="25.5" customHeight="1">
      <c r="A410" s="40"/>
      <c r="B410" s="41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</row>
    <row r="411" ht="25.5" customHeight="1">
      <c r="A411" s="40"/>
      <c r="B411" s="41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</row>
    <row r="412" ht="25.5" customHeight="1">
      <c r="A412" s="40"/>
      <c r="B412" s="41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</row>
    <row r="413" ht="25.5" customHeight="1">
      <c r="A413" s="40"/>
      <c r="B413" s="41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</row>
    <row r="414" ht="25.5" customHeight="1">
      <c r="A414" s="40"/>
      <c r="B414" s="41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</row>
    <row r="415" ht="25.5" customHeight="1">
      <c r="A415" s="40"/>
      <c r="B415" s="41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</row>
    <row r="416" ht="25.5" customHeight="1">
      <c r="A416" s="40"/>
      <c r="B416" s="41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</row>
    <row r="417" ht="25.5" customHeight="1">
      <c r="A417" s="40"/>
      <c r="B417" s="41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</row>
    <row r="418" ht="25.5" customHeight="1">
      <c r="A418" s="40"/>
      <c r="B418" s="41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</row>
    <row r="419" ht="25.5" customHeight="1">
      <c r="A419" s="40"/>
      <c r="B419" s="41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</row>
    <row r="420" ht="25.5" customHeight="1">
      <c r="A420" s="40"/>
      <c r="B420" s="41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</row>
    <row r="421" ht="25.5" customHeight="1">
      <c r="A421" s="40"/>
      <c r="B421" s="41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</row>
    <row r="422" ht="25.5" customHeight="1">
      <c r="A422" s="40"/>
      <c r="B422" s="41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</row>
    <row r="423" ht="25.5" customHeight="1">
      <c r="A423" s="40"/>
      <c r="B423" s="41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</row>
    <row r="424" ht="25.5" customHeight="1">
      <c r="A424" s="40"/>
      <c r="B424" s="41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</row>
    <row r="425" ht="25.5" customHeight="1">
      <c r="A425" s="40"/>
      <c r="B425" s="41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</row>
    <row r="426" ht="25.5" customHeight="1">
      <c r="A426" s="40"/>
      <c r="B426" s="41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</row>
    <row r="427" ht="25.5" customHeight="1">
      <c r="A427" s="40"/>
      <c r="B427" s="41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</row>
    <row r="428" ht="25.5" customHeight="1">
      <c r="A428" s="40"/>
      <c r="B428" s="41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</row>
    <row r="429" ht="25.5" customHeight="1">
      <c r="A429" s="40"/>
      <c r="B429" s="41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</row>
    <row r="430" ht="25.5" customHeight="1">
      <c r="A430" s="40"/>
      <c r="B430" s="41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</row>
    <row r="431" ht="25.5" customHeight="1">
      <c r="A431" s="40"/>
      <c r="B431" s="41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</row>
    <row r="432" ht="25.5" customHeight="1">
      <c r="A432" s="40"/>
      <c r="B432" s="41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</row>
    <row r="433" ht="25.5" customHeight="1">
      <c r="A433" s="40"/>
      <c r="B433" s="41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</row>
    <row r="434" ht="25.5" customHeight="1">
      <c r="A434" s="40"/>
      <c r="B434" s="41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</row>
    <row r="435" ht="25.5" customHeight="1">
      <c r="A435" s="40"/>
      <c r="B435" s="41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</row>
    <row r="436" ht="25.5" customHeight="1">
      <c r="A436" s="40"/>
      <c r="B436" s="41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</row>
    <row r="437" ht="25.5" customHeight="1">
      <c r="A437" s="40"/>
      <c r="B437" s="41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</row>
    <row r="438" ht="25.5" customHeight="1">
      <c r="A438" s="40"/>
      <c r="B438" s="41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</row>
    <row r="439" ht="25.5" customHeight="1">
      <c r="A439" s="40"/>
      <c r="B439" s="41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</row>
    <row r="440" ht="25.5" customHeight="1">
      <c r="A440" s="40"/>
      <c r="B440" s="41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</row>
    <row r="441" ht="25.5" customHeight="1">
      <c r="A441" s="40"/>
      <c r="B441" s="41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</row>
    <row r="442" ht="25.5" customHeight="1">
      <c r="A442" s="40"/>
      <c r="B442" s="41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</row>
    <row r="443" ht="25.5" customHeight="1">
      <c r="A443" s="40"/>
      <c r="B443" s="41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</row>
    <row r="444" ht="25.5" customHeight="1">
      <c r="A444" s="40"/>
      <c r="B444" s="41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</row>
    <row r="445" ht="25.5" customHeight="1">
      <c r="A445" s="40"/>
      <c r="B445" s="41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</row>
    <row r="446" ht="25.5" customHeight="1">
      <c r="A446" s="40"/>
      <c r="B446" s="41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</row>
    <row r="447" ht="25.5" customHeight="1">
      <c r="A447" s="40"/>
      <c r="B447" s="41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</row>
    <row r="448" ht="25.5" customHeight="1">
      <c r="A448" s="40"/>
      <c r="B448" s="41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</row>
    <row r="449" ht="25.5" customHeight="1">
      <c r="A449" s="40"/>
      <c r="B449" s="41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</row>
    <row r="450" ht="25.5" customHeight="1">
      <c r="A450" s="40"/>
      <c r="B450" s="41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</row>
    <row r="451" ht="25.5" customHeight="1">
      <c r="A451" s="40"/>
      <c r="B451" s="41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</row>
    <row r="452" ht="25.5" customHeight="1">
      <c r="A452" s="40"/>
      <c r="B452" s="41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</row>
    <row r="453" ht="25.5" customHeight="1">
      <c r="A453" s="40"/>
      <c r="B453" s="41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</row>
    <row r="454" ht="25.5" customHeight="1">
      <c r="A454" s="40"/>
      <c r="B454" s="41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</row>
    <row r="455" ht="25.5" customHeight="1">
      <c r="A455" s="40"/>
      <c r="B455" s="41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</row>
    <row r="456" ht="25.5" customHeight="1">
      <c r="A456" s="40"/>
      <c r="B456" s="41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</row>
    <row r="457" ht="25.5" customHeight="1">
      <c r="A457" s="40"/>
      <c r="B457" s="41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</row>
    <row r="458" ht="25.5" customHeight="1">
      <c r="A458" s="40"/>
      <c r="B458" s="41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</row>
    <row r="459" ht="25.5" customHeight="1">
      <c r="A459" s="40"/>
      <c r="B459" s="41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</row>
    <row r="460" ht="25.5" customHeight="1">
      <c r="A460" s="40"/>
      <c r="B460" s="41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</row>
    <row r="461" ht="25.5" customHeight="1">
      <c r="A461" s="40"/>
      <c r="B461" s="41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</row>
    <row r="462" ht="25.5" customHeight="1">
      <c r="A462" s="40"/>
      <c r="B462" s="41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</row>
    <row r="463" ht="25.5" customHeight="1">
      <c r="A463" s="40"/>
      <c r="B463" s="41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</row>
    <row r="464" ht="25.5" customHeight="1">
      <c r="A464" s="40"/>
      <c r="B464" s="41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</row>
    <row r="465" ht="25.5" customHeight="1">
      <c r="A465" s="40"/>
      <c r="B465" s="41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</row>
    <row r="466" ht="25.5" customHeight="1">
      <c r="A466" s="40"/>
      <c r="B466" s="41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</row>
    <row r="467" ht="25.5" customHeight="1">
      <c r="A467" s="40"/>
      <c r="B467" s="41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</row>
    <row r="468" ht="25.5" customHeight="1">
      <c r="A468" s="40"/>
      <c r="B468" s="41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</row>
    <row r="469" ht="25.5" customHeight="1">
      <c r="A469" s="40"/>
      <c r="B469" s="41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</row>
    <row r="470" ht="25.5" customHeight="1">
      <c r="A470" s="40"/>
      <c r="B470" s="41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</row>
    <row r="471" ht="25.5" customHeight="1">
      <c r="A471" s="40"/>
      <c r="B471" s="41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</row>
    <row r="472" ht="25.5" customHeight="1">
      <c r="A472" s="40"/>
      <c r="B472" s="41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</row>
    <row r="473" ht="25.5" customHeight="1">
      <c r="A473" s="40"/>
      <c r="B473" s="41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</row>
    <row r="474" ht="25.5" customHeight="1">
      <c r="A474" s="40"/>
      <c r="B474" s="41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</row>
    <row r="475" ht="25.5" customHeight="1">
      <c r="A475" s="40"/>
      <c r="B475" s="41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</row>
    <row r="476" ht="25.5" customHeight="1">
      <c r="A476" s="40"/>
      <c r="B476" s="41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</row>
    <row r="477" ht="25.5" customHeight="1">
      <c r="A477" s="40"/>
      <c r="B477" s="41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</row>
    <row r="478" ht="25.5" customHeight="1">
      <c r="A478" s="40"/>
      <c r="B478" s="41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</row>
    <row r="479" ht="25.5" customHeight="1">
      <c r="A479" s="40"/>
      <c r="B479" s="41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</row>
    <row r="480" ht="25.5" customHeight="1">
      <c r="A480" s="40"/>
      <c r="B480" s="41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</row>
    <row r="481" ht="25.5" customHeight="1">
      <c r="A481" s="40"/>
      <c r="B481" s="41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</row>
    <row r="482" ht="25.5" customHeight="1">
      <c r="A482" s="40"/>
      <c r="B482" s="41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</row>
    <row r="483" ht="25.5" customHeight="1">
      <c r="A483" s="40"/>
      <c r="B483" s="41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</row>
    <row r="484" ht="25.5" customHeight="1">
      <c r="A484" s="40"/>
      <c r="B484" s="41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</row>
    <row r="485" ht="25.5" customHeight="1">
      <c r="A485" s="40"/>
      <c r="B485" s="41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</row>
    <row r="486" ht="25.5" customHeight="1">
      <c r="A486" s="40"/>
      <c r="B486" s="41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</row>
    <row r="487" ht="25.5" customHeight="1">
      <c r="A487" s="40"/>
      <c r="B487" s="41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</row>
    <row r="488" ht="25.5" customHeight="1">
      <c r="A488" s="40"/>
      <c r="B488" s="41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</row>
    <row r="489" ht="25.5" customHeight="1">
      <c r="A489" s="40"/>
      <c r="B489" s="41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</row>
    <row r="490" ht="25.5" customHeight="1">
      <c r="A490" s="40"/>
      <c r="B490" s="41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</row>
    <row r="491" ht="25.5" customHeight="1">
      <c r="A491" s="40"/>
      <c r="B491" s="41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</row>
    <row r="492" ht="25.5" customHeight="1">
      <c r="A492" s="40"/>
      <c r="B492" s="41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</row>
    <row r="493" ht="25.5" customHeight="1">
      <c r="A493" s="40"/>
      <c r="B493" s="41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</row>
    <row r="494" ht="25.5" customHeight="1">
      <c r="A494" s="40"/>
      <c r="B494" s="41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</row>
    <row r="495" ht="25.5" customHeight="1">
      <c r="A495" s="40"/>
      <c r="B495" s="41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</row>
    <row r="496" ht="25.5" customHeight="1">
      <c r="A496" s="40"/>
      <c r="B496" s="41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</row>
    <row r="497" ht="25.5" customHeight="1">
      <c r="A497" s="40"/>
      <c r="B497" s="41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</row>
    <row r="498" ht="25.5" customHeight="1">
      <c r="A498" s="40"/>
      <c r="B498" s="41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</row>
    <row r="499" ht="25.5" customHeight="1">
      <c r="A499" s="40"/>
      <c r="B499" s="41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</row>
    <row r="500" ht="25.5" customHeight="1">
      <c r="A500" s="40"/>
      <c r="B500" s="41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</row>
    <row r="501" ht="25.5" customHeight="1">
      <c r="A501" s="40"/>
      <c r="B501" s="41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</row>
    <row r="502" ht="25.5" customHeight="1">
      <c r="A502" s="40"/>
      <c r="B502" s="41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</row>
    <row r="503" ht="25.5" customHeight="1">
      <c r="A503" s="40"/>
      <c r="B503" s="41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</row>
    <row r="504" ht="25.5" customHeight="1">
      <c r="A504" s="40"/>
      <c r="B504" s="41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</row>
    <row r="505" ht="25.5" customHeight="1">
      <c r="A505" s="40"/>
      <c r="B505" s="41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</row>
    <row r="506" ht="25.5" customHeight="1">
      <c r="A506" s="40"/>
      <c r="B506" s="41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</row>
    <row r="507" ht="25.5" customHeight="1">
      <c r="A507" s="40"/>
      <c r="B507" s="41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</row>
    <row r="508" ht="25.5" customHeight="1">
      <c r="A508" s="40"/>
      <c r="B508" s="41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</row>
    <row r="509" ht="25.5" customHeight="1">
      <c r="A509" s="40"/>
      <c r="B509" s="41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</row>
    <row r="510" ht="25.5" customHeight="1">
      <c r="A510" s="40"/>
      <c r="B510" s="41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</row>
    <row r="511" ht="25.5" customHeight="1">
      <c r="A511" s="40"/>
      <c r="B511" s="41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</row>
    <row r="512" ht="25.5" customHeight="1">
      <c r="A512" s="40"/>
      <c r="B512" s="41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</row>
    <row r="513" ht="25.5" customHeight="1">
      <c r="A513" s="40"/>
      <c r="B513" s="41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</row>
    <row r="514" ht="25.5" customHeight="1">
      <c r="A514" s="40"/>
      <c r="B514" s="41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</row>
    <row r="515" ht="25.5" customHeight="1">
      <c r="A515" s="40"/>
      <c r="B515" s="41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</row>
    <row r="516" ht="25.5" customHeight="1">
      <c r="A516" s="40"/>
      <c r="B516" s="41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</row>
    <row r="517" ht="25.5" customHeight="1">
      <c r="A517" s="40"/>
      <c r="B517" s="41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</row>
    <row r="518" ht="25.5" customHeight="1">
      <c r="A518" s="40"/>
      <c r="B518" s="41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</row>
    <row r="519" ht="25.5" customHeight="1">
      <c r="A519" s="40"/>
      <c r="B519" s="41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</row>
    <row r="520" ht="25.5" customHeight="1">
      <c r="A520" s="40"/>
      <c r="B520" s="41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</row>
    <row r="521" ht="25.5" customHeight="1">
      <c r="A521" s="40"/>
      <c r="B521" s="41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</row>
    <row r="522" ht="25.5" customHeight="1">
      <c r="A522" s="40"/>
      <c r="B522" s="41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</row>
    <row r="523" ht="25.5" customHeight="1">
      <c r="A523" s="40"/>
      <c r="B523" s="41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</row>
    <row r="524" ht="25.5" customHeight="1">
      <c r="A524" s="40"/>
      <c r="B524" s="41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</row>
    <row r="525" ht="25.5" customHeight="1">
      <c r="A525" s="40"/>
      <c r="B525" s="41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</row>
    <row r="526" ht="25.5" customHeight="1">
      <c r="A526" s="40"/>
      <c r="B526" s="41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</row>
    <row r="527" ht="25.5" customHeight="1">
      <c r="A527" s="40"/>
      <c r="B527" s="41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</row>
    <row r="528" ht="25.5" customHeight="1">
      <c r="A528" s="40"/>
      <c r="B528" s="41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</row>
    <row r="529" ht="25.5" customHeight="1">
      <c r="A529" s="40"/>
      <c r="B529" s="41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</row>
    <row r="530" ht="25.5" customHeight="1">
      <c r="A530" s="40"/>
      <c r="B530" s="41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</row>
    <row r="531" ht="25.5" customHeight="1">
      <c r="A531" s="40"/>
      <c r="B531" s="41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</row>
    <row r="532" ht="25.5" customHeight="1">
      <c r="A532" s="40"/>
      <c r="B532" s="41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</row>
    <row r="533" ht="25.5" customHeight="1">
      <c r="A533" s="40"/>
      <c r="B533" s="41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</row>
    <row r="534" ht="25.5" customHeight="1">
      <c r="A534" s="40"/>
      <c r="B534" s="41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</row>
    <row r="535" ht="25.5" customHeight="1">
      <c r="A535" s="40"/>
      <c r="B535" s="41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</row>
    <row r="536" ht="25.5" customHeight="1">
      <c r="A536" s="40"/>
      <c r="B536" s="41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</row>
    <row r="537" ht="25.5" customHeight="1">
      <c r="A537" s="40"/>
      <c r="B537" s="41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</row>
    <row r="538" ht="25.5" customHeight="1">
      <c r="A538" s="40"/>
      <c r="B538" s="41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AR538" s="42"/>
      <c r="AS538" s="42"/>
      <c r="AT538" s="42"/>
      <c r="AU538" s="42"/>
      <c r="AV538" s="42"/>
    </row>
    <row r="539" ht="25.5" customHeight="1">
      <c r="A539" s="40"/>
      <c r="B539" s="41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  <c r="AT539" s="42"/>
      <c r="AU539" s="42"/>
      <c r="AV539" s="42"/>
    </row>
    <row r="540" ht="25.5" customHeight="1">
      <c r="A540" s="40"/>
      <c r="B540" s="41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  <c r="AT540" s="42"/>
      <c r="AU540" s="42"/>
      <c r="AV540" s="42"/>
    </row>
    <row r="541" ht="25.5" customHeight="1">
      <c r="A541" s="40"/>
      <c r="B541" s="41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2"/>
      <c r="AS541" s="42"/>
      <c r="AT541" s="42"/>
      <c r="AU541" s="42"/>
      <c r="AV541" s="42"/>
    </row>
    <row r="542" ht="25.5" customHeight="1">
      <c r="A542" s="40"/>
      <c r="B542" s="41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  <c r="AR542" s="42"/>
      <c r="AS542" s="42"/>
      <c r="AT542" s="42"/>
      <c r="AU542" s="42"/>
      <c r="AV542" s="42"/>
    </row>
    <row r="543" ht="25.5" customHeight="1">
      <c r="A543" s="40"/>
      <c r="B543" s="41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  <c r="AR543" s="42"/>
      <c r="AS543" s="42"/>
      <c r="AT543" s="42"/>
      <c r="AU543" s="42"/>
      <c r="AV543" s="42"/>
    </row>
    <row r="544" ht="25.5" customHeight="1">
      <c r="A544" s="40"/>
      <c r="B544" s="41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  <c r="AR544" s="42"/>
      <c r="AS544" s="42"/>
      <c r="AT544" s="42"/>
      <c r="AU544" s="42"/>
      <c r="AV544" s="42"/>
    </row>
    <row r="545" ht="25.5" customHeight="1">
      <c r="A545" s="40"/>
      <c r="B545" s="41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  <c r="AR545" s="42"/>
      <c r="AS545" s="42"/>
      <c r="AT545" s="42"/>
      <c r="AU545" s="42"/>
      <c r="AV545" s="42"/>
    </row>
    <row r="546" ht="25.5" customHeight="1">
      <c r="A546" s="40"/>
      <c r="B546" s="41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  <c r="AT546" s="42"/>
      <c r="AU546" s="42"/>
      <c r="AV546" s="42"/>
    </row>
    <row r="547" ht="25.5" customHeight="1">
      <c r="A547" s="40"/>
      <c r="B547" s="41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  <c r="AR547" s="42"/>
      <c r="AS547" s="42"/>
      <c r="AT547" s="42"/>
      <c r="AU547" s="42"/>
      <c r="AV547" s="42"/>
    </row>
    <row r="548" ht="25.5" customHeight="1">
      <c r="A548" s="40"/>
      <c r="B548" s="41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/>
    </row>
    <row r="549" ht="25.5" customHeight="1">
      <c r="A549" s="40"/>
      <c r="B549" s="41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  <c r="AT549" s="42"/>
      <c r="AU549" s="42"/>
      <c r="AV549" s="42"/>
    </row>
    <row r="550" ht="25.5" customHeight="1">
      <c r="A550" s="40"/>
      <c r="B550" s="41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/>
    </row>
    <row r="551" ht="25.5" customHeight="1">
      <c r="A551" s="40"/>
      <c r="B551" s="41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  <c r="AT551" s="42"/>
      <c r="AU551" s="42"/>
      <c r="AV551" s="42"/>
    </row>
    <row r="552" ht="25.5" customHeight="1">
      <c r="A552" s="40"/>
      <c r="B552" s="41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  <c r="AU552" s="42"/>
      <c r="AV552" s="42"/>
    </row>
    <row r="553" ht="25.5" customHeight="1">
      <c r="A553" s="40"/>
      <c r="B553" s="41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  <c r="AR553" s="42"/>
      <c r="AS553" s="42"/>
      <c r="AT553" s="42"/>
      <c r="AU553" s="42"/>
      <c r="AV553" s="42"/>
    </row>
    <row r="554" ht="25.5" customHeight="1">
      <c r="A554" s="40"/>
      <c r="B554" s="41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</row>
    <row r="555" ht="25.5" customHeight="1">
      <c r="A555" s="40"/>
      <c r="B555" s="41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  <c r="AR555" s="42"/>
      <c r="AS555" s="42"/>
      <c r="AT555" s="42"/>
      <c r="AU555" s="42"/>
      <c r="AV555" s="42"/>
    </row>
    <row r="556" ht="25.5" customHeight="1">
      <c r="A556" s="40"/>
      <c r="B556" s="41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  <c r="AT556" s="42"/>
      <c r="AU556" s="42"/>
      <c r="AV556" s="42"/>
    </row>
    <row r="557" ht="25.5" customHeight="1">
      <c r="A557" s="40"/>
      <c r="B557" s="41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  <c r="AR557" s="42"/>
      <c r="AS557" s="42"/>
      <c r="AT557" s="42"/>
      <c r="AU557" s="42"/>
      <c r="AV557" s="42"/>
    </row>
    <row r="558" ht="25.5" customHeight="1">
      <c r="A558" s="40"/>
      <c r="B558" s="41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  <c r="AT558" s="42"/>
      <c r="AU558" s="42"/>
      <c r="AV558" s="42"/>
    </row>
    <row r="559" ht="25.5" customHeight="1">
      <c r="A559" s="40"/>
      <c r="B559" s="41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  <c r="AR559" s="42"/>
      <c r="AS559" s="42"/>
      <c r="AT559" s="42"/>
      <c r="AU559" s="42"/>
      <c r="AV559" s="42"/>
    </row>
    <row r="560" ht="25.5" customHeight="1">
      <c r="A560" s="40"/>
      <c r="B560" s="41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  <c r="AT560" s="42"/>
      <c r="AU560" s="42"/>
      <c r="AV560" s="42"/>
    </row>
    <row r="561" ht="25.5" customHeight="1">
      <c r="A561" s="40"/>
      <c r="B561" s="41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  <c r="AR561" s="42"/>
      <c r="AS561" s="42"/>
      <c r="AT561" s="42"/>
      <c r="AU561" s="42"/>
      <c r="AV561" s="42"/>
    </row>
    <row r="562" ht="25.5" customHeight="1">
      <c r="A562" s="40"/>
      <c r="B562" s="41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  <c r="AT562" s="42"/>
      <c r="AU562" s="42"/>
      <c r="AV562" s="42"/>
    </row>
    <row r="563" ht="25.5" customHeight="1">
      <c r="A563" s="40"/>
      <c r="B563" s="41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  <c r="AR563" s="42"/>
      <c r="AS563" s="42"/>
      <c r="AT563" s="42"/>
      <c r="AU563" s="42"/>
      <c r="AV563" s="42"/>
    </row>
    <row r="564" ht="25.5" customHeight="1">
      <c r="A564" s="40"/>
      <c r="B564" s="41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  <c r="AT564" s="42"/>
      <c r="AU564" s="42"/>
      <c r="AV564" s="42"/>
    </row>
    <row r="565" ht="25.5" customHeight="1">
      <c r="A565" s="40"/>
      <c r="B565" s="41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  <c r="AR565" s="42"/>
      <c r="AS565" s="42"/>
      <c r="AT565" s="42"/>
      <c r="AU565" s="42"/>
      <c r="AV565" s="42"/>
    </row>
    <row r="566" ht="25.5" customHeight="1">
      <c r="A566" s="40"/>
      <c r="B566" s="41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</row>
    <row r="567" ht="25.5" customHeight="1">
      <c r="A567" s="40"/>
      <c r="B567" s="41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/>
    </row>
    <row r="568" ht="25.5" customHeight="1">
      <c r="A568" s="40"/>
      <c r="B568" s="41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  <c r="AR568" s="42"/>
      <c r="AS568" s="42"/>
      <c r="AT568" s="42"/>
      <c r="AU568" s="42"/>
      <c r="AV568" s="42"/>
    </row>
    <row r="569" ht="25.5" customHeight="1">
      <c r="A569" s="40"/>
      <c r="B569" s="41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  <c r="AU569" s="42"/>
      <c r="AV569" s="42"/>
    </row>
    <row r="570" ht="25.5" customHeight="1">
      <c r="A570" s="40"/>
      <c r="B570" s="41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  <c r="AR570" s="42"/>
      <c r="AS570" s="42"/>
      <c r="AT570" s="42"/>
      <c r="AU570" s="42"/>
      <c r="AV570" s="42"/>
    </row>
    <row r="571" ht="25.5" customHeight="1">
      <c r="A571" s="40"/>
      <c r="B571" s="41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  <c r="AT571" s="42"/>
      <c r="AU571" s="42"/>
      <c r="AV571" s="42"/>
    </row>
    <row r="572" ht="25.5" customHeight="1">
      <c r="A572" s="40"/>
      <c r="B572" s="41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  <c r="AT572" s="42"/>
      <c r="AU572" s="42"/>
      <c r="AV572" s="42"/>
    </row>
    <row r="573" ht="25.5" customHeight="1">
      <c r="A573" s="40"/>
      <c r="B573" s="41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</row>
    <row r="574" ht="25.5" customHeight="1">
      <c r="A574" s="40"/>
      <c r="B574" s="41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  <c r="AT574" s="42"/>
      <c r="AU574" s="42"/>
      <c r="AV574" s="42"/>
    </row>
  </sheetData>
  <autoFilter ref="$B$2:$N$14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13.13"/>
    <col customWidth="1" min="4" max="4" width="30.38"/>
    <col customWidth="1" min="5" max="6" width="19.5"/>
    <col customWidth="1" min="7" max="7" width="18.63"/>
    <col customWidth="1" min="8" max="9" width="9.0"/>
    <col customWidth="1" min="10" max="11" width="12.63"/>
    <col customWidth="1" min="12" max="12" width="14.38"/>
    <col customWidth="1" min="13" max="13" width="14.75"/>
    <col customWidth="1" min="14" max="15" width="12.63"/>
    <col customWidth="1" min="16" max="19" width="21.63"/>
    <col customWidth="1" min="20" max="20" width="2.25"/>
  </cols>
  <sheetData>
    <row r="1" ht="19.5" customHeight="1">
      <c r="A1" s="55" t="s">
        <v>68</v>
      </c>
      <c r="B1" s="56"/>
      <c r="C1" s="57"/>
      <c r="D1" s="58"/>
      <c r="E1" s="57"/>
      <c r="F1" s="57"/>
      <c r="G1" s="57"/>
      <c r="H1" s="57"/>
      <c r="I1" s="57"/>
      <c r="J1" s="57"/>
      <c r="K1" s="57"/>
      <c r="L1" s="57"/>
      <c r="M1" s="57"/>
      <c r="N1" s="2"/>
      <c r="O1" s="2"/>
      <c r="P1" s="2"/>
      <c r="Q1" s="5"/>
      <c r="R1" s="2"/>
      <c r="S1" s="2"/>
      <c r="T1" s="2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62"/>
      <c r="O2" s="63"/>
      <c r="P2" s="63"/>
      <c r="Q2" s="64"/>
      <c r="R2" s="63"/>
      <c r="S2" s="63"/>
      <c r="T2" s="2"/>
    </row>
    <row r="3" ht="30.75" customHeight="1">
      <c r="A3" s="65" t="s">
        <v>70</v>
      </c>
      <c r="B3" s="60"/>
      <c r="C3" s="60"/>
      <c r="D3" s="60"/>
      <c r="E3" s="60"/>
      <c r="F3" s="60"/>
      <c r="G3" s="66">
        <v>45661.0</v>
      </c>
      <c r="H3" s="60"/>
      <c r="I3" s="60"/>
      <c r="J3" s="60"/>
      <c r="K3" s="67"/>
      <c r="L3" s="67"/>
      <c r="M3" s="68"/>
      <c r="N3" s="69"/>
      <c r="O3" s="70" t="s">
        <v>71</v>
      </c>
      <c r="P3" s="70"/>
      <c r="Q3" s="71"/>
      <c r="R3" s="70"/>
      <c r="S3" s="63"/>
      <c r="T3" s="2"/>
    </row>
    <row r="4" ht="27.0" customHeight="1">
      <c r="A4" s="72" t="s">
        <v>0</v>
      </c>
      <c r="B4" s="72" t="s">
        <v>7</v>
      </c>
      <c r="C4" s="72" t="s">
        <v>8</v>
      </c>
      <c r="D4" s="73" t="s">
        <v>9</v>
      </c>
      <c r="E4" s="72" t="s">
        <v>10</v>
      </c>
      <c r="F4" s="73" t="s">
        <v>11</v>
      </c>
      <c r="G4" s="73" t="s">
        <v>12</v>
      </c>
      <c r="H4" s="74" t="s">
        <v>72</v>
      </c>
      <c r="I4" s="74" t="s">
        <v>73</v>
      </c>
      <c r="J4" s="74" t="s">
        <v>15</v>
      </c>
      <c r="K4" s="74" t="s">
        <v>16</v>
      </c>
      <c r="L4" s="74" t="s">
        <v>17</v>
      </c>
      <c r="M4" s="74" t="s">
        <v>18</v>
      </c>
      <c r="N4" s="75" t="s">
        <v>19</v>
      </c>
      <c r="O4" s="75" t="s">
        <v>20</v>
      </c>
      <c r="P4" s="75" t="s">
        <v>21</v>
      </c>
      <c r="Q4" s="76" t="s">
        <v>22</v>
      </c>
      <c r="R4" s="72" t="s">
        <v>74</v>
      </c>
      <c r="S4" s="62"/>
      <c r="T4" s="2"/>
    </row>
    <row r="5" ht="21.75" customHeight="1">
      <c r="A5" s="77">
        <v>1.0</v>
      </c>
      <c r="B5" s="78">
        <v>46008.0</v>
      </c>
      <c r="C5" s="79">
        <v>7.2041694E7</v>
      </c>
      <c r="D5" s="80" t="s">
        <v>75</v>
      </c>
      <c r="E5" s="79" t="s">
        <v>76</v>
      </c>
      <c r="F5" s="79" t="s">
        <v>77</v>
      </c>
      <c r="G5" s="79" t="s">
        <v>78</v>
      </c>
      <c r="H5" s="81" t="s">
        <v>79</v>
      </c>
      <c r="I5" s="79"/>
      <c r="J5" s="79">
        <v>250.0</v>
      </c>
      <c r="K5" s="79"/>
      <c r="L5" s="79" t="s">
        <v>80</v>
      </c>
      <c r="M5" s="79" t="s">
        <v>81</v>
      </c>
      <c r="N5" s="82">
        <v>250.0</v>
      </c>
      <c r="O5" s="82"/>
      <c r="P5" s="82" t="s">
        <v>50</v>
      </c>
      <c r="Q5" s="83">
        <f t="shared" ref="Q5:Q72" si="1">N5+O5</f>
        <v>250</v>
      </c>
      <c r="R5" s="84"/>
      <c r="S5" s="62"/>
      <c r="T5" s="2"/>
    </row>
    <row r="6" ht="21.75" customHeight="1">
      <c r="A6" s="85">
        <f t="shared" ref="A6:A72" si="2">A5+1</f>
        <v>2</v>
      </c>
      <c r="B6" s="86">
        <v>46011.0</v>
      </c>
      <c r="C6" s="79">
        <v>7.5931158E7</v>
      </c>
      <c r="D6" s="80" t="s">
        <v>82</v>
      </c>
      <c r="E6" s="79" t="s">
        <v>83</v>
      </c>
      <c r="F6" s="79" t="s">
        <v>84</v>
      </c>
      <c r="G6" s="79"/>
      <c r="H6" s="81" t="s">
        <v>79</v>
      </c>
      <c r="I6" s="79"/>
      <c r="J6" s="79">
        <v>190.0</v>
      </c>
      <c r="K6" s="79"/>
      <c r="L6" s="79" t="s">
        <v>80</v>
      </c>
      <c r="M6" s="79" t="s">
        <v>81</v>
      </c>
      <c r="N6" s="82">
        <v>190.0</v>
      </c>
      <c r="O6" s="82"/>
      <c r="P6" s="82" t="s">
        <v>45</v>
      </c>
      <c r="Q6" s="83">
        <f t="shared" si="1"/>
        <v>190</v>
      </c>
      <c r="R6" s="84"/>
      <c r="S6" s="62"/>
      <c r="T6" s="14"/>
    </row>
    <row r="7" ht="21.75" customHeight="1">
      <c r="A7" s="85">
        <f t="shared" si="2"/>
        <v>3</v>
      </c>
      <c r="B7" s="86">
        <v>46011.0</v>
      </c>
      <c r="C7" s="79">
        <v>2.5631173E7</v>
      </c>
      <c r="D7" s="80" t="s">
        <v>85</v>
      </c>
      <c r="E7" s="79" t="s">
        <v>86</v>
      </c>
      <c r="F7" s="79" t="s">
        <v>87</v>
      </c>
      <c r="G7" s="79"/>
      <c r="H7" s="81" t="s">
        <v>79</v>
      </c>
      <c r="I7" s="79"/>
      <c r="J7" s="79">
        <v>190.0</v>
      </c>
      <c r="K7" s="79"/>
      <c r="L7" s="79" t="s">
        <v>80</v>
      </c>
      <c r="M7" s="79" t="s">
        <v>81</v>
      </c>
      <c r="N7" s="82">
        <v>190.0</v>
      </c>
      <c r="O7" s="82"/>
      <c r="P7" s="82" t="s">
        <v>45</v>
      </c>
      <c r="Q7" s="83">
        <f t="shared" si="1"/>
        <v>190</v>
      </c>
      <c r="R7" s="84"/>
      <c r="S7" s="62"/>
      <c r="T7" s="14"/>
    </row>
    <row r="8" ht="21.75" customHeight="1">
      <c r="A8" s="85">
        <f t="shared" si="2"/>
        <v>4</v>
      </c>
      <c r="B8" s="87"/>
      <c r="C8" s="79"/>
      <c r="E8" s="80"/>
      <c r="F8" s="79"/>
      <c r="G8" s="79"/>
      <c r="H8" s="81"/>
      <c r="I8" s="79"/>
      <c r="J8" s="79"/>
      <c r="K8" s="79"/>
      <c r="L8" s="79"/>
      <c r="M8" s="79"/>
      <c r="N8" s="82"/>
      <c r="O8" s="82"/>
      <c r="P8" s="82"/>
      <c r="Q8" s="83">
        <f t="shared" si="1"/>
        <v>0</v>
      </c>
      <c r="R8" s="84" t="s">
        <v>88</v>
      </c>
      <c r="S8" s="62"/>
      <c r="T8" s="14"/>
    </row>
    <row r="9" ht="21.75" customHeight="1">
      <c r="A9" s="85">
        <f t="shared" si="2"/>
        <v>5</v>
      </c>
      <c r="B9" s="78">
        <v>45970.0</v>
      </c>
      <c r="C9" s="79">
        <v>7.5728889E7</v>
      </c>
      <c r="D9" s="80" t="s">
        <v>89</v>
      </c>
      <c r="E9" s="79" t="s">
        <v>90</v>
      </c>
      <c r="F9" s="79" t="s">
        <v>91</v>
      </c>
      <c r="G9" s="79" t="s">
        <v>92</v>
      </c>
      <c r="H9" s="81" t="s">
        <v>79</v>
      </c>
      <c r="I9" s="79"/>
      <c r="J9" s="79">
        <v>110.0</v>
      </c>
      <c r="K9" s="79">
        <v>110.0</v>
      </c>
      <c r="L9" s="79" t="s">
        <v>93</v>
      </c>
      <c r="M9" s="79" t="s">
        <v>81</v>
      </c>
      <c r="N9" s="82">
        <v>110.0</v>
      </c>
      <c r="O9" s="82">
        <v>110.0</v>
      </c>
      <c r="P9" s="82" t="s">
        <v>50</v>
      </c>
      <c r="Q9" s="83">
        <f t="shared" si="1"/>
        <v>220</v>
      </c>
      <c r="R9" s="84"/>
      <c r="S9" s="62"/>
      <c r="T9" s="14"/>
    </row>
    <row r="10" ht="21.75" customHeight="1">
      <c r="A10" s="85">
        <f t="shared" si="2"/>
        <v>6</v>
      </c>
      <c r="B10" s="86">
        <v>46017.0</v>
      </c>
      <c r="C10" s="79">
        <v>4.4000113E7</v>
      </c>
      <c r="D10" s="80" t="s">
        <v>94</v>
      </c>
      <c r="E10" s="79" t="s">
        <v>95</v>
      </c>
      <c r="F10" s="79" t="s">
        <v>96</v>
      </c>
      <c r="G10" s="79" t="s">
        <v>97</v>
      </c>
      <c r="H10" s="81" t="s">
        <v>79</v>
      </c>
      <c r="I10" s="79"/>
      <c r="J10" s="79">
        <v>95.0</v>
      </c>
      <c r="K10" s="79">
        <v>95.0</v>
      </c>
      <c r="L10" s="79" t="s">
        <v>93</v>
      </c>
      <c r="M10" s="79" t="s">
        <v>98</v>
      </c>
      <c r="N10" s="82">
        <v>95.0</v>
      </c>
      <c r="O10" s="82">
        <v>95.0</v>
      </c>
      <c r="P10" s="82" t="s">
        <v>45</v>
      </c>
      <c r="Q10" s="83">
        <f t="shared" si="1"/>
        <v>190</v>
      </c>
      <c r="R10" s="84"/>
      <c r="S10" s="62"/>
      <c r="T10" s="14"/>
    </row>
    <row r="11" ht="21.75" customHeight="1">
      <c r="A11" s="85">
        <f t="shared" si="2"/>
        <v>7</v>
      </c>
      <c r="B11" s="86">
        <v>46017.0</v>
      </c>
      <c r="C11" s="79">
        <v>4.3619681E7</v>
      </c>
      <c r="D11" s="80" t="s">
        <v>99</v>
      </c>
      <c r="E11" s="79" t="s">
        <v>100</v>
      </c>
      <c r="F11" s="79" t="s">
        <v>96</v>
      </c>
      <c r="G11" s="79"/>
      <c r="H11" s="81" t="s">
        <v>79</v>
      </c>
      <c r="I11" s="79"/>
      <c r="J11" s="79">
        <v>95.0</v>
      </c>
      <c r="K11" s="79">
        <v>95.0</v>
      </c>
      <c r="L11" s="79" t="s">
        <v>93</v>
      </c>
      <c r="M11" s="79" t="s">
        <v>98</v>
      </c>
      <c r="N11" s="82">
        <v>95.0</v>
      </c>
      <c r="O11" s="82">
        <v>95.0</v>
      </c>
      <c r="P11" s="82" t="s">
        <v>45</v>
      </c>
      <c r="Q11" s="83">
        <f t="shared" si="1"/>
        <v>190</v>
      </c>
      <c r="R11" s="84"/>
      <c r="S11" s="62"/>
      <c r="T11" s="14"/>
    </row>
    <row r="12" ht="21.75" customHeight="1">
      <c r="A12" s="85">
        <f t="shared" si="2"/>
        <v>8</v>
      </c>
      <c r="B12" s="86">
        <v>46017.0</v>
      </c>
      <c r="C12" s="79">
        <v>4.3943113E7</v>
      </c>
      <c r="D12" s="80" t="s">
        <v>101</v>
      </c>
      <c r="E12" s="79" t="s">
        <v>102</v>
      </c>
      <c r="F12" s="79" t="s">
        <v>96</v>
      </c>
      <c r="G12" s="79"/>
      <c r="H12" s="81" t="s">
        <v>79</v>
      </c>
      <c r="I12" s="79"/>
      <c r="J12" s="79">
        <v>95.0</v>
      </c>
      <c r="K12" s="79">
        <v>95.0</v>
      </c>
      <c r="L12" s="79" t="s">
        <v>93</v>
      </c>
      <c r="M12" s="79" t="s">
        <v>98</v>
      </c>
      <c r="N12" s="82">
        <v>95.0</v>
      </c>
      <c r="O12" s="82">
        <v>95.0</v>
      </c>
      <c r="P12" s="82" t="s">
        <v>45</v>
      </c>
      <c r="Q12" s="83">
        <f t="shared" si="1"/>
        <v>190</v>
      </c>
      <c r="R12" s="84"/>
      <c r="S12" s="62"/>
      <c r="T12" s="14"/>
    </row>
    <row r="13" ht="21.75" customHeight="1">
      <c r="A13" s="85">
        <f t="shared" si="2"/>
        <v>9</v>
      </c>
      <c r="B13" s="88">
        <v>46020.0</v>
      </c>
      <c r="C13" s="79"/>
      <c r="D13" s="80" t="s">
        <v>103</v>
      </c>
      <c r="E13" s="79"/>
      <c r="F13" s="79"/>
      <c r="G13" s="79"/>
      <c r="H13" s="81" t="s">
        <v>104</v>
      </c>
      <c r="I13" s="79"/>
      <c r="J13" s="79">
        <v>190.0</v>
      </c>
      <c r="K13" s="79"/>
      <c r="L13" s="79" t="s">
        <v>80</v>
      </c>
      <c r="M13" s="79" t="s">
        <v>98</v>
      </c>
      <c r="N13" s="82">
        <v>190.0</v>
      </c>
      <c r="O13" s="82"/>
      <c r="P13" s="82" t="s">
        <v>47</v>
      </c>
      <c r="Q13" s="83">
        <f t="shared" si="1"/>
        <v>190</v>
      </c>
      <c r="R13" s="84"/>
      <c r="S13" s="62"/>
      <c r="T13" s="14"/>
    </row>
    <row r="14" ht="21.75" customHeight="1">
      <c r="A14" s="85">
        <f t="shared" si="2"/>
        <v>10</v>
      </c>
      <c r="B14" s="88">
        <v>46020.0</v>
      </c>
      <c r="C14" s="79"/>
      <c r="D14" s="80" t="s">
        <v>105</v>
      </c>
      <c r="E14" s="79"/>
      <c r="F14" s="79"/>
      <c r="G14" s="79"/>
      <c r="H14" s="81" t="s">
        <v>104</v>
      </c>
      <c r="I14" s="79"/>
      <c r="J14" s="79">
        <v>190.0</v>
      </c>
      <c r="K14" s="79"/>
      <c r="L14" s="79" t="s">
        <v>80</v>
      </c>
      <c r="M14" s="79" t="s">
        <v>98</v>
      </c>
      <c r="N14" s="82">
        <v>190.0</v>
      </c>
      <c r="O14" s="82"/>
      <c r="P14" s="82" t="s">
        <v>47</v>
      </c>
      <c r="Q14" s="83">
        <f t="shared" si="1"/>
        <v>190</v>
      </c>
      <c r="R14" s="84"/>
      <c r="S14" s="62"/>
      <c r="T14" s="14"/>
    </row>
    <row r="15" ht="21.75" customHeight="1">
      <c r="A15" s="85">
        <f t="shared" si="2"/>
        <v>11</v>
      </c>
      <c r="B15" s="88">
        <v>46020.0</v>
      </c>
      <c r="C15" s="79"/>
      <c r="D15" s="80" t="s">
        <v>106</v>
      </c>
      <c r="E15" s="79"/>
      <c r="F15" s="79" t="s">
        <v>96</v>
      </c>
      <c r="G15" s="79"/>
      <c r="H15" s="81" t="s">
        <v>104</v>
      </c>
      <c r="I15" s="79"/>
      <c r="J15" s="79">
        <v>50.0</v>
      </c>
      <c r="K15" s="79">
        <v>125.0</v>
      </c>
      <c r="L15" s="79" t="s">
        <v>93</v>
      </c>
      <c r="M15" s="79" t="s">
        <v>98</v>
      </c>
      <c r="N15" s="82">
        <v>50.0</v>
      </c>
      <c r="O15" s="82">
        <v>125.0</v>
      </c>
      <c r="P15" s="82" t="s">
        <v>47</v>
      </c>
      <c r="Q15" s="83">
        <f t="shared" si="1"/>
        <v>175</v>
      </c>
      <c r="R15" s="84"/>
      <c r="S15" s="62"/>
      <c r="T15" s="14"/>
    </row>
    <row r="16" ht="21.75" customHeight="1">
      <c r="A16" s="85">
        <f t="shared" si="2"/>
        <v>12</v>
      </c>
      <c r="B16" s="88">
        <v>46020.0</v>
      </c>
      <c r="C16" s="79"/>
      <c r="D16" s="80" t="s">
        <v>107</v>
      </c>
      <c r="E16" s="79"/>
      <c r="F16" s="79" t="s">
        <v>96</v>
      </c>
      <c r="G16" s="79"/>
      <c r="H16" s="81" t="s">
        <v>104</v>
      </c>
      <c r="I16" s="79"/>
      <c r="J16" s="79">
        <v>50.0</v>
      </c>
      <c r="K16" s="79">
        <v>125.0</v>
      </c>
      <c r="L16" s="79" t="s">
        <v>93</v>
      </c>
      <c r="M16" s="79" t="s">
        <v>98</v>
      </c>
      <c r="N16" s="82">
        <v>50.0</v>
      </c>
      <c r="O16" s="82">
        <v>125.0</v>
      </c>
      <c r="P16" s="82" t="s">
        <v>47</v>
      </c>
      <c r="Q16" s="83">
        <f t="shared" si="1"/>
        <v>175</v>
      </c>
      <c r="R16" s="84"/>
      <c r="S16" s="62"/>
      <c r="T16" s="14"/>
    </row>
    <row r="17" ht="21.75" customHeight="1">
      <c r="A17" s="85">
        <f t="shared" si="2"/>
        <v>13</v>
      </c>
      <c r="B17" s="88">
        <v>46020.0</v>
      </c>
      <c r="C17" s="79"/>
      <c r="D17" s="80" t="s">
        <v>108</v>
      </c>
      <c r="E17" s="79"/>
      <c r="F17" s="79" t="s">
        <v>96</v>
      </c>
      <c r="G17" s="79"/>
      <c r="H17" s="81" t="s">
        <v>104</v>
      </c>
      <c r="I17" s="79"/>
      <c r="J17" s="79">
        <v>50.0</v>
      </c>
      <c r="K17" s="79">
        <v>125.0</v>
      </c>
      <c r="L17" s="79" t="s">
        <v>93</v>
      </c>
      <c r="M17" s="79" t="s">
        <v>98</v>
      </c>
      <c r="N17" s="82">
        <v>50.0</v>
      </c>
      <c r="O17" s="82">
        <v>125.0</v>
      </c>
      <c r="P17" s="82" t="s">
        <v>47</v>
      </c>
      <c r="Q17" s="83">
        <f t="shared" si="1"/>
        <v>175</v>
      </c>
      <c r="R17" s="84"/>
      <c r="S17" s="62"/>
      <c r="T17" s="14"/>
    </row>
    <row r="18" ht="21.75" customHeight="1">
      <c r="A18" s="85">
        <f t="shared" si="2"/>
        <v>14</v>
      </c>
      <c r="B18" s="88">
        <v>46020.0</v>
      </c>
      <c r="C18" s="79"/>
      <c r="D18" s="80" t="s">
        <v>109</v>
      </c>
      <c r="E18" s="79"/>
      <c r="F18" s="79" t="s">
        <v>96</v>
      </c>
      <c r="G18" s="79"/>
      <c r="H18" s="81" t="s">
        <v>104</v>
      </c>
      <c r="I18" s="79"/>
      <c r="J18" s="79">
        <v>50.0</v>
      </c>
      <c r="K18" s="79">
        <v>125.0</v>
      </c>
      <c r="L18" s="79" t="s">
        <v>93</v>
      </c>
      <c r="M18" s="79" t="s">
        <v>98</v>
      </c>
      <c r="N18" s="82">
        <v>50.0</v>
      </c>
      <c r="O18" s="82">
        <v>125.0</v>
      </c>
      <c r="P18" s="82" t="s">
        <v>47</v>
      </c>
      <c r="Q18" s="83">
        <f t="shared" si="1"/>
        <v>175</v>
      </c>
      <c r="R18" s="84"/>
      <c r="S18" s="62"/>
      <c r="T18" s="14"/>
    </row>
    <row r="19" ht="21.75" customHeight="1">
      <c r="A19" s="85">
        <f t="shared" si="2"/>
        <v>15</v>
      </c>
      <c r="B19" s="78">
        <v>46021.0</v>
      </c>
      <c r="C19" s="89">
        <v>4.9035262E7</v>
      </c>
      <c r="D19" s="90" t="s">
        <v>110</v>
      </c>
      <c r="E19" s="91" t="s">
        <v>111</v>
      </c>
      <c r="F19" s="79" t="s">
        <v>112</v>
      </c>
      <c r="G19" s="79"/>
      <c r="H19" s="81" t="s">
        <v>79</v>
      </c>
      <c r="I19" s="79"/>
      <c r="J19" s="79">
        <v>350.0</v>
      </c>
      <c r="K19" s="79"/>
      <c r="L19" s="79" t="s">
        <v>80</v>
      </c>
      <c r="M19" s="79" t="s">
        <v>81</v>
      </c>
      <c r="N19" s="82">
        <v>350.0</v>
      </c>
      <c r="O19" s="82"/>
      <c r="P19" s="82" t="s">
        <v>50</v>
      </c>
      <c r="Q19" s="83">
        <f t="shared" si="1"/>
        <v>350</v>
      </c>
      <c r="R19" s="84"/>
      <c r="S19" s="62"/>
      <c r="T19" s="14"/>
    </row>
    <row r="20" ht="21.75" customHeight="1">
      <c r="A20" s="85">
        <f t="shared" si="2"/>
        <v>16</v>
      </c>
      <c r="B20" s="88">
        <v>46022.0</v>
      </c>
      <c r="C20" s="79">
        <v>7.1486933E7</v>
      </c>
      <c r="D20" s="80" t="s">
        <v>113</v>
      </c>
      <c r="E20" s="79" t="s">
        <v>114</v>
      </c>
      <c r="F20" s="79"/>
      <c r="G20" s="79"/>
      <c r="H20" s="81" t="s">
        <v>104</v>
      </c>
      <c r="I20" s="79"/>
      <c r="J20" s="79">
        <v>220.0</v>
      </c>
      <c r="K20" s="79"/>
      <c r="L20" s="79" t="s">
        <v>80</v>
      </c>
      <c r="M20" s="79" t="s">
        <v>81</v>
      </c>
      <c r="N20" s="82">
        <v>220.0</v>
      </c>
      <c r="O20" s="82"/>
      <c r="P20" s="82" t="s">
        <v>47</v>
      </c>
      <c r="Q20" s="83">
        <f t="shared" si="1"/>
        <v>220</v>
      </c>
      <c r="R20" s="84"/>
      <c r="S20" s="62"/>
      <c r="T20" s="14"/>
    </row>
    <row r="21" ht="21.75" customHeight="1">
      <c r="A21" s="85">
        <f t="shared" si="2"/>
        <v>17</v>
      </c>
      <c r="B21" s="88">
        <v>46022.0</v>
      </c>
      <c r="C21" s="79">
        <v>4.6910475E7</v>
      </c>
      <c r="D21" s="80" t="s">
        <v>115</v>
      </c>
      <c r="E21" s="79" t="s">
        <v>116</v>
      </c>
      <c r="F21" s="79" t="s">
        <v>117</v>
      </c>
      <c r="G21" s="79"/>
      <c r="H21" s="81" t="s">
        <v>104</v>
      </c>
      <c r="I21" s="79"/>
      <c r="J21" s="79">
        <v>190.0</v>
      </c>
      <c r="K21" s="79"/>
      <c r="L21" s="79" t="s">
        <v>80</v>
      </c>
      <c r="M21" s="79" t="s">
        <v>81</v>
      </c>
      <c r="N21" s="82">
        <v>190.0</v>
      </c>
      <c r="O21" s="82"/>
      <c r="P21" s="82" t="s">
        <v>47</v>
      </c>
      <c r="Q21" s="83">
        <f t="shared" si="1"/>
        <v>190</v>
      </c>
      <c r="R21" s="84"/>
      <c r="S21" s="62"/>
      <c r="T21" s="14"/>
    </row>
    <row r="22" ht="21.75" customHeight="1">
      <c r="A22" s="85">
        <f t="shared" si="2"/>
        <v>18</v>
      </c>
      <c r="B22" s="88">
        <v>46022.0</v>
      </c>
      <c r="C22" s="79"/>
      <c r="D22" s="80" t="s">
        <v>118</v>
      </c>
      <c r="E22" s="79"/>
      <c r="F22" s="79" t="s">
        <v>117</v>
      </c>
      <c r="G22" s="79"/>
      <c r="H22" s="81" t="s">
        <v>104</v>
      </c>
      <c r="I22" s="79"/>
      <c r="J22" s="79">
        <v>100.0</v>
      </c>
      <c r="K22" s="79"/>
      <c r="L22" s="79" t="s">
        <v>80</v>
      </c>
      <c r="M22" s="79" t="s">
        <v>81</v>
      </c>
      <c r="N22" s="82">
        <v>100.0</v>
      </c>
      <c r="O22" s="82"/>
      <c r="P22" s="82" t="s">
        <v>47</v>
      </c>
      <c r="Q22" s="83">
        <f t="shared" si="1"/>
        <v>100</v>
      </c>
      <c r="R22" s="84"/>
      <c r="S22" s="62"/>
      <c r="T22" s="14"/>
    </row>
    <row r="23" ht="21.75" customHeight="1">
      <c r="A23" s="85">
        <f t="shared" si="2"/>
        <v>19</v>
      </c>
      <c r="B23" s="78">
        <v>46024.0</v>
      </c>
      <c r="C23" s="79">
        <v>4.0677695E7</v>
      </c>
      <c r="D23" s="80" t="s">
        <v>119</v>
      </c>
      <c r="E23" s="79" t="s">
        <v>120</v>
      </c>
      <c r="F23" s="79" t="s">
        <v>121</v>
      </c>
      <c r="G23" s="79"/>
      <c r="H23" s="81" t="s">
        <v>79</v>
      </c>
      <c r="I23" s="79"/>
      <c r="J23" s="79">
        <v>190.0</v>
      </c>
      <c r="K23" s="79"/>
      <c r="L23" s="79" t="s">
        <v>80</v>
      </c>
      <c r="M23" s="79" t="s">
        <v>98</v>
      </c>
      <c r="N23" s="82">
        <v>190.0</v>
      </c>
      <c r="O23" s="82"/>
      <c r="P23" s="82" t="s">
        <v>50</v>
      </c>
      <c r="Q23" s="83">
        <f t="shared" si="1"/>
        <v>190</v>
      </c>
      <c r="R23" s="84"/>
      <c r="S23" s="62"/>
      <c r="T23" s="14"/>
    </row>
    <row r="24" ht="21.75" customHeight="1">
      <c r="A24" s="85">
        <f t="shared" si="2"/>
        <v>20</v>
      </c>
      <c r="B24" s="78">
        <v>46024.0</v>
      </c>
      <c r="C24" s="92" t="s">
        <v>122</v>
      </c>
      <c r="D24" s="80" t="s">
        <v>123</v>
      </c>
      <c r="E24" s="79" t="s">
        <v>120</v>
      </c>
      <c r="F24" s="79" t="s">
        <v>121</v>
      </c>
      <c r="G24" s="79"/>
      <c r="H24" s="81" t="s">
        <v>79</v>
      </c>
      <c r="I24" s="79"/>
      <c r="J24" s="79">
        <v>190.0</v>
      </c>
      <c r="K24" s="79"/>
      <c r="L24" s="79" t="s">
        <v>80</v>
      </c>
      <c r="M24" s="79" t="s">
        <v>98</v>
      </c>
      <c r="N24" s="82">
        <v>190.0</v>
      </c>
      <c r="O24" s="82"/>
      <c r="P24" s="82" t="s">
        <v>50</v>
      </c>
      <c r="Q24" s="83">
        <f t="shared" si="1"/>
        <v>190</v>
      </c>
      <c r="R24" s="84"/>
      <c r="S24" s="62"/>
      <c r="T24" s="14"/>
    </row>
    <row r="25" ht="21.75" customHeight="1">
      <c r="A25" s="85">
        <f t="shared" si="2"/>
        <v>21</v>
      </c>
      <c r="B25" s="93">
        <v>46024.0</v>
      </c>
      <c r="C25" s="79">
        <v>4.4041233E7</v>
      </c>
      <c r="D25" s="80" t="s">
        <v>124</v>
      </c>
      <c r="E25" s="79" t="s">
        <v>125</v>
      </c>
      <c r="F25" s="79" t="s">
        <v>126</v>
      </c>
      <c r="G25" s="79" t="s">
        <v>127</v>
      </c>
      <c r="H25" s="81" t="s">
        <v>104</v>
      </c>
      <c r="I25" s="79"/>
      <c r="J25" s="79">
        <v>95.0</v>
      </c>
      <c r="K25" s="79">
        <v>95.0</v>
      </c>
      <c r="L25" s="79" t="s">
        <v>93</v>
      </c>
      <c r="M25" s="79" t="s">
        <v>98</v>
      </c>
      <c r="N25" s="82">
        <v>95.0</v>
      </c>
      <c r="O25" s="82">
        <v>95.0</v>
      </c>
      <c r="P25" s="82" t="s">
        <v>48</v>
      </c>
      <c r="Q25" s="83">
        <f t="shared" si="1"/>
        <v>190</v>
      </c>
      <c r="R25" s="84"/>
      <c r="S25" s="62"/>
      <c r="T25" s="14"/>
    </row>
    <row r="26" ht="21.75" customHeight="1">
      <c r="A26" s="85">
        <f t="shared" si="2"/>
        <v>22</v>
      </c>
      <c r="B26" s="94">
        <v>46025.0</v>
      </c>
      <c r="C26" s="92" t="s">
        <v>128</v>
      </c>
      <c r="D26" s="80" t="s">
        <v>129</v>
      </c>
      <c r="E26" s="79" t="s">
        <v>130</v>
      </c>
      <c r="F26" s="79" t="s">
        <v>131</v>
      </c>
      <c r="G26" s="79" t="s">
        <v>132</v>
      </c>
      <c r="H26" s="81" t="s">
        <v>104</v>
      </c>
      <c r="I26" s="79"/>
      <c r="J26" s="79">
        <v>190.0</v>
      </c>
      <c r="K26" s="79"/>
      <c r="L26" s="79" t="s">
        <v>80</v>
      </c>
      <c r="M26" s="79" t="s">
        <v>81</v>
      </c>
      <c r="N26" s="82">
        <v>190.0</v>
      </c>
      <c r="O26" s="82"/>
      <c r="P26" s="82" t="s">
        <v>48</v>
      </c>
      <c r="Q26" s="83">
        <f t="shared" si="1"/>
        <v>190</v>
      </c>
      <c r="R26" s="84"/>
      <c r="S26" s="62"/>
      <c r="T26" s="14"/>
    </row>
    <row r="27" ht="21.75" customHeight="1">
      <c r="A27" s="85">
        <f t="shared" si="2"/>
        <v>23</v>
      </c>
      <c r="B27" s="78">
        <v>46024.0</v>
      </c>
      <c r="C27" s="79">
        <v>7.146087E7</v>
      </c>
      <c r="D27" s="80" t="s">
        <v>133</v>
      </c>
      <c r="E27" s="79" t="s">
        <v>134</v>
      </c>
      <c r="F27" s="79" t="s">
        <v>135</v>
      </c>
      <c r="G27" s="79" t="s">
        <v>136</v>
      </c>
      <c r="H27" s="81" t="s">
        <v>79</v>
      </c>
      <c r="I27" s="79"/>
      <c r="J27" s="79">
        <v>220.0</v>
      </c>
      <c r="K27" s="79"/>
      <c r="L27" s="79" t="s">
        <v>80</v>
      </c>
      <c r="M27" s="79" t="s">
        <v>98</v>
      </c>
      <c r="N27" s="82">
        <v>220.0</v>
      </c>
      <c r="O27" s="82"/>
      <c r="P27" s="82" t="s">
        <v>50</v>
      </c>
      <c r="Q27" s="83">
        <f t="shared" si="1"/>
        <v>220</v>
      </c>
      <c r="R27" s="84"/>
      <c r="S27" s="62"/>
      <c r="T27" s="14"/>
    </row>
    <row r="28" ht="21.75" customHeight="1">
      <c r="A28" s="85">
        <f t="shared" si="2"/>
        <v>24</v>
      </c>
      <c r="B28" s="88">
        <v>46024.0</v>
      </c>
      <c r="C28" s="79">
        <v>4.2296972E7</v>
      </c>
      <c r="D28" s="80" t="s">
        <v>137</v>
      </c>
      <c r="E28" s="79" t="s">
        <v>138</v>
      </c>
      <c r="F28" s="79"/>
      <c r="G28" s="79"/>
      <c r="H28" s="81" t="s">
        <v>104</v>
      </c>
      <c r="I28" s="79"/>
      <c r="J28" s="79">
        <v>190.0</v>
      </c>
      <c r="K28" s="79"/>
      <c r="L28" s="79" t="s">
        <v>80</v>
      </c>
      <c r="M28" s="79" t="s">
        <v>98</v>
      </c>
      <c r="N28" s="82">
        <v>190.0</v>
      </c>
      <c r="O28" s="82"/>
      <c r="P28" s="82" t="s">
        <v>47</v>
      </c>
      <c r="Q28" s="83">
        <f t="shared" si="1"/>
        <v>190</v>
      </c>
      <c r="R28" s="84"/>
      <c r="S28" s="62"/>
      <c r="T28" s="14"/>
    </row>
    <row r="29" ht="21.75" customHeight="1">
      <c r="A29" s="85">
        <f t="shared" si="2"/>
        <v>25</v>
      </c>
      <c r="B29" s="78">
        <v>46024.0</v>
      </c>
      <c r="C29" s="79">
        <v>4.7162607E7</v>
      </c>
      <c r="D29" s="80" t="s">
        <v>139</v>
      </c>
      <c r="E29" s="79" t="s">
        <v>140</v>
      </c>
      <c r="F29" s="79" t="s">
        <v>141</v>
      </c>
      <c r="G29" s="79" t="s">
        <v>142</v>
      </c>
      <c r="H29" s="81" t="s">
        <v>79</v>
      </c>
      <c r="I29" s="79"/>
      <c r="J29" s="79">
        <v>175.0</v>
      </c>
      <c r="K29" s="79">
        <v>175.0</v>
      </c>
      <c r="L29" s="79" t="s">
        <v>93</v>
      </c>
      <c r="M29" s="79" t="s">
        <v>143</v>
      </c>
      <c r="N29" s="82">
        <v>167.2</v>
      </c>
      <c r="O29" s="82">
        <v>167.2</v>
      </c>
      <c r="P29" s="82" t="s">
        <v>50</v>
      </c>
      <c r="Q29" s="83">
        <f t="shared" si="1"/>
        <v>334.4</v>
      </c>
      <c r="R29" s="84"/>
      <c r="S29" s="62"/>
      <c r="T29" s="14"/>
    </row>
    <row r="30" ht="21.75" customHeight="1">
      <c r="A30" s="85">
        <f t="shared" si="2"/>
        <v>26</v>
      </c>
      <c r="B30" s="78">
        <v>46024.0</v>
      </c>
      <c r="C30" s="79">
        <v>4.1397674E7</v>
      </c>
      <c r="D30" s="80" t="s">
        <v>144</v>
      </c>
      <c r="E30" s="79" t="s">
        <v>145</v>
      </c>
      <c r="F30" s="79" t="s">
        <v>141</v>
      </c>
      <c r="G30" s="79" t="s">
        <v>142</v>
      </c>
      <c r="H30" s="81" t="s">
        <v>79</v>
      </c>
      <c r="I30" s="79"/>
      <c r="J30" s="79">
        <v>175.0</v>
      </c>
      <c r="K30" s="79">
        <v>175.0</v>
      </c>
      <c r="L30" s="79" t="s">
        <v>93</v>
      </c>
      <c r="M30" s="79" t="s">
        <v>143</v>
      </c>
      <c r="N30" s="82">
        <v>167.2</v>
      </c>
      <c r="O30" s="82">
        <v>167.2</v>
      </c>
      <c r="P30" s="82" t="s">
        <v>50</v>
      </c>
      <c r="Q30" s="83">
        <f t="shared" si="1"/>
        <v>334.4</v>
      </c>
      <c r="R30" s="84"/>
      <c r="S30" s="62"/>
      <c r="T30" s="14"/>
    </row>
    <row r="31" ht="21.75" customHeight="1">
      <c r="A31" s="85">
        <f t="shared" si="2"/>
        <v>27</v>
      </c>
      <c r="B31" s="78">
        <v>46024.0</v>
      </c>
      <c r="C31" s="79">
        <v>7.24136E7</v>
      </c>
      <c r="D31" s="80" t="s">
        <v>146</v>
      </c>
      <c r="E31" s="79" t="s">
        <v>147</v>
      </c>
      <c r="F31" s="79"/>
      <c r="G31" s="79" t="s">
        <v>148</v>
      </c>
      <c r="H31" s="81" t="s">
        <v>79</v>
      </c>
      <c r="I31" s="79"/>
      <c r="J31" s="79">
        <v>190.0</v>
      </c>
      <c r="K31" s="79"/>
      <c r="L31" s="79" t="s">
        <v>80</v>
      </c>
      <c r="M31" s="79" t="s">
        <v>98</v>
      </c>
      <c r="N31" s="82">
        <v>190.0</v>
      </c>
      <c r="O31" s="82"/>
      <c r="P31" s="82" t="s">
        <v>50</v>
      </c>
      <c r="Q31" s="83">
        <f t="shared" si="1"/>
        <v>190</v>
      </c>
      <c r="R31" s="84"/>
      <c r="S31" s="62"/>
      <c r="T31" s="14"/>
    </row>
    <row r="32" ht="21.75" customHeight="1">
      <c r="A32" s="85">
        <f t="shared" si="2"/>
        <v>28</v>
      </c>
      <c r="B32" s="88">
        <v>46024.0</v>
      </c>
      <c r="C32" s="79"/>
      <c r="D32" s="80" t="s">
        <v>149</v>
      </c>
      <c r="E32" s="79"/>
      <c r="F32" s="79"/>
      <c r="G32" s="79"/>
      <c r="H32" s="81" t="s">
        <v>104</v>
      </c>
      <c r="I32" s="79"/>
      <c r="J32" s="79">
        <v>190.0</v>
      </c>
      <c r="K32" s="79"/>
      <c r="L32" s="79" t="s">
        <v>80</v>
      </c>
      <c r="M32" s="79" t="s">
        <v>98</v>
      </c>
      <c r="N32" s="82">
        <v>190.0</v>
      </c>
      <c r="O32" s="82"/>
      <c r="P32" s="82" t="s">
        <v>47</v>
      </c>
      <c r="Q32" s="83">
        <f t="shared" si="1"/>
        <v>190</v>
      </c>
      <c r="R32" s="84"/>
      <c r="S32" s="62"/>
      <c r="T32" s="14"/>
    </row>
    <row r="33" ht="21.75" customHeight="1">
      <c r="A33" s="85">
        <f t="shared" si="2"/>
        <v>29</v>
      </c>
      <c r="B33" s="88">
        <v>46024.0</v>
      </c>
      <c r="C33" s="79">
        <v>7.1523029E7</v>
      </c>
      <c r="D33" s="80" t="s">
        <v>150</v>
      </c>
      <c r="E33" s="79"/>
      <c r="F33" s="79"/>
      <c r="G33" s="79"/>
      <c r="H33" s="81" t="s">
        <v>104</v>
      </c>
      <c r="I33" s="79"/>
      <c r="J33" s="79">
        <v>190.0</v>
      </c>
      <c r="K33" s="79"/>
      <c r="L33" s="79" t="s">
        <v>80</v>
      </c>
      <c r="M33" s="79" t="s">
        <v>81</v>
      </c>
      <c r="N33" s="82">
        <v>190.0</v>
      </c>
      <c r="O33" s="82"/>
      <c r="P33" s="82" t="s">
        <v>47</v>
      </c>
      <c r="Q33" s="83">
        <f t="shared" si="1"/>
        <v>190</v>
      </c>
      <c r="R33" s="84"/>
      <c r="S33" s="62"/>
      <c r="T33" s="14"/>
    </row>
    <row r="34" ht="21.75" customHeight="1">
      <c r="A34" s="85">
        <f t="shared" si="2"/>
        <v>30</v>
      </c>
      <c r="B34" s="94">
        <v>46024.0</v>
      </c>
      <c r="C34" s="79">
        <v>4.069785E7</v>
      </c>
      <c r="D34" s="80" t="s">
        <v>151</v>
      </c>
      <c r="E34" s="79" t="s">
        <v>152</v>
      </c>
      <c r="F34" s="79" t="s">
        <v>153</v>
      </c>
      <c r="G34" s="79" t="s">
        <v>154</v>
      </c>
      <c r="H34" s="81" t="s">
        <v>104</v>
      </c>
      <c r="I34" s="79"/>
      <c r="J34" s="79">
        <v>190.0</v>
      </c>
      <c r="K34" s="79"/>
      <c r="L34" s="79" t="s">
        <v>80</v>
      </c>
      <c r="M34" s="79" t="s">
        <v>81</v>
      </c>
      <c r="N34" s="82">
        <v>190.0</v>
      </c>
      <c r="O34" s="82"/>
      <c r="P34" s="82" t="s">
        <v>48</v>
      </c>
      <c r="Q34" s="83">
        <f t="shared" si="1"/>
        <v>190</v>
      </c>
      <c r="R34" s="84"/>
      <c r="S34" s="62"/>
      <c r="T34" s="14"/>
    </row>
    <row r="35" ht="21.75" customHeight="1">
      <c r="A35" s="85">
        <f t="shared" si="2"/>
        <v>31</v>
      </c>
      <c r="B35" s="78">
        <v>46024.0</v>
      </c>
      <c r="C35" s="92" t="s">
        <v>155</v>
      </c>
      <c r="D35" s="80" t="s">
        <v>156</v>
      </c>
      <c r="E35" s="79" t="s">
        <v>157</v>
      </c>
      <c r="F35" s="79" t="s">
        <v>158</v>
      </c>
      <c r="G35" s="79" t="s">
        <v>159</v>
      </c>
      <c r="H35" s="81" t="s">
        <v>79</v>
      </c>
      <c r="I35" s="79"/>
      <c r="J35" s="79">
        <v>175.0</v>
      </c>
      <c r="K35" s="79"/>
      <c r="L35" s="79" t="s">
        <v>80</v>
      </c>
      <c r="M35" s="79" t="s">
        <v>98</v>
      </c>
      <c r="N35" s="82">
        <v>175.0</v>
      </c>
      <c r="O35" s="82"/>
      <c r="P35" s="82" t="s">
        <v>50</v>
      </c>
      <c r="Q35" s="83">
        <f t="shared" si="1"/>
        <v>175</v>
      </c>
      <c r="R35" s="84"/>
      <c r="S35" s="62"/>
      <c r="T35" s="14"/>
    </row>
    <row r="36" ht="21.75" customHeight="1">
      <c r="A36" s="85">
        <f t="shared" si="2"/>
        <v>32</v>
      </c>
      <c r="B36" s="78">
        <v>46024.0</v>
      </c>
      <c r="C36" s="79"/>
      <c r="D36" s="80" t="s">
        <v>160</v>
      </c>
      <c r="E36" s="79"/>
      <c r="F36" s="79" t="s">
        <v>158</v>
      </c>
      <c r="G36" s="79"/>
      <c r="H36" s="81" t="s">
        <v>79</v>
      </c>
      <c r="I36" s="79"/>
      <c r="J36" s="79">
        <v>100.0</v>
      </c>
      <c r="K36" s="79"/>
      <c r="L36" s="79" t="s">
        <v>80</v>
      </c>
      <c r="M36" s="79" t="s">
        <v>98</v>
      </c>
      <c r="N36" s="82">
        <v>100.0</v>
      </c>
      <c r="O36" s="82"/>
      <c r="P36" s="82" t="s">
        <v>50</v>
      </c>
      <c r="Q36" s="83">
        <f t="shared" si="1"/>
        <v>100</v>
      </c>
      <c r="R36" s="84" t="s">
        <v>161</v>
      </c>
      <c r="S36" s="62"/>
      <c r="T36" s="14"/>
    </row>
    <row r="37" ht="21.75" customHeight="1">
      <c r="A37" s="85">
        <f t="shared" si="2"/>
        <v>33</v>
      </c>
      <c r="B37" s="88">
        <v>46024.0</v>
      </c>
      <c r="C37" s="79">
        <v>4.2048172E7</v>
      </c>
      <c r="D37" s="80" t="s">
        <v>162</v>
      </c>
      <c r="E37" s="79" t="s">
        <v>163</v>
      </c>
      <c r="F37" s="79"/>
      <c r="G37" s="79"/>
      <c r="H37" s="81" t="s">
        <v>104</v>
      </c>
      <c r="I37" s="79"/>
      <c r="J37" s="79">
        <v>180.0</v>
      </c>
      <c r="K37" s="79"/>
      <c r="L37" s="79" t="s">
        <v>80</v>
      </c>
      <c r="M37" s="79" t="s">
        <v>164</v>
      </c>
      <c r="N37" s="82">
        <v>180.0</v>
      </c>
      <c r="O37" s="82"/>
      <c r="P37" s="82" t="s">
        <v>47</v>
      </c>
      <c r="Q37" s="83">
        <f t="shared" si="1"/>
        <v>180</v>
      </c>
      <c r="R37" s="84"/>
      <c r="S37" s="62"/>
      <c r="T37" s="14"/>
    </row>
    <row r="38" ht="21.75" customHeight="1">
      <c r="A38" s="85">
        <f t="shared" si="2"/>
        <v>34</v>
      </c>
      <c r="B38" s="78">
        <v>46025.0</v>
      </c>
      <c r="C38" s="79">
        <v>3.2992113E7</v>
      </c>
      <c r="D38" s="80" t="s">
        <v>165</v>
      </c>
      <c r="E38" s="79" t="s">
        <v>166</v>
      </c>
      <c r="F38" s="79" t="s">
        <v>167</v>
      </c>
      <c r="G38" s="79" t="s">
        <v>168</v>
      </c>
      <c r="H38" s="81" t="s">
        <v>79</v>
      </c>
      <c r="I38" s="79"/>
      <c r="J38" s="79">
        <v>95.0</v>
      </c>
      <c r="K38" s="79">
        <v>95.0</v>
      </c>
      <c r="L38" s="79" t="s">
        <v>93</v>
      </c>
      <c r="M38" s="79" t="s">
        <v>98</v>
      </c>
      <c r="N38" s="82">
        <v>95.0</v>
      </c>
      <c r="O38" s="82">
        <v>95.0</v>
      </c>
      <c r="P38" s="82" t="s">
        <v>50</v>
      </c>
      <c r="Q38" s="83">
        <f t="shared" si="1"/>
        <v>190</v>
      </c>
      <c r="R38" s="84"/>
      <c r="S38" s="62"/>
      <c r="T38" s="14"/>
    </row>
    <row r="39" ht="21.75" customHeight="1">
      <c r="A39" s="85">
        <f t="shared" si="2"/>
        <v>35</v>
      </c>
      <c r="B39" s="94">
        <v>46025.0</v>
      </c>
      <c r="C39" s="79">
        <v>1.6683079E7</v>
      </c>
      <c r="D39" s="80" t="s">
        <v>169</v>
      </c>
      <c r="E39" s="79" t="s">
        <v>170</v>
      </c>
      <c r="F39" s="79" t="s">
        <v>131</v>
      </c>
      <c r="G39" s="79" t="s">
        <v>132</v>
      </c>
      <c r="H39" s="81" t="s">
        <v>104</v>
      </c>
      <c r="I39" s="79"/>
      <c r="J39" s="79">
        <v>190.0</v>
      </c>
      <c r="K39" s="79"/>
      <c r="L39" s="79" t="s">
        <v>80</v>
      </c>
      <c r="M39" s="79" t="s">
        <v>81</v>
      </c>
      <c r="N39" s="82">
        <v>190.0</v>
      </c>
      <c r="O39" s="82"/>
      <c r="P39" s="82" t="s">
        <v>48</v>
      </c>
      <c r="Q39" s="83">
        <f t="shared" si="1"/>
        <v>190</v>
      </c>
      <c r="R39" s="84"/>
      <c r="S39" s="62"/>
      <c r="T39" s="14"/>
    </row>
    <row r="40" ht="21.75" customHeight="1">
      <c r="A40" s="85">
        <f t="shared" si="2"/>
        <v>36</v>
      </c>
      <c r="B40" s="78">
        <v>46025.0</v>
      </c>
      <c r="C40" s="79">
        <v>1.0116845E7</v>
      </c>
      <c r="D40" s="80" t="s">
        <v>171</v>
      </c>
      <c r="E40" s="79"/>
      <c r="F40" s="79" t="s">
        <v>172</v>
      </c>
      <c r="G40" s="79" t="s">
        <v>173</v>
      </c>
      <c r="H40" s="81" t="s">
        <v>79</v>
      </c>
      <c r="I40" s="79"/>
      <c r="J40" s="79">
        <v>220.0</v>
      </c>
      <c r="K40" s="79"/>
      <c r="L40" s="79" t="s">
        <v>80</v>
      </c>
      <c r="M40" s="79" t="s">
        <v>174</v>
      </c>
      <c r="N40" s="82">
        <v>220.0</v>
      </c>
      <c r="O40" s="82"/>
      <c r="P40" s="82" t="s">
        <v>50</v>
      </c>
      <c r="Q40" s="83">
        <f t="shared" si="1"/>
        <v>220</v>
      </c>
      <c r="R40" s="84"/>
      <c r="S40" s="62"/>
      <c r="T40" s="14"/>
    </row>
    <row r="41" ht="21.75" customHeight="1">
      <c r="A41" s="85">
        <f t="shared" si="2"/>
        <v>37</v>
      </c>
      <c r="B41" s="78">
        <v>46025.0</v>
      </c>
      <c r="C41" s="79"/>
      <c r="D41" s="80" t="s">
        <v>175</v>
      </c>
      <c r="E41" s="79"/>
      <c r="F41" s="79" t="s">
        <v>172</v>
      </c>
      <c r="G41" s="79" t="s">
        <v>173</v>
      </c>
      <c r="H41" s="81" t="s">
        <v>79</v>
      </c>
      <c r="I41" s="79"/>
      <c r="J41" s="79">
        <v>220.0</v>
      </c>
      <c r="K41" s="79"/>
      <c r="L41" s="79" t="s">
        <v>80</v>
      </c>
      <c r="M41" s="79" t="s">
        <v>174</v>
      </c>
      <c r="N41" s="82">
        <v>220.0</v>
      </c>
      <c r="O41" s="82"/>
      <c r="P41" s="82" t="s">
        <v>50</v>
      </c>
      <c r="Q41" s="83">
        <f t="shared" si="1"/>
        <v>220</v>
      </c>
      <c r="R41" s="84"/>
      <c r="S41" s="62"/>
      <c r="T41" s="14"/>
    </row>
    <row r="42" ht="21.75" customHeight="1">
      <c r="A42" s="85">
        <f t="shared" si="2"/>
        <v>38</v>
      </c>
      <c r="B42" s="88">
        <v>46384.0</v>
      </c>
      <c r="C42" s="79"/>
      <c r="D42" s="90" t="s">
        <v>176</v>
      </c>
      <c r="E42" s="79"/>
      <c r="F42" s="79"/>
      <c r="G42" s="79"/>
      <c r="H42" s="81" t="s">
        <v>79</v>
      </c>
      <c r="I42" s="79"/>
      <c r="J42" s="79">
        <v>190.0</v>
      </c>
      <c r="K42" s="79"/>
      <c r="L42" s="79" t="s">
        <v>80</v>
      </c>
      <c r="M42" s="79" t="s">
        <v>98</v>
      </c>
      <c r="N42" s="82">
        <v>190.0</v>
      </c>
      <c r="O42" s="82"/>
      <c r="P42" s="82" t="s">
        <v>47</v>
      </c>
      <c r="Q42" s="83">
        <f t="shared" si="1"/>
        <v>190</v>
      </c>
      <c r="R42" s="84"/>
      <c r="S42" s="62"/>
      <c r="T42" s="14"/>
    </row>
    <row r="43" ht="21.75" customHeight="1">
      <c r="A43" s="85">
        <f t="shared" si="2"/>
        <v>39</v>
      </c>
      <c r="B43" s="87">
        <v>46032.0</v>
      </c>
      <c r="C43" s="79"/>
      <c r="D43" s="80" t="s">
        <v>177</v>
      </c>
      <c r="E43" s="79"/>
      <c r="F43" s="79"/>
      <c r="G43" s="79"/>
      <c r="H43" s="81" t="s">
        <v>79</v>
      </c>
      <c r="I43" s="79"/>
      <c r="J43" s="79">
        <v>0.0</v>
      </c>
      <c r="K43" s="79"/>
      <c r="L43" s="79" t="s">
        <v>80</v>
      </c>
      <c r="M43" s="79"/>
      <c r="N43" s="82">
        <v>0.0</v>
      </c>
      <c r="O43" s="82"/>
      <c r="P43" s="82" t="s">
        <v>45</v>
      </c>
      <c r="Q43" s="83">
        <f t="shared" si="1"/>
        <v>0</v>
      </c>
      <c r="R43" s="84"/>
      <c r="S43" s="62"/>
      <c r="T43" s="14"/>
    </row>
    <row r="44" ht="21.75" customHeight="1">
      <c r="A44" s="85">
        <f t="shared" si="2"/>
        <v>40</v>
      </c>
      <c r="B44" s="87"/>
      <c r="C44" s="79"/>
      <c r="D44" s="80"/>
      <c r="E44" s="79"/>
      <c r="F44" s="79"/>
      <c r="G44" s="79"/>
      <c r="H44" s="81"/>
      <c r="I44" s="79"/>
      <c r="J44" s="79"/>
      <c r="K44" s="79"/>
      <c r="L44" s="79"/>
      <c r="M44" s="79"/>
      <c r="N44" s="82"/>
      <c r="O44" s="82"/>
      <c r="P44" s="82"/>
      <c r="Q44" s="83">
        <f t="shared" si="1"/>
        <v>0</v>
      </c>
      <c r="R44" s="84"/>
      <c r="S44" s="62"/>
      <c r="T44" s="14"/>
    </row>
    <row r="45" ht="21.75" customHeight="1">
      <c r="A45" s="85">
        <f t="shared" si="2"/>
        <v>41</v>
      </c>
      <c r="B45" s="87"/>
      <c r="C45" s="79"/>
      <c r="D45" s="80"/>
      <c r="E45" s="79"/>
      <c r="F45" s="79"/>
      <c r="G45" s="79"/>
      <c r="H45" s="81"/>
      <c r="I45" s="79"/>
      <c r="J45" s="79"/>
      <c r="K45" s="79"/>
      <c r="L45" s="79"/>
      <c r="M45" s="79"/>
      <c r="N45" s="82"/>
      <c r="O45" s="82"/>
      <c r="P45" s="82"/>
      <c r="Q45" s="83">
        <f t="shared" si="1"/>
        <v>0</v>
      </c>
      <c r="R45" s="84"/>
      <c r="S45" s="62"/>
      <c r="T45" s="14"/>
    </row>
    <row r="46" ht="21.75" customHeight="1">
      <c r="A46" s="85">
        <f t="shared" si="2"/>
        <v>42</v>
      </c>
      <c r="B46" s="87"/>
      <c r="C46" s="79"/>
      <c r="D46" s="80"/>
      <c r="E46" s="79"/>
      <c r="F46" s="79"/>
      <c r="G46" s="79"/>
      <c r="H46" s="81"/>
      <c r="I46" s="79"/>
      <c r="J46" s="79"/>
      <c r="K46" s="79"/>
      <c r="L46" s="79"/>
      <c r="M46" s="79"/>
      <c r="N46" s="82"/>
      <c r="O46" s="82"/>
      <c r="P46" s="82"/>
      <c r="Q46" s="83">
        <f t="shared" si="1"/>
        <v>0</v>
      </c>
      <c r="R46" s="84"/>
      <c r="S46" s="62"/>
      <c r="T46" s="14"/>
    </row>
    <row r="47" ht="21.75" customHeight="1">
      <c r="A47" s="85">
        <f t="shared" si="2"/>
        <v>43</v>
      </c>
      <c r="B47" s="87"/>
      <c r="C47" s="79"/>
      <c r="D47" s="80"/>
      <c r="E47" s="79"/>
      <c r="F47" s="79"/>
      <c r="G47" s="79"/>
      <c r="H47" s="81"/>
      <c r="I47" s="79"/>
      <c r="J47" s="79"/>
      <c r="K47" s="79"/>
      <c r="L47" s="79"/>
      <c r="M47" s="79"/>
      <c r="N47" s="82"/>
      <c r="O47" s="82"/>
      <c r="P47" s="82"/>
      <c r="Q47" s="83">
        <f t="shared" si="1"/>
        <v>0</v>
      </c>
      <c r="R47" s="84"/>
      <c r="S47" s="62"/>
      <c r="T47" s="14"/>
    </row>
    <row r="48" ht="21.75" customHeight="1">
      <c r="A48" s="85">
        <f t="shared" si="2"/>
        <v>44</v>
      </c>
      <c r="B48" s="87"/>
      <c r="C48" s="79"/>
      <c r="D48" s="80"/>
      <c r="E48" s="79"/>
      <c r="F48" s="79"/>
      <c r="G48" s="79"/>
      <c r="H48" s="81"/>
      <c r="I48" s="79"/>
      <c r="J48" s="79"/>
      <c r="K48" s="79"/>
      <c r="L48" s="79"/>
      <c r="M48" s="79"/>
      <c r="N48" s="82"/>
      <c r="O48" s="82"/>
      <c r="P48" s="82"/>
      <c r="Q48" s="83">
        <f t="shared" si="1"/>
        <v>0</v>
      </c>
      <c r="R48" s="84"/>
      <c r="S48" s="62"/>
      <c r="T48" s="14"/>
    </row>
    <row r="49" ht="21.75" customHeight="1">
      <c r="A49" s="85">
        <f t="shared" si="2"/>
        <v>45</v>
      </c>
      <c r="B49" s="87"/>
      <c r="C49" s="79"/>
      <c r="D49" s="80"/>
      <c r="E49" s="79"/>
      <c r="F49" s="79"/>
      <c r="G49" s="79"/>
      <c r="H49" s="81"/>
      <c r="I49" s="79"/>
      <c r="J49" s="79"/>
      <c r="K49" s="79"/>
      <c r="L49" s="79"/>
      <c r="M49" s="79"/>
      <c r="N49" s="82"/>
      <c r="O49" s="82"/>
      <c r="P49" s="82"/>
      <c r="Q49" s="83">
        <f t="shared" si="1"/>
        <v>0</v>
      </c>
      <c r="R49" s="84"/>
      <c r="S49" s="62"/>
      <c r="T49" s="14"/>
    </row>
    <row r="50" ht="21.75" customHeight="1">
      <c r="A50" s="85">
        <f t="shared" si="2"/>
        <v>46</v>
      </c>
      <c r="B50" s="87"/>
      <c r="C50" s="79"/>
      <c r="D50" s="80"/>
      <c r="E50" s="79"/>
      <c r="F50" s="79"/>
      <c r="G50" s="79"/>
      <c r="H50" s="81"/>
      <c r="I50" s="79"/>
      <c r="J50" s="79"/>
      <c r="K50" s="79"/>
      <c r="L50" s="79"/>
      <c r="M50" s="79"/>
      <c r="N50" s="82"/>
      <c r="O50" s="82"/>
      <c r="P50" s="82"/>
      <c r="Q50" s="83">
        <f t="shared" si="1"/>
        <v>0</v>
      </c>
      <c r="R50" s="84"/>
      <c r="S50" s="62"/>
      <c r="T50" s="14"/>
    </row>
    <row r="51" ht="21.75" customHeight="1">
      <c r="A51" s="85">
        <f t="shared" si="2"/>
        <v>47</v>
      </c>
      <c r="B51" s="87"/>
      <c r="C51" s="79"/>
      <c r="D51" s="80"/>
      <c r="E51" s="79"/>
      <c r="F51" s="79"/>
      <c r="G51" s="79"/>
      <c r="H51" s="81"/>
      <c r="I51" s="79"/>
      <c r="J51" s="79"/>
      <c r="K51" s="79"/>
      <c r="L51" s="79"/>
      <c r="M51" s="79"/>
      <c r="N51" s="82"/>
      <c r="O51" s="82"/>
      <c r="P51" s="82"/>
      <c r="Q51" s="83">
        <f t="shared" si="1"/>
        <v>0</v>
      </c>
      <c r="R51" s="84"/>
      <c r="S51" s="62"/>
      <c r="T51" s="14"/>
    </row>
    <row r="52" ht="21.75" customHeight="1">
      <c r="A52" s="85">
        <f t="shared" si="2"/>
        <v>48</v>
      </c>
      <c r="B52" s="87"/>
      <c r="C52" s="79"/>
      <c r="D52" s="80"/>
      <c r="E52" s="79"/>
      <c r="F52" s="79"/>
      <c r="G52" s="79"/>
      <c r="H52" s="81"/>
      <c r="I52" s="79"/>
      <c r="J52" s="79"/>
      <c r="K52" s="79"/>
      <c r="L52" s="79"/>
      <c r="M52" s="79"/>
      <c r="N52" s="82"/>
      <c r="O52" s="82"/>
      <c r="P52" s="82"/>
      <c r="Q52" s="83">
        <f t="shared" si="1"/>
        <v>0</v>
      </c>
      <c r="R52" s="84"/>
      <c r="S52" s="62"/>
      <c r="T52" s="14"/>
    </row>
    <row r="53" ht="21.75" customHeight="1">
      <c r="A53" s="85">
        <f t="shared" si="2"/>
        <v>49</v>
      </c>
      <c r="B53" s="87"/>
      <c r="C53" s="79"/>
      <c r="D53" s="80"/>
      <c r="E53" s="79"/>
      <c r="F53" s="79"/>
      <c r="G53" s="79"/>
      <c r="H53" s="81"/>
      <c r="I53" s="79"/>
      <c r="J53" s="79"/>
      <c r="K53" s="79"/>
      <c r="L53" s="79"/>
      <c r="M53" s="79"/>
      <c r="N53" s="82"/>
      <c r="O53" s="82"/>
      <c r="P53" s="82"/>
      <c r="Q53" s="83">
        <f t="shared" si="1"/>
        <v>0</v>
      </c>
      <c r="R53" s="84"/>
      <c r="S53" s="62"/>
      <c r="T53" s="14"/>
    </row>
    <row r="54" ht="21.75" customHeight="1">
      <c r="A54" s="85">
        <f t="shared" si="2"/>
        <v>50</v>
      </c>
      <c r="B54" s="87"/>
      <c r="C54" s="79"/>
      <c r="D54" s="80"/>
      <c r="E54" s="79"/>
      <c r="F54" s="79"/>
      <c r="G54" s="79"/>
      <c r="H54" s="81"/>
      <c r="I54" s="79"/>
      <c r="J54" s="79"/>
      <c r="K54" s="79"/>
      <c r="L54" s="79"/>
      <c r="M54" s="79"/>
      <c r="N54" s="82"/>
      <c r="O54" s="82"/>
      <c r="P54" s="82"/>
      <c r="Q54" s="83">
        <f t="shared" si="1"/>
        <v>0</v>
      </c>
      <c r="R54" s="84"/>
      <c r="S54" s="62"/>
      <c r="T54" s="14"/>
    </row>
    <row r="55" ht="21.75" customHeight="1">
      <c r="A55" s="85">
        <f t="shared" si="2"/>
        <v>51</v>
      </c>
      <c r="B55" s="87"/>
      <c r="C55" s="79"/>
      <c r="D55" s="80"/>
      <c r="E55" s="79"/>
      <c r="F55" s="79"/>
      <c r="G55" s="79"/>
      <c r="H55" s="81"/>
      <c r="I55" s="79"/>
      <c r="J55" s="79"/>
      <c r="K55" s="79"/>
      <c r="L55" s="79"/>
      <c r="M55" s="79"/>
      <c r="N55" s="82"/>
      <c r="O55" s="82"/>
      <c r="P55" s="82"/>
      <c r="Q55" s="83">
        <f t="shared" si="1"/>
        <v>0</v>
      </c>
      <c r="R55" s="84"/>
      <c r="S55" s="62"/>
      <c r="T55" s="14"/>
    </row>
    <row r="56" ht="21.75" customHeight="1">
      <c r="A56" s="85">
        <f t="shared" si="2"/>
        <v>52</v>
      </c>
      <c r="B56" s="87"/>
      <c r="C56" s="79"/>
      <c r="D56" s="80"/>
      <c r="E56" s="79"/>
      <c r="F56" s="79"/>
      <c r="G56" s="79"/>
      <c r="H56" s="81"/>
      <c r="I56" s="79"/>
      <c r="J56" s="79"/>
      <c r="K56" s="79"/>
      <c r="L56" s="79"/>
      <c r="M56" s="79"/>
      <c r="N56" s="82"/>
      <c r="O56" s="82"/>
      <c r="P56" s="82"/>
      <c r="Q56" s="83">
        <f t="shared" si="1"/>
        <v>0</v>
      </c>
      <c r="R56" s="84"/>
      <c r="S56" s="62"/>
      <c r="T56" s="14"/>
    </row>
    <row r="57" ht="21.75" customHeight="1">
      <c r="A57" s="85">
        <f t="shared" si="2"/>
        <v>53</v>
      </c>
      <c r="B57" s="87"/>
      <c r="C57" s="79"/>
      <c r="D57" s="80"/>
      <c r="E57" s="79"/>
      <c r="F57" s="79"/>
      <c r="G57" s="79"/>
      <c r="H57" s="81"/>
      <c r="I57" s="79"/>
      <c r="J57" s="79"/>
      <c r="K57" s="79"/>
      <c r="L57" s="79"/>
      <c r="M57" s="79"/>
      <c r="N57" s="82"/>
      <c r="O57" s="82"/>
      <c r="P57" s="82"/>
      <c r="Q57" s="83">
        <f t="shared" si="1"/>
        <v>0</v>
      </c>
      <c r="R57" s="84"/>
      <c r="S57" s="62"/>
      <c r="T57" s="14"/>
    </row>
    <row r="58" ht="21.75" customHeight="1">
      <c r="A58" s="85">
        <f t="shared" si="2"/>
        <v>54</v>
      </c>
      <c r="B58" s="87"/>
      <c r="C58" s="79"/>
      <c r="D58" s="80"/>
      <c r="E58" s="79"/>
      <c r="F58" s="79"/>
      <c r="G58" s="79"/>
      <c r="H58" s="81"/>
      <c r="I58" s="79"/>
      <c r="J58" s="79"/>
      <c r="K58" s="79"/>
      <c r="L58" s="79"/>
      <c r="M58" s="79"/>
      <c r="N58" s="82"/>
      <c r="O58" s="82"/>
      <c r="P58" s="82"/>
      <c r="Q58" s="83">
        <f t="shared" si="1"/>
        <v>0</v>
      </c>
      <c r="R58" s="84"/>
      <c r="S58" s="62"/>
      <c r="T58" s="14"/>
    </row>
    <row r="59" ht="21.75" customHeight="1">
      <c r="A59" s="85">
        <f t="shared" si="2"/>
        <v>55</v>
      </c>
      <c r="B59" s="87"/>
      <c r="C59" s="79"/>
      <c r="D59" s="80"/>
      <c r="E59" s="79"/>
      <c r="F59" s="79"/>
      <c r="G59" s="79"/>
      <c r="H59" s="81"/>
      <c r="I59" s="79"/>
      <c r="J59" s="79"/>
      <c r="K59" s="79"/>
      <c r="L59" s="79"/>
      <c r="M59" s="79"/>
      <c r="N59" s="82"/>
      <c r="O59" s="82"/>
      <c r="P59" s="82"/>
      <c r="Q59" s="83">
        <f t="shared" si="1"/>
        <v>0</v>
      </c>
      <c r="R59" s="84"/>
      <c r="S59" s="62"/>
      <c r="T59" s="14"/>
    </row>
    <row r="60" ht="21.75" customHeight="1">
      <c r="A60" s="85">
        <f t="shared" si="2"/>
        <v>56</v>
      </c>
      <c r="B60" s="87"/>
      <c r="C60" s="79"/>
      <c r="D60" s="80"/>
      <c r="E60" s="79"/>
      <c r="F60" s="79"/>
      <c r="G60" s="79"/>
      <c r="H60" s="81"/>
      <c r="I60" s="79"/>
      <c r="J60" s="79"/>
      <c r="K60" s="79"/>
      <c r="L60" s="79"/>
      <c r="M60" s="79"/>
      <c r="N60" s="82"/>
      <c r="O60" s="82"/>
      <c r="P60" s="82"/>
      <c r="Q60" s="83">
        <f t="shared" si="1"/>
        <v>0</v>
      </c>
      <c r="R60" s="84"/>
      <c r="S60" s="62"/>
      <c r="T60" s="14"/>
    </row>
    <row r="61" ht="21.75" customHeight="1">
      <c r="A61" s="85">
        <f t="shared" si="2"/>
        <v>57</v>
      </c>
      <c r="B61" s="87"/>
      <c r="C61" s="79"/>
      <c r="D61" s="80"/>
      <c r="E61" s="79"/>
      <c r="F61" s="79"/>
      <c r="G61" s="79"/>
      <c r="H61" s="81"/>
      <c r="I61" s="79"/>
      <c r="J61" s="79"/>
      <c r="K61" s="79"/>
      <c r="L61" s="79"/>
      <c r="M61" s="79"/>
      <c r="N61" s="82"/>
      <c r="O61" s="82"/>
      <c r="P61" s="82"/>
      <c r="Q61" s="83">
        <f t="shared" si="1"/>
        <v>0</v>
      </c>
      <c r="R61" s="84"/>
      <c r="S61" s="62"/>
      <c r="T61" s="14"/>
    </row>
    <row r="62" ht="21.75" customHeight="1">
      <c r="A62" s="85">
        <f t="shared" si="2"/>
        <v>58</v>
      </c>
      <c r="B62" s="87"/>
      <c r="C62" s="79"/>
      <c r="D62" s="80"/>
      <c r="E62" s="79"/>
      <c r="F62" s="79"/>
      <c r="G62" s="79"/>
      <c r="H62" s="81"/>
      <c r="I62" s="79"/>
      <c r="J62" s="79"/>
      <c r="K62" s="79"/>
      <c r="L62" s="79"/>
      <c r="M62" s="79"/>
      <c r="N62" s="82"/>
      <c r="O62" s="82"/>
      <c r="P62" s="82"/>
      <c r="Q62" s="83">
        <f t="shared" si="1"/>
        <v>0</v>
      </c>
      <c r="R62" s="84"/>
      <c r="S62" s="62"/>
      <c r="T62" s="14"/>
    </row>
    <row r="63" ht="21.75" customHeight="1">
      <c r="A63" s="85">
        <f t="shared" si="2"/>
        <v>59</v>
      </c>
      <c r="B63" s="87"/>
      <c r="C63" s="79"/>
      <c r="D63" s="80"/>
      <c r="E63" s="79"/>
      <c r="F63" s="79"/>
      <c r="G63" s="79"/>
      <c r="H63" s="81"/>
      <c r="I63" s="79"/>
      <c r="J63" s="79"/>
      <c r="K63" s="79"/>
      <c r="L63" s="79"/>
      <c r="M63" s="79"/>
      <c r="N63" s="82"/>
      <c r="O63" s="82"/>
      <c r="P63" s="82"/>
      <c r="Q63" s="83">
        <f t="shared" si="1"/>
        <v>0</v>
      </c>
      <c r="R63" s="84"/>
      <c r="S63" s="62"/>
      <c r="T63" s="14"/>
    </row>
    <row r="64" ht="21.75" customHeight="1">
      <c r="A64" s="85">
        <f t="shared" si="2"/>
        <v>60</v>
      </c>
      <c r="B64" s="87"/>
      <c r="C64" s="79"/>
      <c r="D64" s="80"/>
      <c r="E64" s="79"/>
      <c r="F64" s="79"/>
      <c r="G64" s="79"/>
      <c r="H64" s="81"/>
      <c r="I64" s="79"/>
      <c r="J64" s="79"/>
      <c r="K64" s="79"/>
      <c r="L64" s="79"/>
      <c r="M64" s="79"/>
      <c r="N64" s="82"/>
      <c r="O64" s="82"/>
      <c r="P64" s="82"/>
      <c r="Q64" s="83">
        <f t="shared" si="1"/>
        <v>0</v>
      </c>
      <c r="R64" s="84"/>
      <c r="S64" s="62"/>
      <c r="T64" s="14"/>
    </row>
    <row r="65" ht="21.75" customHeight="1">
      <c r="A65" s="85">
        <f t="shared" si="2"/>
        <v>61</v>
      </c>
      <c r="B65" s="87"/>
      <c r="C65" s="79"/>
      <c r="D65" s="80"/>
      <c r="E65" s="79"/>
      <c r="F65" s="79"/>
      <c r="G65" s="79"/>
      <c r="H65" s="81"/>
      <c r="I65" s="79"/>
      <c r="J65" s="79"/>
      <c r="K65" s="79"/>
      <c r="L65" s="79"/>
      <c r="M65" s="79"/>
      <c r="N65" s="82"/>
      <c r="O65" s="82"/>
      <c r="P65" s="82"/>
      <c r="Q65" s="83">
        <f t="shared" si="1"/>
        <v>0</v>
      </c>
      <c r="R65" s="84"/>
      <c r="S65" s="62"/>
      <c r="T65" s="14"/>
    </row>
    <row r="66" ht="21.75" customHeight="1">
      <c r="A66" s="85">
        <f t="shared" si="2"/>
        <v>62</v>
      </c>
      <c r="B66" s="87"/>
      <c r="C66" s="79"/>
      <c r="D66" s="80"/>
      <c r="E66" s="79"/>
      <c r="F66" s="79"/>
      <c r="G66" s="79"/>
      <c r="H66" s="81"/>
      <c r="I66" s="79"/>
      <c r="J66" s="79"/>
      <c r="K66" s="79"/>
      <c r="L66" s="79"/>
      <c r="M66" s="79"/>
      <c r="N66" s="82"/>
      <c r="O66" s="82"/>
      <c r="P66" s="82"/>
      <c r="Q66" s="83">
        <f t="shared" si="1"/>
        <v>0</v>
      </c>
      <c r="R66" s="84"/>
      <c r="S66" s="62"/>
      <c r="T66" s="14"/>
    </row>
    <row r="67" ht="21.75" customHeight="1">
      <c r="A67" s="85">
        <f t="shared" si="2"/>
        <v>63</v>
      </c>
      <c r="B67" s="87"/>
      <c r="C67" s="79"/>
      <c r="D67" s="80"/>
      <c r="E67" s="79"/>
      <c r="F67" s="79"/>
      <c r="G67" s="79"/>
      <c r="H67" s="81"/>
      <c r="I67" s="79"/>
      <c r="J67" s="79"/>
      <c r="K67" s="79"/>
      <c r="L67" s="79"/>
      <c r="M67" s="79"/>
      <c r="N67" s="82"/>
      <c r="O67" s="82"/>
      <c r="P67" s="82"/>
      <c r="Q67" s="83">
        <f t="shared" si="1"/>
        <v>0</v>
      </c>
      <c r="R67" s="84"/>
      <c r="S67" s="62"/>
      <c r="T67" s="14"/>
    </row>
    <row r="68" ht="21.75" customHeight="1">
      <c r="A68" s="85">
        <f t="shared" si="2"/>
        <v>64</v>
      </c>
      <c r="B68" s="87"/>
      <c r="C68" s="79"/>
      <c r="D68" s="80"/>
      <c r="E68" s="79"/>
      <c r="F68" s="79"/>
      <c r="G68" s="79"/>
      <c r="H68" s="81"/>
      <c r="I68" s="79"/>
      <c r="J68" s="79"/>
      <c r="K68" s="79"/>
      <c r="L68" s="79"/>
      <c r="M68" s="79"/>
      <c r="N68" s="82"/>
      <c r="O68" s="82"/>
      <c r="P68" s="82"/>
      <c r="Q68" s="83">
        <f t="shared" si="1"/>
        <v>0</v>
      </c>
      <c r="R68" s="84"/>
      <c r="S68" s="62"/>
      <c r="T68" s="14"/>
    </row>
    <row r="69" ht="21.75" customHeight="1">
      <c r="A69" s="85">
        <f t="shared" si="2"/>
        <v>65</v>
      </c>
      <c r="B69" s="87"/>
      <c r="C69" s="79"/>
      <c r="D69" s="80"/>
      <c r="E69" s="79"/>
      <c r="F69" s="79"/>
      <c r="G69" s="79"/>
      <c r="H69" s="81"/>
      <c r="I69" s="79"/>
      <c r="J69" s="79"/>
      <c r="K69" s="79"/>
      <c r="L69" s="79"/>
      <c r="M69" s="79"/>
      <c r="N69" s="82"/>
      <c r="O69" s="82"/>
      <c r="P69" s="82"/>
      <c r="Q69" s="83">
        <f t="shared" si="1"/>
        <v>0</v>
      </c>
      <c r="R69" s="84"/>
      <c r="S69" s="62"/>
      <c r="T69" s="14"/>
    </row>
    <row r="70" ht="21.75" customHeight="1">
      <c r="A70" s="85">
        <f t="shared" si="2"/>
        <v>66</v>
      </c>
      <c r="B70" s="87"/>
      <c r="C70" s="79"/>
      <c r="D70" s="80"/>
      <c r="E70" s="79"/>
      <c r="F70" s="79"/>
      <c r="G70" s="79"/>
      <c r="H70" s="81"/>
      <c r="I70" s="79"/>
      <c r="J70" s="79"/>
      <c r="K70" s="79"/>
      <c r="L70" s="79"/>
      <c r="M70" s="79"/>
      <c r="N70" s="82"/>
      <c r="O70" s="82"/>
      <c r="P70" s="82"/>
      <c r="Q70" s="83">
        <f t="shared" si="1"/>
        <v>0</v>
      </c>
      <c r="R70" s="84"/>
      <c r="S70" s="62"/>
      <c r="T70" s="14"/>
    </row>
    <row r="71" ht="21.75" customHeight="1">
      <c r="A71" s="85">
        <f t="shared" si="2"/>
        <v>67</v>
      </c>
      <c r="B71" s="87"/>
      <c r="C71" s="79"/>
      <c r="D71" s="80"/>
      <c r="E71" s="79"/>
      <c r="F71" s="79"/>
      <c r="G71" s="79"/>
      <c r="H71" s="81"/>
      <c r="I71" s="79"/>
      <c r="J71" s="79"/>
      <c r="K71" s="79"/>
      <c r="L71" s="79"/>
      <c r="M71" s="79"/>
      <c r="N71" s="82"/>
      <c r="O71" s="82"/>
      <c r="P71" s="82"/>
      <c r="Q71" s="83">
        <f t="shared" si="1"/>
        <v>0</v>
      </c>
      <c r="R71" s="84"/>
      <c r="S71" s="62"/>
      <c r="T71" s="14"/>
    </row>
    <row r="72" ht="21.75" customHeight="1">
      <c r="A72" s="85">
        <f t="shared" si="2"/>
        <v>68</v>
      </c>
      <c r="B72" s="87"/>
      <c r="C72" s="79"/>
      <c r="D72" s="80"/>
      <c r="E72" s="79"/>
      <c r="F72" s="79"/>
      <c r="G72" s="79"/>
      <c r="H72" s="81"/>
      <c r="I72" s="79"/>
      <c r="J72" s="79"/>
      <c r="K72" s="79"/>
      <c r="L72" s="79"/>
      <c r="M72" s="79"/>
      <c r="N72" s="82"/>
      <c r="O72" s="82"/>
      <c r="P72" s="82"/>
      <c r="Q72" s="83">
        <f t="shared" si="1"/>
        <v>0</v>
      </c>
      <c r="R72" s="84"/>
      <c r="S72" s="62"/>
      <c r="T72" s="14"/>
    </row>
    <row r="73" ht="21.75" customHeight="1">
      <c r="A73" s="95"/>
      <c r="B73" s="95"/>
      <c r="C73" s="95"/>
      <c r="D73" s="95"/>
      <c r="E73" s="95"/>
      <c r="F73" s="95"/>
      <c r="G73" s="96" t="s">
        <v>178</v>
      </c>
      <c r="H73" s="97">
        <f t="shared" ref="H73:I73" si="3">COUNTIF(H4:H72,"X")</f>
        <v>38</v>
      </c>
      <c r="I73" s="97">
        <f t="shared" si="3"/>
        <v>0</v>
      </c>
      <c r="J73" s="98">
        <f t="shared" ref="J73:K73" si="4">SUM(J4:J72)</f>
        <v>6020</v>
      </c>
      <c r="K73" s="98">
        <f t="shared" si="4"/>
        <v>1435</v>
      </c>
      <c r="L73" s="40"/>
      <c r="M73" s="95"/>
      <c r="N73" s="98">
        <f t="shared" ref="N73:O73" si="5">SUM(N4:N72)</f>
        <v>6004.4</v>
      </c>
      <c r="O73" s="98">
        <f t="shared" si="5"/>
        <v>1419.4</v>
      </c>
      <c r="P73" s="95"/>
      <c r="Q73" s="99"/>
      <c r="R73" s="95"/>
      <c r="S73" s="63"/>
      <c r="T73" s="2"/>
    </row>
    <row r="74" ht="19.5" customHeight="1">
      <c r="A74" s="2"/>
      <c r="B74" s="2"/>
      <c r="C74" s="2"/>
      <c r="D74" s="2"/>
      <c r="E74" s="2"/>
      <c r="F74" s="2"/>
      <c r="G74" s="100" t="s">
        <v>179</v>
      </c>
      <c r="H74" s="101">
        <v>34.0</v>
      </c>
      <c r="I74" s="101">
        <v>34.0</v>
      </c>
      <c r="J74" s="102">
        <f>SUM(J73:K73)</f>
        <v>7455</v>
      </c>
      <c r="K74" s="103"/>
      <c r="L74" s="2"/>
      <c r="M74" s="2"/>
      <c r="N74" s="102">
        <f>SUM(N73:O73)</f>
        <v>7423.8</v>
      </c>
      <c r="O74" s="103"/>
      <c r="P74" s="2"/>
      <c r="Q74" s="5"/>
      <c r="R74" s="2"/>
      <c r="S74" s="63"/>
      <c r="T74" s="2"/>
    </row>
    <row r="75" ht="19.5" customHeight="1">
      <c r="A75" s="2"/>
      <c r="B75" s="104"/>
      <c r="C75" s="2"/>
      <c r="D75" s="105"/>
      <c r="E75" s="2"/>
      <c r="F75" s="2"/>
      <c r="G75" s="106" t="s">
        <v>180</v>
      </c>
      <c r="H75" s="107">
        <f t="shared" ref="H75:I75" si="6">H74-H73</f>
        <v>-4</v>
      </c>
      <c r="I75" s="107">
        <f t="shared" si="6"/>
        <v>34</v>
      </c>
      <c r="J75" s="108" t="s">
        <v>181</v>
      </c>
      <c r="K75" s="109"/>
      <c r="L75" s="2"/>
      <c r="M75" s="2"/>
      <c r="N75" s="108" t="s">
        <v>182</v>
      </c>
      <c r="O75" s="109"/>
      <c r="P75" s="104"/>
      <c r="Q75" s="5"/>
      <c r="R75" s="2"/>
      <c r="S75" s="63"/>
      <c r="T75" s="2"/>
    </row>
    <row r="76" ht="19.5" customHeight="1">
      <c r="A76" s="2"/>
      <c r="B76" s="104"/>
      <c r="C76" s="2"/>
      <c r="D76" s="105"/>
      <c r="E76" s="2"/>
      <c r="F76" s="2"/>
      <c r="G76" s="2"/>
      <c r="H76" s="110">
        <v>200.0</v>
      </c>
      <c r="I76" s="110">
        <v>200.0</v>
      </c>
      <c r="J76" s="2"/>
      <c r="K76" s="2"/>
      <c r="L76" s="2"/>
      <c r="M76" s="2"/>
      <c r="N76" s="104"/>
      <c r="O76" s="104"/>
      <c r="P76" s="104"/>
      <c r="Q76" s="5"/>
      <c r="R76" s="2"/>
      <c r="S76" s="63"/>
      <c r="T76" s="14" t="s">
        <v>68</v>
      </c>
    </row>
    <row r="77" ht="19.5" customHeight="1">
      <c r="A77" s="2"/>
      <c r="B77" s="104"/>
      <c r="C77" s="2"/>
      <c r="D77" s="105"/>
      <c r="E77" s="2"/>
      <c r="F77" s="2"/>
      <c r="G77" s="2"/>
      <c r="H77" s="111">
        <f t="shared" ref="H77:I77" si="7">H75*H76</f>
        <v>-800</v>
      </c>
      <c r="I77" s="111">
        <f t="shared" si="7"/>
        <v>6800</v>
      </c>
      <c r="J77" s="2"/>
      <c r="K77" s="2"/>
      <c r="L77" s="2"/>
      <c r="M77" s="2"/>
      <c r="N77" s="104"/>
      <c r="O77" s="104"/>
      <c r="P77" s="104"/>
      <c r="Q77" s="5"/>
      <c r="R77" s="2"/>
      <c r="S77" s="63"/>
      <c r="T77" s="2"/>
    </row>
    <row r="78" ht="19.5" customHeight="1">
      <c r="A78" s="2"/>
      <c r="B78" s="104"/>
      <c r="C78" s="2"/>
      <c r="D78" s="105"/>
      <c r="E78" s="2"/>
      <c r="F78" s="2"/>
      <c r="G78" s="2"/>
      <c r="H78" s="112">
        <f>H77+I77</f>
        <v>6000</v>
      </c>
      <c r="I78" s="109"/>
      <c r="J78" s="2"/>
      <c r="K78" s="2"/>
      <c r="L78" s="2"/>
      <c r="M78" s="2"/>
      <c r="N78" s="104"/>
      <c r="O78" s="104"/>
      <c r="P78" s="104"/>
      <c r="Q78" s="5"/>
      <c r="R78" s="2"/>
      <c r="S78" s="63"/>
      <c r="T78" s="2"/>
    </row>
    <row r="79" ht="19.5" customHeight="1">
      <c r="A79" s="2"/>
      <c r="B79" s="104"/>
      <c r="C79" s="2"/>
      <c r="D79" s="105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5"/>
      <c r="R79" s="2"/>
      <c r="S79" s="63"/>
      <c r="T79" s="2"/>
    </row>
    <row r="80" ht="19.5" customHeight="1">
      <c r="A80" s="2"/>
      <c r="B80" s="104"/>
      <c r="C80" s="2"/>
      <c r="D80" s="105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5"/>
      <c r="R80" s="2"/>
      <c r="S80" s="63"/>
      <c r="T80" s="2"/>
    </row>
    <row r="81" ht="19.5" customHeight="1">
      <c r="A81" s="2"/>
      <c r="B81" s="104"/>
      <c r="C81" s="2"/>
      <c r="D81" s="105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5"/>
      <c r="R81" s="2"/>
      <c r="S81" s="63"/>
      <c r="T81" s="2"/>
    </row>
    <row r="82" ht="19.5" customHeight="1">
      <c r="A82" s="2"/>
      <c r="B82" s="104"/>
      <c r="C82" s="2"/>
      <c r="D82" s="105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5"/>
      <c r="R82" s="2"/>
      <c r="S82" s="63"/>
      <c r="T82" s="2"/>
    </row>
  </sheetData>
  <autoFilter ref="$A$4:$T$78"/>
  <customSheetViews>
    <customSheetView guid="{A9B8627E-26B2-4201-803A-467C3700F329}" filter="1" showAutoFilter="1">
      <autoFilter ref="$A$2:$T$82"/>
    </customSheetView>
    <customSheetView guid="{E5EE51B3-DE45-4D2E-9071-A5BED79D171F}" filter="1" showAutoFilter="1">
      <autoFilter ref="$A$2:$T$82"/>
    </customSheetView>
    <customSheetView guid="{BD076BCF-39B8-44C5-BF95-7B82C910DEB0}" filter="1" showAutoFilter="1">
      <autoFilter ref="$A$4:$T$78"/>
    </customSheetView>
    <customSheetView guid="{BA335440-5B37-4C05-BCDC-9CD4D4923240}" filter="1" showAutoFilter="1">
      <autoFilter ref="$A$1:$T$82"/>
    </customSheetView>
  </customSheetViews>
  <mergeCells count="8">
    <mergeCell ref="A2:M2"/>
    <mergeCell ref="A3:F3"/>
    <mergeCell ref="G3:J3"/>
    <mergeCell ref="J74:K74"/>
    <mergeCell ref="N74:O74"/>
    <mergeCell ref="J75:K75"/>
    <mergeCell ref="N75:O75"/>
    <mergeCell ref="H78:I78"/>
  </mergeCells>
  <conditionalFormatting sqref="M5:M72 R5:R72">
    <cfRule type="containsText" dxfId="3" priority="1" operator="containsText" text="fh">
      <formula>NOT(ISERROR(SEARCH(("fh"),(M5))))</formula>
    </cfRule>
  </conditionalFormatting>
  <conditionalFormatting sqref="L1 L4:L72 M4 N8:O14 N16:O18 L74:L77 L79:L82">
    <cfRule type="containsText" dxfId="0" priority="2" operator="containsText" text="COBR">
      <formula>NOT(ISERROR(SEARCH(("COBR"),(L1))))</formula>
    </cfRule>
  </conditionalFormatting>
  <conditionalFormatting sqref="L1 L4:L72 M4 N8:O14 N16:O18 L74:L77 L79:L82">
    <cfRule type="containsText" dxfId="1" priority="3" operator="containsText" text="INTE">
      <formula>NOT(ISERROR(SEARCH(("INTE"),(L1))))</formula>
    </cfRule>
  </conditionalFormatting>
  <conditionalFormatting sqref="L1 L4:L72 M4 J74 L74:L77 N74 L79:L82">
    <cfRule type="containsText" dxfId="2" priority="4" operator="containsText" text="DESC">
      <formula>NOT(ISERROR(SEARCH(("DESC"),(L1))))</formula>
    </cfRule>
  </conditionalFormatting>
  <dataValidations>
    <dataValidation type="list" allowBlank="1" showErrorMessage="1" sqref="M5:M72">
      <formula1>CUENTAS</formula1>
    </dataValidation>
    <dataValidation type="list" allowBlank="1" showErrorMessage="1" sqref="P5:P72">
      <formula1>VENDEDOR</formula1>
    </dataValidation>
    <dataValidation type="list" allowBlank="1" showErrorMessage="1" sqref="L5:L72">
      <formula1>SITUACION</formula1>
    </dataValidation>
  </dataValidations>
  <hyperlinks>
    <hyperlink r:id="rId1" ref="E19"/>
  </hyperlinks>
  <printOptions gridLines="1" horizontalCentered="1"/>
  <pageMargins bottom="0.6" footer="0.0" header="0.0" left="0.18446313842671508" right="0.1947110905615326" top="0.21520699483116765"/>
  <pageSetup fitToHeight="0" paperSize="9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13.13"/>
    <col customWidth="1" min="4" max="4" width="30.38"/>
    <col customWidth="1" min="5" max="6" width="19.5"/>
    <col customWidth="1" min="7" max="7" width="18.63"/>
    <col customWidth="1" min="8" max="9" width="9.0"/>
    <col customWidth="1" min="10" max="11" width="12.63"/>
    <col customWidth="1" min="12" max="12" width="14.38"/>
    <col customWidth="1" min="13" max="13" width="14.75"/>
    <col customWidth="1" min="14" max="16" width="12.63"/>
    <col customWidth="1" min="17" max="20" width="21.63"/>
    <col customWidth="1" min="21" max="21" width="2.25"/>
  </cols>
  <sheetData>
    <row r="1" ht="19.5" customHeight="1">
      <c r="A1" s="55"/>
      <c r="B1" s="56"/>
      <c r="C1" s="57"/>
      <c r="D1" s="113"/>
      <c r="E1" s="114"/>
      <c r="F1" s="115"/>
      <c r="G1" s="57"/>
      <c r="H1" s="57"/>
      <c r="I1" s="57"/>
      <c r="J1" s="57"/>
      <c r="K1" s="57"/>
      <c r="L1" s="57"/>
      <c r="M1" s="115"/>
      <c r="N1" s="1"/>
      <c r="O1" s="1"/>
      <c r="P1" s="1"/>
      <c r="Q1" s="1"/>
      <c r="R1" s="116"/>
      <c r="S1" s="1"/>
      <c r="T1" s="1"/>
      <c r="U1" s="1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62"/>
      <c r="O2" s="62"/>
      <c r="P2" s="63"/>
      <c r="Q2" s="63"/>
      <c r="R2" s="64"/>
      <c r="S2" s="63"/>
      <c r="T2" s="63"/>
      <c r="U2" s="1"/>
    </row>
    <row r="3" ht="30.75" customHeight="1">
      <c r="A3" s="117" t="s">
        <v>70</v>
      </c>
      <c r="B3" s="60"/>
      <c r="C3" s="60"/>
      <c r="D3" s="60"/>
      <c r="E3" s="60"/>
      <c r="F3" s="60"/>
      <c r="G3" s="118">
        <v>45668.0</v>
      </c>
      <c r="H3" s="60"/>
      <c r="I3" s="60"/>
      <c r="J3" s="60"/>
      <c r="K3" s="119"/>
      <c r="L3" s="119"/>
      <c r="M3" s="120"/>
      <c r="N3" s="69"/>
      <c r="O3" s="69"/>
      <c r="P3" s="70"/>
      <c r="Q3" s="70"/>
      <c r="R3" s="71"/>
      <c r="S3" s="70"/>
      <c r="T3" s="63"/>
      <c r="U3" s="1"/>
    </row>
    <row r="4" ht="27.0" customHeight="1">
      <c r="A4" s="72" t="s">
        <v>0</v>
      </c>
      <c r="B4" s="72" t="s">
        <v>7</v>
      </c>
      <c r="C4" s="72" t="s">
        <v>8</v>
      </c>
      <c r="D4" s="73" t="s">
        <v>9</v>
      </c>
      <c r="E4" s="72" t="s">
        <v>10</v>
      </c>
      <c r="F4" s="73" t="s">
        <v>11</v>
      </c>
      <c r="G4" s="73"/>
      <c r="H4" s="74" t="s">
        <v>72</v>
      </c>
      <c r="I4" s="74" t="s">
        <v>73</v>
      </c>
      <c r="J4" s="74" t="s">
        <v>15</v>
      </c>
      <c r="K4" s="74" t="s">
        <v>16</v>
      </c>
      <c r="L4" s="74" t="s">
        <v>17</v>
      </c>
      <c r="M4" s="74" t="s">
        <v>18</v>
      </c>
      <c r="N4" s="75" t="s">
        <v>19</v>
      </c>
      <c r="O4" s="75"/>
      <c r="P4" s="75" t="s">
        <v>20</v>
      </c>
      <c r="Q4" s="75" t="s">
        <v>21</v>
      </c>
      <c r="R4" s="76" t="s">
        <v>22</v>
      </c>
      <c r="S4" s="72" t="s">
        <v>74</v>
      </c>
      <c r="T4" s="62"/>
      <c r="U4" s="2"/>
    </row>
    <row r="5" ht="21.75" customHeight="1">
      <c r="A5" s="77">
        <v>1.0</v>
      </c>
      <c r="B5" s="78">
        <v>45993.0</v>
      </c>
      <c r="C5" s="79">
        <v>4.7078798E7</v>
      </c>
      <c r="D5" s="80" t="s">
        <v>183</v>
      </c>
      <c r="E5" s="79" t="s">
        <v>184</v>
      </c>
      <c r="F5" s="79" t="s">
        <v>185</v>
      </c>
      <c r="G5" s="79" t="s">
        <v>186</v>
      </c>
      <c r="H5" s="81"/>
      <c r="I5" s="79" t="s">
        <v>79</v>
      </c>
      <c r="J5" s="79">
        <v>220.0</v>
      </c>
      <c r="K5" s="79"/>
      <c r="L5" s="79" t="s">
        <v>80</v>
      </c>
      <c r="M5" s="79" t="s">
        <v>81</v>
      </c>
      <c r="N5" s="82">
        <v>220.0</v>
      </c>
      <c r="O5" s="82"/>
      <c r="P5" s="82"/>
      <c r="Q5" s="82" t="s">
        <v>50</v>
      </c>
      <c r="R5" s="83">
        <f>N5+P5</f>
        <v>220</v>
      </c>
      <c r="S5" s="84" t="s">
        <v>187</v>
      </c>
      <c r="T5" s="62"/>
      <c r="U5" s="1"/>
    </row>
    <row r="6" ht="21.75" customHeight="1">
      <c r="A6" s="85">
        <f t="shared" ref="A6:A72" si="1">A5+1</f>
        <v>2</v>
      </c>
      <c r="B6" s="78">
        <v>46008.0</v>
      </c>
      <c r="C6" s="79">
        <v>4.4681923E7</v>
      </c>
      <c r="D6" s="80" t="s">
        <v>188</v>
      </c>
      <c r="E6" s="79" t="s">
        <v>189</v>
      </c>
      <c r="F6" s="79" t="s">
        <v>190</v>
      </c>
      <c r="G6" s="79" t="s">
        <v>191</v>
      </c>
      <c r="H6" s="81"/>
      <c r="I6" s="79" t="s">
        <v>79</v>
      </c>
      <c r="J6" s="79">
        <v>200.0</v>
      </c>
      <c r="K6" s="79">
        <v>155.0</v>
      </c>
      <c r="L6" s="79" t="s">
        <v>93</v>
      </c>
      <c r="M6" s="79" t="s">
        <v>81</v>
      </c>
      <c r="N6" s="82">
        <v>200.0</v>
      </c>
      <c r="O6" s="82">
        <v>155.0</v>
      </c>
      <c r="P6" s="82"/>
      <c r="Q6" s="82" t="s">
        <v>50</v>
      </c>
      <c r="R6" s="83">
        <f t="shared" ref="R6:R9" si="2">N6+O6</f>
        <v>355</v>
      </c>
      <c r="S6" s="121"/>
      <c r="T6" s="62"/>
      <c r="U6" s="122"/>
    </row>
    <row r="7" ht="21.75" customHeight="1">
      <c r="A7" s="85">
        <f t="shared" si="1"/>
        <v>3</v>
      </c>
      <c r="B7" s="78">
        <v>46008.0</v>
      </c>
      <c r="C7" s="79"/>
      <c r="D7" s="80" t="s">
        <v>192</v>
      </c>
      <c r="E7" s="79" t="s">
        <v>189</v>
      </c>
      <c r="F7" s="79" t="s">
        <v>190</v>
      </c>
      <c r="G7" s="79" t="s">
        <v>191</v>
      </c>
      <c r="H7" s="81"/>
      <c r="I7" s="79" t="s">
        <v>79</v>
      </c>
      <c r="J7" s="79">
        <v>200.0</v>
      </c>
      <c r="K7" s="79">
        <v>155.0</v>
      </c>
      <c r="L7" s="79" t="s">
        <v>93</v>
      </c>
      <c r="M7" s="79" t="s">
        <v>81</v>
      </c>
      <c r="N7" s="82">
        <v>200.0</v>
      </c>
      <c r="O7" s="82">
        <v>155.0</v>
      </c>
      <c r="P7" s="82"/>
      <c r="Q7" s="82" t="s">
        <v>50</v>
      </c>
      <c r="R7" s="83">
        <f t="shared" si="2"/>
        <v>355</v>
      </c>
      <c r="S7" s="123"/>
      <c r="T7" s="62"/>
      <c r="U7" s="122"/>
    </row>
    <row r="8" ht="21.75" customHeight="1">
      <c r="A8" s="85">
        <f t="shared" si="1"/>
        <v>4</v>
      </c>
      <c r="B8" s="78">
        <v>46008.0</v>
      </c>
      <c r="C8" s="79">
        <v>7.2495808E7</v>
      </c>
      <c r="D8" s="80" t="s">
        <v>193</v>
      </c>
      <c r="E8" s="79" t="s">
        <v>194</v>
      </c>
      <c r="F8" s="79" t="s">
        <v>195</v>
      </c>
      <c r="G8" s="79" t="s">
        <v>196</v>
      </c>
      <c r="H8" s="81" t="s">
        <v>79</v>
      </c>
      <c r="I8" s="79" t="s">
        <v>79</v>
      </c>
      <c r="J8" s="79">
        <v>380.0</v>
      </c>
      <c r="K8" s="79">
        <v>190.0</v>
      </c>
      <c r="L8" s="79" t="s">
        <v>80</v>
      </c>
      <c r="M8" s="79" t="s">
        <v>81</v>
      </c>
      <c r="N8" s="82">
        <v>190.0</v>
      </c>
      <c r="O8" s="82">
        <v>190.0</v>
      </c>
      <c r="P8" s="82"/>
      <c r="Q8" s="82" t="s">
        <v>50</v>
      </c>
      <c r="R8" s="83">
        <f t="shared" si="2"/>
        <v>380</v>
      </c>
      <c r="S8" s="84" t="s">
        <v>197</v>
      </c>
      <c r="T8" s="62"/>
      <c r="U8" s="122"/>
    </row>
    <row r="9" ht="21.75" customHeight="1">
      <c r="A9" s="85">
        <f t="shared" si="1"/>
        <v>5</v>
      </c>
      <c r="B9" s="78">
        <v>46008.0</v>
      </c>
      <c r="C9" s="92" t="s">
        <v>198</v>
      </c>
      <c r="D9" s="80" t="s">
        <v>199</v>
      </c>
      <c r="E9" s="79" t="s">
        <v>194</v>
      </c>
      <c r="F9" s="79" t="s">
        <v>195</v>
      </c>
      <c r="G9" s="79" t="s">
        <v>196</v>
      </c>
      <c r="H9" s="81" t="s">
        <v>79</v>
      </c>
      <c r="I9" s="79"/>
      <c r="J9" s="79">
        <v>190.0</v>
      </c>
      <c r="K9" s="79">
        <v>95.0</v>
      </c>
      <c r="L9" s="79" t="s">
        <v>80</v>
      </c>
      <c r="M9" s="79" t="s">
        <v>81</v>
      </c>
      <c r="N9" s="82">
        <v>95.0</v>
      </c>
      <c r="O9" s="82">
        <v>95.0</v>
      </c>
      <c r="P9" s="82"/>
      <c r="Q9" s="82" t="s">
        <v>50</v>
      </c>
      <c r="R9" s="83">
        <f t="shared" si="2"/>
        <v>190</v>
      </c>
      <c r="S9" s="84" t="s">
        <v>197</v>
      </c>
      <c r="T9" s="62"/>
      <c r="U9" s="122"/>
    </row>
    <row r="10" ht="21.75" customHeight="1">
      <c r="A10" s="85">
        <f t="shared" si="1"/>
        <v>6</v>
      </c>
      <c r="B10" s="78">
        <v>46014.0</v>
      </c>
      <c r="C10" s="79">
        <v>4.4889118E7</v>
      </c>
      <c r="D10" s="80" t="s">
        <v>200</v>
      </c>
      <c r="E10" s="79" t="s">
        <v>201</v>
      </c>
      <c r="F10" s="79" t="s">
        <v>96</v>
      </c>
      <c r="G10" s="79" t="s">
        <v>202</v>
      </c>
      <c r="H10" s="81" t="s">
        <v>79</v>
      </c>
      <c r="I10" s="79" t="s">
        <v>79</v>
      </c>
      <c r="J10" s="79">
        <v>360.0</v>
      </c>
      <c r="K10" s="79"/>
      <c r="L10" s="79" t="s">
        <v>80</v>
      </c>
      <c r="M10" s="79" t="s">
        <v>174</v>
      </c>
      <c r="N10" s="82">
        <v>360.0</v>
      </c>
      <c r="O10" s="82"/>
      <c r="P10" s="82"/>
      <c r="Q10" s="82" t="s">
        <v>50</v>
      </c>
      <c r="R10" s="83">
        <f t="shared" ref="R10:R11" si="3">N10+P10</f>
        <v>360</v>
      </c>
      <c r="S10" s="84"/>
      <c r="T10" s="62"/>
      <c r="U10" s="122"/>
    </row>
    <row r="11" ht="21.75" customHeight="1">
      <c r="A11" s="85">
        <f t="shared" si="1"/>
        <v>7</v>
      </c>
      <c r="B11" s="78">
        <v>46014.0</v>
      </c>
      <c r="C11" s="79">
        <v>4.3045566E7</v>
      </c>
      <c r="D11" s="80" t="s">
        <v>203</v>
      </c>
      <c r="E11" s="79" t="s">
        <v>201</v>
      </c>
      <c r="F11" s="79" t="s">
        <v>204</v>
      </c>
      <c r="G11" s="79" t="s">
        <v>202</v>
      </c>
      <c r="H11" s="81" t="s">
        <v>79</v>
      </c>
      <c r="I11" s="79" t="s">
        <v>79</v>
      </c>
      <c r="J11" s="79">
        <v>360.0</v>
      </c>
      <c r="K11" s="79"/>
      <c r="L11" s="79" t="s">
        <v>80</v>
      </c>
      <c r="M11" s="79" t="s">
        <v>81</v>
      </c>
      <c r="N11" s="82">
        <v>360.0</v>
      </c>
      <c r="O11" s="82"/>
      <c r="P11" s="82"/>
      <c r="Q11" s="82" t="s">
        <v>50</v>
      </c>
      <c r="R11" s="83">
        <f t="shared" si="3"/>
        <v>360</v>
      </c>
      <c r="S11" s="121"/>
      <c r="T11" s="62"/>
      <c r="U11" s="122"/>
    </row>
    <row r="12" ht="21.75" customHeight="1">
      <c r="A12" s="85">
        <f t="shared" si="1"/>
        <v>8</v>
      </c>
      <c r="B12" s="78">
        <v>46011.0</v>
      </c>
      <c r="C12" s="79"/>
      <c r="D12" s="80" t="s">
        <v>205</v>
      </c>
      <c r="E12" s="79" t="s">
        <v>206</v>
      </c>
      <c r="F12" s="79" t="s">
        <v>207</v>
      </c>
      <c r="G12" s="79">
        <v>9.91385736E8</v>
      </c>
      <c r="H12" s="81" t="s">
        <v>79</v>
      </c>
      <c r="I12" s="79"/>
      <c r="J12" s="79">
        <v>95.0</v>
      </c>
      <c r="K12" s="79">
        <v>95.0</v>
      </c>
      <c r="L12" s="79" t="s">
        <v>80</v>
      </c>
      <c r="M12" s="79" t="s">
        <v>174</v>
      </c>
      <c r="N12" s="82">
        <v>95.0</v>
      </c>
      <c r="O12" s="82">
        <v>95.0</v>
      </c>
      <c r="P12" s="82"/>
      <c r="Q12" s="82" t="s">
        <v>50</v>
      </c>
      <c r="R12" s="83">
        <f t="shared" ref="R12:R13" si="4">N12+O12</f>
        <v>190</v>
      </c>
      <c r="S12" s="84"/>
      <c r="T12" s="62"/>
      <c r="U12" s="122"/>
    </row>
    <row r="13" ht="21.75" customHeight="1">
      <c r="A13" s="85">
        <f t="shared" si="1"/>
        <v>9</v>
      </c>
      <c r="B13" s="78">
        <v>46011.0</v>
      </c>
      <c r="C13" s="79"/>
      <c r="D13" s="80" t="s">
        <v>208</v>
      </c>
      <c r="E13" s="79" t="s">
        <v>206</v>
      </c>
      <c r="F13" s="79" t="s">
        <v>207</v>
      </c>
      <c r="G13" s="79">
        <v>9.91385736E8</v>
      </c>
      <c r="H13" s="81" t="s">
        <v>79</v>
      </c>
      <c r="I13" s="79"/>
      <c r="J13" s="79">
        <v>95.0</v>
      </c>
      <c r="K13" s="79">
        <v>95.0</v>
      </c>
      <c r="L13" s="79" t="s">
        <v>80</v>
      </c>
      <c r="M13" s="79" t="s">
        <v>174</v>
      </c>
      <c r="N13" s="82">
        <v>95.0</v>
      </c>
      <c r="O13" s="82">
        <v>95.0</v>
      </c>
      <c r="P13" s="82"/>
      <c r="Q13" s="82" t="s">
        <v>50</v>
      </c>
      <c r="R13" s="83">
        <f t="shared" si="4"/>
        <v>190</v>
      </c>
      <c r="S13" s="121"/>
      <c r="T13" s="62"/>
      <c r="U13" s="122"/>
    </row>
    <row r="14" ht="21.75" customHeight="1">
      <c r="A14" s="85">
        <f t="shared" si="1"/>
        <v>10</v>
      </c>
      <c r="B14" s="124">
        <v>46386.0</v>
      </c>
      <c r="C14" s="89">
        <v>7.261636E7</v>
      </c>
      <c r="D14" s="90" t="s">
        <v>209</v>
      </c>
      <c r="E14" s="79" t="s">
        <v>210</v>
      </c>
      <c r="F14" s="79" t="s">
        <v>211</v>
      </c>
      <c r="G14" s="90" t="s">
        <v>212</v>
      </c>
      <c r="H14" s="81" t="s">
        <v>79</v>
      </c>
      <c r="I14" s="79" t="s">
        <v>79</v>
      </c>
      <c r="J14" s="79">
        <v>380.0</v>
      </c>
      <c r="K14" s="79"/>
      <c r="L14" s="79" t="s">
        <v>80</v>
      </c>
      <c r="M14" s="79" t="s">
        <v>81</v>
      </c>
      <c r="N14" s="82">
        <v>380.0</v>
      </c>
      <c r="O14" s="82"/>
      <c r="P14" s="82"/>
      <c r="Q14" s="82" t="s">
        <v>45</v>
      </c>
      <c r="R14" s="83">
        <f t="shared" ref="R14:R27" si="5">N14+P14</f>
        <v>380</v>
      </c>
      <c r="S14" s="121"/>
      <c r="T14" s="62"/>
      <c r="U14" s="122"/>
    </row>
    <row r="15" ht="21.75" customHeight="1">
      <c r="A15" s="85">
        <f t="shared" si="1"/>
        <v>11</v>
      </c>
      <c r="B15" s="78">
        <v>46021.0</v>
      </c>
      <c r="C15" s="89">
        <v>4.9035262E7</v>
      </c>
      <c r="D15" s="90" t="s">
        <v>110</v>
      </c>
      <c r="E15" s="125" t="s">
        <v>213</v>
      </c>
      <c r="F15" s="79" t="s">
        <v>112</v>
      </c>
      <c r="G15" s="79" t="s">
        <v>214</v>
      </c>
      <c r="H15" s="81"/>
      <c r="I15" s="79" t="s">
        <v>79</v>
      </c>
      <c r="J15" s="79">
        <v>0.0</v>
      </c>
      <c r="K15" s="79"/>
      <c r="L15" s="79" t="s">
        <v>80</v>
      </c>
      <c r="M15" s="79" t="s">
        <v>81</v>
      </c>
      <c r="N15" s="82">
        <v>0.0</v>
      </c>
      <c r="O15" s="82"/>
      <c r="P15" s="82"/>
      <c r="Q15" s="82" t="s">
        <v>50</v>
      </c>
      <c r="R15" s="83">
        <f t="shared" si="5"/>
        <v>0</v>
      </c>
      <c r="S15" s="84" t="s">
        <v>215</v>
      </c>
      <c r="T15" s="62"/>
      <c r="U15" s="122"/>
    </row>
    <row r="16" ht="21.75" customHeight="1">
      <c r="A16" s="85">
        <f t="shared" si="1"/>
        <v>12</v>
      </c>
      <c r="B16" s="78">
        <v>46021.0</v>
      </c>
      <c r="C16" s="89">
        <v>4.9032421E7</v>
      </c>
      <c r="D16" s="90" t="s">
        <v>216</v>
      </c>
      <c r="E16" s="126" t="s">
        <v>217</v>
      </c>
      <c r="F16" s="79" t="s">
        <v>218</v>
      </c>
      <c r="G16" s="79" t="s">
        <v>219</v>
      </c>
      <c r="H16" s="81" t="s">
        <v>79</v>
      </c>
      <c r="I16" s="79"/>
      <c r="J16" s="79">
        <v>190.0</v>
      </c>
      <c r="K16" s="79"/>
      <c r="L16" s="79" t="s">
        <v>80</v>
      </c>
      <c r="M16" s="79" t="s">
        <v>143</v>
      </c>
      <c r="N16" s="82">
        <v>181.58</v>
      </c>
      <c r="O16" s="82"/>
      <c r="P16" s="82"/>
      <c r="Q16" s="82" t="s">
        <v>50</v>
      </c>
      <c r="R16" s="83">
        <f t="shared" si="5"/>
        <v>181.58</v>
      </c>
      <c r="S16" s="121"/>
      <c r="T16" s="62"/>
      <c r="U16" s="122"/>
    </row>
    <row r="17" ht="21.75" customHeight="1">
      <c r="A17" s="85">
        <f t="shared" si="1"/>
        <v>13</v>
      </c>
      <c r="B17" s="78">
        <v>46021.0</v>
      </c>
      <c r="C17" s="89">
        <v>7.3185937E7</v>
      </c>
      <c r="D17" s="127" t="s">
        <v>220</v>
      </c>
      <c r="E17" s="126" t="s">
        <v>221</v>
      </c>
      <c r="F17" s="79" t="s">
        <v>218</v>
      </c>
      <c r="G17" s="79" t="s">
        <v>219</v>
      </c>
      <c r="H17" s="81" t="s">
        <v>79</v>
      </c>
      <c r="I17" s="79"/>
      <c r="J17" s="79">
        <v>190.0</v>
      </c>
      <c r="K17" s="79"/>
      <c r="L17" s="79" t="s">
        <v>80</v>
      </c>
      <c r="M17" s="79" t="s">
        <v>143</v>
      </c>
      <c r="N17" s="82">
        <v>181.58</v>
      </c>
      <c r="O17" s="82"/>
      <c r="P17" s="82"/>
      <c r="Q17" s="82" t="s">
        <v>50</v>
      </c>
      <c r="R17" s="83">
        <f t="shared" si="5"/>
        <v>181.58</v>
      </c>
      <c r="S17" s="84"/>
      <c r="T17" s="62"/>
      <c r="U17" s="122"/>
    </row>
    <row r="18" ht="21.75" customHeight="1">
      <c r="A18" s="85">
        <f t="shared" si="1"/>
        <v>14</v>
      </c>
      <c r="B18" s="88">
        <v>46014.0</v>
      </c>
      <c r="C18" s="79"/>
      <c r="D18" s="80" t="s">
        <v>222</v>
      </c>
      <c r="E18" s="79"/>
      <c r="F18" s="79" t="s">
        <v>223</v>
      </c>
      <c r="G18" s="79"/>
      <c r="H18" s="81" t="s">
        <v>104</v>
      </c>
      <c r="I18" s="79"/>
      <c r="J18" s="79">
        <v>220.0</v>
      </c>
      <c r="K18" s="79"/>
      <c r="L18" s="79" t="s">
        <v>80</v>
      </c>
      <c r="M18" s="79" t="s">
        <v>81</v>
      </c>
      <c r="N18" s="82">
        <v>220.0</v>
      </c>
      <c r="O18" s="82"/>
      <c r="P18" s="82"/>
      <c r="Q18" s="82" t="s">
        <v>47</v>
      </c>
      <c r="R18" s="83">
        <f t="shared" si="5"/>
        <v>220</v>
      </c>
      <c r="S18" s="84"/>
      <c r="T18" s="62"/>
      <c r="U18" s="122"/>
    </row>
    <row r="19" ht="21.75" customHeight="1">
      <c r="A19" s="85">
        <f t="shared" si="1"/>
        <v>15</v>
      </c>
      <c r="B19" s="88">
        <v>46024.0</v>
      </c>
      <c r="C19" s="79">
        <v>4.2296972E7</v>
      </c>
      <c r="D19" s="80" t="s">
        <v>137</v>
      </c>
      <c r="E19" s="79" t="s">
        <v>138</v>
      </c>
      <c r="F19" s="79"/>
      <c r="G19" s="79"/>
      <c r="H19" s="81"/>
      <c r="I19" s="79" t="s">
        <v>104</v>
      </c>
      <c r="J19" s="79">
        <v>190.0</v>
      </c>
      <c r="K19" s="79"/>
      <c r="L19" s="79" t="s">
        <v>80</v>
      </c>
      <c r="M19" s="79" t="s">
        <v>98</v>
      </c>
      <c r="N19" s="82">
        <v>190.0</v>
      </c>
      <c r="O19" s="82"/>
      <c r="P19" s="82"/>
      <c r="Q19" s="82" t="s">
        <v>47</v>
      </c>
      <c r="R19" s="83">
        <f t="shared" si="5"/>
        <v>190</v>
      </c>
      <c r="S19" s="121"/>
      <c r="T19" s="62"/>
      <c r="U19" s="122"/>
    </row>
    <row r="20" ht="21.75" customHeight="1">
      <c r="A20" s="85">
        <f t="shared" si="1"/>
        <v>16</v>
      </c>
      <c r="B20" s="86">
        <v>46022.0</v>
      </c>
      <c r="C20" s="79">
        <v>7.0945763E7</v>
      </c>
      <c r="D20" s="128" t="s">
        <v>224</v>
      </c>
      <c r="E20" s="79" t="s">
        <v>225</v>
      </c>
      <c r="F20" s="79" t="s">
        <v>226</v>
      </c>
      <c r="G20" s="79"/>
      <c r="H20" s="81" t="s">
        <v>79</v>
      </c>
      <c r="I20" s="79" t="s">
        <v>79</v>
      </c>
      <c r="J20" s="79">
        <v>100.0</v>
      </c>
      <c r="K20" s="79">
        <v>250.0</v>
      </c>
      <c r="L20" s="79" t="s">
        <v>93</v>
      </c>
      <c r="M20" s="79" t="s">
        <v>98</v>
      </c>
      <c r="N20" s="82">
        <v>100.0</v>
      </c>
      <c r="O20" s="82">
        <v>0.0</v>
      </c>
      <c r="P20" s="82"/>
      <c r="Q20" s="82" t="s">
        <v>45</v>
      </c>
      <c r="R20" s="83">
        <f t="shared" si="5"/>
        <v>100</v>
      </c>
      <c r="S20" s="123"/>
      <c r="T20" s="62"/>
      <c r="U20" s="122"/>
    </row>
    <row r="21" ht="21.75" customHeight="1">
      <c r="A21" s="85">
        <f t="shared" si="1"/>
        <v>17</v>
      </c>
      <c r="B21" s="86">
        <v>46022.0</v>
      </c>
      <c r="C21" s="79">
        <v>4.7628203E7</v>
      </c>
      <c r="D21" s="128" t="s">
        <v>227</v>
      </c>
      <c r="E21" s="79" t="s">
        <v>228</v>
      </c>
      <c r="F21" s="79" t="s">
        <v>226</v>
      </c>
      <c r="G21" s="79"/>
      <c r="H21" s="81" t="s">
        <v>79</v>
      </c>
      <c r="I21" s="79" t="s">
        <v>79</v>
      </c>
      <c r="J21" s="79">
        <v>100.0</v>
      </c>
      <c r="K21" s="79">
        <v>250.0</v>
      </c>
      <c r="L21" s="79" t="s">
        <v>93</v>
      </c>
      <c r="M21" s="79" t="s">
        <v>98</v>
      </c>
      <c r="N21" s="82">
        <v>100.0</v>
      </c>
      <c r="O21" s="82">
        <v>0.0</v>
      </c>
      <c r="P21" s="82"/>
      <c r="Q21" s="82" t="s">
        <v>45</v>
      </c>
      <c r="R21" s="83">
        <f t="shared" si="5"/>
        <v>100</v>
      </c>
      <c r="S21" s="123"/>
      <c r="T21" s="62"/>
      <c r="U21" s="122"/>
    </row>
    <row r="22" ht="21.75" customHeight="1">
      <c r="A22" s="85">
        <f t="shared" si="1"/>
        <v>18</v>
      </c>
      <c r="B22" s="78">
        <v>46024.0</v>
      </c>
      <c r="C22" s="79">
        <v>7.24136E7</v>
      </c>
      <c r="D22" s="80" t="s">
        <v>146</v>
      </c>
      <c r="E22" s="79" t="s">
        <v>147</v>
      </c>
      <c r="F22" s="79"/>
      <c r="G22" s="79" t="s">
        <v>148</v>
      </c>
      <c r="H22" s="81"/>
      <c r="I22" s="79" t="s">
        <v>79</v>
      </c>
      <c r="J22" s="79">
        <v>190.0</v>
      </c>
      <c r="K22" s="79"/>
      <c r="L22" s="79" t="s">
        <v>80</v>
      </c>
      <c r="M22" s="79" t="s">
        <v>98</v>
      </c>
      <c r="N22" s="82">
        <v>190.0</v>
      </c>
      <c r="O22" s="82"/>
      <c r="P22" s="82"/>
      <c r="Q22" s="82" t="s">
        <v>50</v>
      </c>
      <c r="R22" s="83">
        <f t="shared" si="5"/>
        <v>190</v>
      </c>
      <c r="S22" s="121"/>
      <c r="T22" s="62"/>
      <c r="U22" s="122"/>
    </row>
    <row r="23" ht="21.75" customHeight="1">
      <c r="A23" s="85">
        <f t="shared" si="1"/>
        <v>19</v>
      </c>
      <c r="B23" s="88">
        <v>46024.0</v>
      </c>
      <c r="C23" s="79">
        <v>7.1523029E7</v>
      </c>
      <c r="D23" s="80" t="s">
        <v>150</v>
      </c>
      <c r="E23" s="79"/>
      <c r="F23" s="79"/>
      <c r="G23" s="79"/>
      <c r="H23" s="81"/>
      <c r="I23" s="79"/>
      <c r="J23" s="79"/>
      <c r="K23" s="79"/>
      <c r="L23" s="79"/>
      <c r="M23" s="79"/>
      <c r="N23" s="82"/>
      <c r="O23" s="82"/>
      <c r="P23" s="82"/>
      <c r="Q23" s="82"/>
      <c r="R23" s="83">
        <f t="shared" si="5"/>
        <v>0</v>
      </c>
      <c r="S23" s="121"/>
      <c r="T23" s="62"/>
      <c r="U23" s="122"/>
    </row>
    <row r="24" ht="21.75" customHeight="1">
      <c r="A24" s="85">
        <f t="shared" si="1"/>
        <v>20</v>
      </c>
      <c r="B24" s="94">
        <v>46024.0</v>
      </c>
      <c r="C24" s="79">
        <v>4.069785E7</v>
      </c>
      <c r="D24" s="80" t="s">
        <v>151</v>
      </c>
      <c r="E24" s="79" t="s">
        <v>152</v>
      </c>
      <c r="F24" s="79" t="s">
        <v>153</v>
      </c>
      <c r="G24" s="79" t="s">
        <v>154</v>
      </c>
      <c r="H24" s="81"/>
      <c r="I24" s="79" t="s">
        <v>79</v>
      </c>
      <c r="J24" s="79">
        <v>190.0</v>
      </c>
      <c r="K24" s="79"/>
      <c r="L24" s="79" t="s">
        <v>80</v>
      </c>
      <c r="M24" s="79" t="s">
        <v>81</v>
      </c>
      <c r="N24" s="82">
        <v>190.0</v>
      </c>
      <c r="O24" s="82"/>
      <c r="P24" s="82"/>
      <c r="Q24" s="82" t="s">
        <v>48</v>
      </c>
      <c r="R24" s="83">
        <f t="shared" si="5"/>
        <v>190</v>
      </c>
      <c r="S24" s="121"/>
      <c r="T24" s="62"/>
      <c r="U24" s="122"/>
    </row>
    <row r="25" ht="21.75" customHeight="1">
      <c r="A25" s="85">
        <f t="shared" si="1"/>
        <v>21</v>
      </c>
      <c r="B25" s="78">
        <v>46024.0</v>
      </c>
      <c r="C25" s="92" t="s">
        <v>155</v>
      </c>
      <c r="D25" s="80" t="s">
        <v>156</v>
      </c>
      <c r="E25" s="79" t="s">
        <v>157</v>
      </c>
      <c r="F25" s="79" t="s">
        <v>158</v>
      </c>
      <c r="G25" s="79" t="s">
        <v>159</v>
      </c>
      <c r="H25" s="81"/>
      <c r="I25" s="79" t="s">
        <v>79</v>
      </c>
      <c r="J25" s="79">
        <v>175.0</v>
      </c>
      <c r="K25" s="79"/>
      <c r="L25" s="79" t="s">
        <v>80</v>
      </c>
      <c r="M25" s="79" t="s">
        <v>98</v>
      </c>
      <c r="N25" s="82">
        <v>175.0</v>
      </c>
      <c r="O25" s="82"/>
      <c r="P25" s="82"/>
      <c r="Q25" s="82" t="s">
        <v>50</v>
      </c>
      <c r="R25" s="83">
        <f t="shared" si="5"/>
        <v>175</v>
      </c>
      <c r="S25" s="84"/>
      <c r="T25" s="62"/>
      <c r="U25" s="122"/>
    </row>
    <row r="26" ht="21.75" customHeight="1">
      <c r="A26" s="85">
        <f t="shared" si="1"/>
        <v>22</v>
      </c>
      <c r="B26" s="78">
        <v>46024.0</v>
      </c>
      <c r="C26" s="79"/>
      <c r="D26" s="80" t="s">
        <v>160</v>
      </c>
      <c r="E26" s="79"/>
      <c r="F26" s="79" t="s">
        <v>158</v>
      </c>
      <c r="G26" s="79"/>
      <c r="H26" s="81"/>
      <c r="I26" s="79" t="s">
        <v>79</v>
      </c>
      <c r="J26" s="79">
        <v>100.0</v>
      </c>
      <c r="K26" s="79"/>
      <c r="L26" s="79" t="s">
        <v>80</v>
      </c>
      <c r="M26" s="79" t="s">
        <v>98</v>
      </c>
      <c r="N26" s="82">
        <v>100.0</v>
      </c>
      <c r="O26" s="82"/>
      <c r="P26" s="82"/>
      <c r="Q26" s="82" t="s">
        <v>50</v>
      </c>
      <c r="R26" s="83">
        <f t="shared" si="5"/>
        <v>100</v>
      </c>
      <c r="S26" s="84" t="s">
        <v>161</v>
      </c>
      <c r="T26" s="62"/>
      <c r="U26" s="122"/>
    </row>
    <row r="27" ht="21.75" customHeight="1">
      <c r="A27" s="85">
        <f t="shared" si="1"/>
        <v>23</v>
      </c>
      <c r="B27" s="88">
        <v>46024.0</v>
      </c>
      <c r="C27" s="79">
        <v>4.2048172E7</v>
      </c>
      <c r="D27" s="80" t="s">
        <v>162</v>
      </c>
      <c r="E27" s="79" t="s">
        <v>163</v>
      </c>
      <c r="F27" s="79"/>
      <c r="G27" s="79"/>
      <c r="H27" s="81"/>
      <c r="I27" s="79" t="s">
        <v>104</v>
      </c>
      <c r="J27" s="79">
        <v>180.0</v>
      </c>
      <c r="K27" s="79"/>
      <c r="L27" s="79" t="s">
        <v>80</v>
      </c>
      <c r="M27" s="79" t="s">
        <v>164</v>
      </c>
      <c r="N27" s="82">
        <v>180.0</v>
      </c>
      <c r="O27" s="82"/>
      <c r="P27" s="82"/>
      <c r="Q27" s="82" t="s">
        <v>47</v>
      </c>
      <c r="R27" s="83">
        <f t="shared" si="5"/>
        <v>180</v>
      </c>
      <c r="S27" s="121"/>
      <c r="T27" s="62"/>
      <c r="U27" s="122"/>
    </row>
    <row r="28" ht="21.75" customHeight="1">
      <c r="A28" s="85">
        <f t="shared" si="1"/>
        <v>24</v>
      </c>
      <c r="B28" s="129">
        <v>46024.0</v>
      </c>
      <c r="C28" s="92" t="s">
        <v>229</v>
      </c>
      <c r="D28" s="80" t="s">
        <v>230</v>
      </c>
      <c r="E28" s="79" t="s">
        <v>231</v>
      </c>
      <c r="F28" s="79" t="s">
        <v>232</v>
      </c>
      <c r="G28" s="79" t="s">
        <v>233</v>
      </c>
      <c r="H28" s="81" t="s">
        <v>79</v>
      </c>
      <c r="I28" s="79"/>
      <c r="J28" s="79">
        <v>100.0</v>
      </c>
      <c r="K28" s="79">
        <v>100.0</v>
      </c>
      <c r="L28" s="79" t="s">
        <v>93</v>
      </c>
      <c r="M28" s="79" t="s">
        <v>81</v>
      </c>
      <c r="N28" s="82">
        <v>100.0</v>
      </c>
      <c r="O28" s="82">
        <v>100.0</v>
      </c>
      <c r="P28" s="82"/>
      <c r="Q28" s="82" t="s">
        <v>49</v>
      </c>
      <c r="R28" s="83">
        <f>N28+O28</f>
        <v>200</v>
      </c>
      <c r="S28" s="121"/>
      <c r="T28" s="62"/>
      <c r="U28" s="122"/>
    </row>
    <row r="29" ht="21.75" customHeight="1">
      <c r="A29" s="85">
        <f t="shared" si="1"/>
        <v>25</v>
      </c>
      <c r="B29" s="78">
        <v>46025.0</v>
      </c>
      <c r="C29" s="79">
        <v>4.5479473E7</v>
      </c>
      <c r="D29" s="80" t="s">
        <v>234</v>
      </c>
      <c r="E29" s="79" t="s">
        <v>235</v>
      </c>
      <c r="F29" s="79" t="s">
        <v>236</v>
      </c>
      <c r="G29" s="79" t="s">
        <v>237</v>
      </c>
      <c r="H29" s="81" t="s">
        <v>79</v>
      </c>
      <c r="I29" s="79" t="s">
        <v>79</v>
      </c>
      <c r="J29" s="79">
        <v>380.0</v>
      </c>
      <c r="K29" s="79"/>
      <c r="L29" s="79" t="s">
        <v>80</v>
      </c>
      <c r="M29" s="79" t="s">
        <v>143</v>
      </c>
      <c r="N29" s="82">
        <v>363.16</v>
      </c>
      <c r="O29" s="82"/>
      <c r="P29" s="82"/>
      <c r="Q29" s="82" t="s">
        <v>50</v>
      </c>
      <c r="R29" s="83">
        <f>N29+P29</f>
        <v>363.16</v>
      </c>
      <c r="S29" s="121"/>
      <c r="T29" s="62"/>
      <c r="U29" s="122"/>
    </row>
    <row r="30" ht="21.75" customHeight="1">
      <c r="A30" s="85">
        <f t="shared" si="1"/>
        <v>26</v>
      </c>
      <c r="B30" s="78">
        <v>46025.0</v>
      </c>
      <c r="C30" s="79" t="s">
        <v>238</v>
      </c>
      <c r="D30" s="80" t="s">
        <v>239</v>
      </c>
      <c r="E30" s="79" t="s">
        <v>240</v>
      </c>
      <c r="F30" s="79" t="s">
        <v>121</v>
      </c>
      <c r="G30" s="79" t="s">
        <v>241</v>
      </c>
      <c r="H30" s="81" t="s">
        <v>79</v>
      </c>
      <c r="I30" s="79"/>
      <c r="J30" s="79">
        <v>175.0</v>
      </c>
      <c r="K30" s="79">
        <v>175.0</v>
      </c>
      <c r="L30" s="79" t="s">
        <v>93</v>
      </c>
      <c r="M30" s="79" t="s">
        <v>143</v>
      </c>
      <c r="N30" s="82">
        <v>167.2</v>
      </c>
      <c r="O30" s="82">
        <v>167.2</v>
      </c>
      <c r="P30" s="82"/>
      <c r="Q30" s="82" t="s">
        <v>50</v>
      </c>
      <c r="R30" s="83">
        <f t="shared" ref="R30:R31" si="6">N30+O30</f>
        <v>334.4</v>
      </c>
      <c r="S30" s="121"/>
      <c r="T30" s="62"/>
      <c r="U30" s="122"/>
    </row>
    <row r="31" ht="21.75" customHeight="1">
      <c r="A31" s="85">
        <f t="shared" si="1"/>
        <v>27</v>
      </c>
      <c r="B31" s="78">
        <v>46025.0</v>
      </c>
      <c r="C31" s="79">
        <v>4.5786136E7</v>
      </c>
      <c r="D31" s="80" t="s">
        <v>242</v>
      </c>
      <c r="E31" s="79" t="s">
        <v>240</v>
      </c>
      <c r="F31" s="79" t="s">
        <v>121</v>
      </c>
      <c r="G31" s="79" t="s">
        <v>241</v>
      </c>
      <c r="H31" s="81" t="s">
        <v>79</v>
      </c>
      <c r="I31" s="79"/>
      <c r="J31" s="79">
        <v>175.0</v>
      </c>
      <c r="K31" s="79">
        <v>175.0</v>
      </c>
      <c r="L31" s="79" t="s">
        <v>93</v>
      </c>
      <c r="M31" s="79" t="s">
        <v>143</v>
      </c>
      <c r="N31" s="82">
        <v>167.2</v>
      </c>
      <c r="O31" s="82">
        <v>167.2</v>
      </c>
      <c r="P31" s="82"/>
      <c r="Q31" s="82" t="s">
        <v>50</v>
      </c>
      <c r="R31" s="83">
        <f t="shared" si="6"/>
        <v>334.4</v>
      </c>
      <c r="S31" s="84"/>
      <c r="T31" s="62"/>
      <c r="U31" s="122"/>
    </row>
    <row r="32" ht="21.75" customHeight="1">
      <c r="A32" s="85">
        <f t="shared" si="1"/>
        <v>28</v>
      </c>
      <c r="B32" s="88">
        <v>46025.0</v>
      </c>
      <c r="C32" s="79">
        <v>4.5592753E7</v>
      </c>
      <c r="D32" s="80" t="s">
        <v>243</v>
      </c>
      <c r="E32" s="79" t="s">
        <v>244</v>
      </c>
      <c r="F32" s="79"/>
      <c r="G32" s="79"/>
      <c r="H32" s="81"/>
      <c r="I32" s="79" t="s">
        <v>104</v>
      </c>
      <c r="J32" s="79">
        <v>220.0</v>
      </c>
      <c r="K32" s="79"/>
      <c r="L32" s="79" t="s">
        <v>80</v>
      </c>
      <c r="M32" s="79" t="s">
        <v>81</v>
      </c>
      <c r="N32" s="82">
        <v>220.0</v>
      </c>
      <c r="O32" s="82"/>
      <c r="P32" s="82"/>
      <c r="Q32" s="82" t="s">
        <v>47</v>
      </c>
      <c r="R32" s="83">
        <f t="shared" ref="R32:R35" si="7">N32+P32</f>
        <v>220</v>
      </c>
      <c r="S32" s="84"/>
      <c r="T32" s="62"/>
      <c r="U32" s="122"/>
    </row>
    <row r="33" ht="21.75" customHeight="1">
      <c r="A33" s="85">
        <f t="shared" si="1"/>
        <v>29</v>
      </c>
      <c r="B33" s="88">
        <v>46027.0</v>
      </c>
      <c r="C33" s="79">
        <v>4.4784709E7</v>
      </c>
      <c r="D33" s="80" t="s">
        <v>245</v>
      </c>
      <c r="E33" s="79"/>
      <c r="F33" s="79" t="s">
        <v>246</v>
      </c>
      <c r="G33" s="79"/>
      <c r="H33" s="81" t="s">
        <v>104</v>
      </c>
      <c r="I33" s="79"/>
      <c r="J33" s="79">
        <v>200.0</v>
      </c>
      <c r="K33" s="79"/>
      <c r="L33" s="79" t="s">
        <v>80</v>
      </c>
      <c r="M33" s="79" t="s">
        <v>81</v>
      </c>
      <c r="N33" s="82">
        <v>200.0</v>
      </c>
      <c r="O33" s="82"/>
      <c r="P33" s="82"/>
      <c r="Q33" s="82" t="s">
        <v>47</v>
      </c>
      <c r="R33" s="83">
        <f t="shared" si="7"/>
        <v>200</v>
      </c>
      <c r="S33" s="121"/>
      <c r="T33" s="62"/>
      <c r="U33" s="122"/>
    </row>
    <row r="34" ht="21.75" customHeight="1">
      <c r="A34" s="85">
        <f t="shared" si="1"/>
        <v>30</v>
      </c>
      <c r="B34" s="88">
        <v>46027.0</v>
      </c>
      <c r="C34" s="79"/>
      <c r="D34" s="80" t="s">
        <v>247</v>
      </c>
      <c r="E34" s="130" t="s">
        <v>248</v>
      </c>
      <c r="F34" s="79"/>
      <c r="G34" s="79"/>
      <c r="H34" s="81"/>
      <c r="I34" s="79" t="s">
        <v>104</v>
      </c>
      <c r="J34" s="79">
        <v>190.0</v>
      </c>
      <c r="K34" s="79"/>
      <c r="L34" s="79" t="s">
        <v>80</v>
      </c>
      <c r="M34" s="79" t="s">
        <v>81</v>
      </c>
      <c r="N34" s="82">
        <v>190.0</v>
      </c>
      <c r="O34" s="82"/>
      <c r="P34" s="82"/>
      <c r="Q34" s="82" t="s">
        <v>47</v>
      </c>
      <c r="R34" s="83">
        <f t="shared" si="7"/>
        <v>190</v>
      </c>
      <c r="S34" s="121"/>
      <c r="T34" s="62"/>
      <c r="U34" s="122"/>
    </row>
    <row r="35" ht="21.75" customHeight="1">
      <c r="A35" s="85">
        <f t="shared" si="1"/>
        <v>31</v>
      </c>
      <c r="B35" s="88">
        <v>46027.0</v>
      </c>
      <c r="C35" s="79"/>
      <c r="D35" s="80" t="s">
        <v>249</v>
      </c>
      <c r="E35" s="130" t="s">
        <v>248</v>
      </c>
      <c r="F35" s="79"/>
      <c r="G35" s="79"/>
      <c r="H35" s="81"/>
      <c r="I35" s="79" t="s">
        <v>104</v>
      </c>
      <c r="J35" s="79">
        <v>190.0</v>
      </c>
      <c r="K35" s="79"/>
      <c r="L35" s="79" t="s">
        <v>80</v>
      </c>
      <c r="M35" s="79" t="s">
        <v>81</v>
      </c>
      <c r="N35" s="82">
        <v>190.0</v>
      </c>
      <c r="O35" s="82"/>
      <c r="P35" s="82"/>
      <c r="Q35" s="82" t="s">
        <v>47</v>
      </c>
      <c r="R35" s="83">
        <f t="shared" si="7"/>
        <v>190</v>
      </c>
      <c r="S35" s="121"/>
      <c r="T35" s="62"/>
      <c r="U35" s="122"/>
    </row>
    <row r="36" ht="21.75" customHeight="1">
      <c r="A36" s="85">
        <f t="shared" si="1"/>
        <v>32</v>
      </c>
      <c r="B36" s="88">
        <v>46027.0</v>
      </c>
      <c r="C36" s="79"/>
      <c r="D36" s="80" t="s">
        <v>250</v>
      </c>
      <c r="E36" s="79" t="s">
        <v>251</v>
      </c>
      <c r="F36" s="79" t="s">
        <v>252</v>
      </c>
      <c r="G36" s="79"/>
      <c r="H36" s="81"/>
      <c r="I36" s="79" t="s">
        <v>104</v>
      </c>
      <c r="J36" s="79">
        <v>95.0</v>
      </c>
      <c r="K36" s="79">
        <v>95.0</v>
      </c>
      <c r="L36" s="79" t="s">
        <v>93</v>
      </c>
      <c r="M36" s="79" t="s">
        <v>81</v>
      </c>
      <c r="N36" s="82">
        <v>95.0</v>
      </c>
      <c r="O36" s="82">
        <v>95.0</v>
      </c>
      <c r="P36" s="82"/>
      <c r="Q36" s="82" t="s">
        <v>47</v>
      </c>
      <c r="R36" s="83">
        <f t="shared" ref="R36:R37" si="8">N36+O36</f>
        <v>190</v>
      </c>
      <c r="S36" s="121"/>
      <c r="T36" s="62"/>
      <c r="U36" s="122"/>
    </row>
    <row r="37" ht="21.75" customHeight="1">
      <c r="A37" s="85">
        <f t="shared" si="1"/>
        <v>33</v>
      </c>
      <c r="B37" s="88">
        <v>46027.0</v>
      </c>
      <c r="C37" s="79"/>
      <c r="D37" s="80" t="s">
        <v>253</v>
      </c>
      <c r="E37" s="79" t="s">
        <v>251</v>
      </c>
      <c r="F37" s="79" t="s">
        <v>252</v>
      </c>
      <c r="G37" s="79"/>
      <c r="H37" s="81"/>
      <c r="I37" s="79" t="s">
        <v>104</v>
      </c>
      <c r="J37" s="79">
        <v>95.0</v>
      </c>
      <c r="K37" s="79">
        <v>95.0</v>
      </c>
      <c r="L37" s="79" t="s">
        <v>93</v>
      </c>
      <c r="M37" s="79" t="s">
        <v>81</v>
      </c>
      <c r="N37" s="82">
        <v>95.0</v>
      </c>
      <c r="O37" s="82">
        <v>95.0</v>
      </c>
      <c r="P37" s="82"/>
      <c r="Q37" s="82" t="s">
        <v>47</v>
      </c>
      <c r="R37" s="83">
        <f t="shared" si="8"/>
        <v>190</v>
      </c>
      <c r="S37" s="121"/>
      <c r="T37" s="62"/>
      <c r="U37" s="122"/>
    </row>
    <row r="38" ht="21.75" customHeight="1">
      <c r="A38" s="85">
        <f t="shared" si="1"/>
        <v>34</v>
      </c>
      <c r="B38" s="78">
        <v>46026.0</v>
      </c>
      <c r="C38" s="79">
        <v>4.157729E7</v>
      </c>
      <c r="D38" s="80" t="s">
        <v>254</v>
      </c>
      <c r="E38" s="79" t="s">
        <v>255</v>
      </c>
      <c r="F38" s="79" t="s">
        <v>256</v>
      </c>
      <c r="G38" s="79" t="s">
        <v>257</v>
      </c>
      <c r="H38" s="81" t="s">
        <v>79</v>
      </c>
      <c r="I38" s="79" t="s">
        <v>79</v>
      </c>
      <c r="J38" s="79">
        <v>380.0</v>
      </c>
      <c r="K38" s="79"/>
      <c r="L38" s="79" t="s">
        <v>80</v>
      </c>
      <c r="M38" s="79" t="s">
        <v>98</v>
      </c>
      <c r="N38" s="82">
        <v>380.0</v>
      </c>
      <c r="O38" s="82"/>
      <c r="P38" s="82"/>
      <c r="Q38" s="82" t="s">
        <v>50</v>
      </c>
      <c r="R38" s="83">
        <f t="shared" ref="R38:R39" si="9">N38+P38</f>
        <v>380</v>
      </c>
      <c r="S38" s="121"/>
      <c r="T38" s="62"/>
      <c r="U38" s="122"/>
    </row>
    <row r="39" ht="21.75" customHeight="1">
      <c r="A39" s="85">
        <f t="shared" si="1"/>
        <v>35</v>
      </c>
      <c r="B39" s="78">
        <v>46027.0</v>
      </c>
      <c r="C39" s="92" t="s">
        <v>258</v>
      </c>
      <c r="D39" s="80" t="s">
        <v>259</v>
      </c>
      <c r="E39" s="79" t="s">
        <v>260</v>
      </c>
      <c r="F39" s="79" t="s">
        <v>121</v>
      </c>
      <c r="G39" s="79" t="s">
        <v>261</v>
      </c>
      <c r="H39" s="81" t="s">
        <v>79</v>
      </c>
      <c r="I39" s="79" t="s">
        <v>79</v>
      </c>
      <c r="J39" s="79">
        <v>380.0</v>
      </c>
      <c r="K39" s="79"/>
      <c r="L39" s="79" t="s">
        <v>80</v>
      </c>
      <c r="M39" s="79" t="s">
        <v>98</v>
      </c>
      <c r="N39" s="82">
        <v>380.0</v>
      </c>
      <c r="O39" s="82"/>
      <c r="P39" s="82"/>
      <c r="Q39" s="82" t="s">
        <v>50</v>
      </c>
      <c r="R39" s="83">
        <f t="shared" si="9"/>
        <v>380</v>
      </c>
      <c r="S39" s="121"/>
      <c r="T39" s="62"/>
      <c r="U39" s="122"/>
    </row>
    <row r="40" ht="21.75" customHeight="1">
      <c r="A40" s="85">
        <f t="shared" si="1"/>
        <v>36</v>
      </c>
      <c r="B40" s="88">
        <v>46027.0</v>
      </c>
      <c r="C40" s="79"/>
      <c r="D40" s="80" t="s">
        <v>262</v>
      </c>
      <c r="E40" s="79" t="s">
        <v>263</v>
      </c>
      <c r="F40" s="79"/>
      <c r="G40" s="79"/>
      <c r="H40" s="81" t="s">
        <v>104</v>
      </c>
      <c r="I40" s="79" t="s">
        <v>104</v>
      </c>
      <c r="J40" s="79">
        <v>330.0</v>
      </c>
      <c r="K40" s="79">
        <v>20.0</v>
      </c>
      <c r="L40" s="79" t="s">
        <v>93</v>
      </c>
      <c r="M40" s="79" t="s">
        <v>164</v>
      </c>
      <c r="N40" s="82">
        <v>330.0</v>
      </c>
      <c r="O40" s="82">
        <v>20.0</v>
      </c>
      <c r="P40" s="82"/>
      <c r="Q40" s="82" t="s">
        <v>47</v>
      </c>
      <c r="R40" s="83">
        <f t="shared" ref="R40:R43" si="10">N40+O40</f>
        <v>350</v>
      </c>
      <c r="S40" s="121"/>
      <c r="T40" s="62"/>
      <c r="U40" s="122"/>
    </row>
    <row r="41" ht="21.75" customHeight="1">
      <c r="A41" s="85">
        <f t="shared" si="1"/>
        <v>37</v>
      </c>
      <c r="B41" s="88">
        <v>46027.0</v>
      </c>
      <c r="C41" s="79"/>
      <c r="D41" s="80" t="s">
        <v>264</v>
      </c>
      <c r="E41" s="79" t="s">
        <v>263</v>
      </c>
      <c r="F41" s="79"/>
      <c r="G41" s="79"/>
      <c r="H41" s="81" t="s">
        <v>104</v>
      </c>
      <c r="I41" s="79" t="s">
        <v>104</v>
      </c>
      <c r="J41" s="79">
        <v>330.0</v>
      </c>
      <c r="K41" s="79">
        <v>20.0</v>
      </c>
      <c r="L41" s="79" t="s">
        <v>93</v>
      </c>
      <c r="M41" s="79" t="s">
        <v>164</v>
      </c>
      <c r="N41" s="82">
        <v>330.0</v>
      </c>
      <c r="O41" s="82">
        <v>20.0</v>
      </c>
      <c r="P41" s="82"/>
      <c r="Q41" s="82" t="s">
        <v>47</v>
      </c>
      <c r="R41" s="83">
        <f t="shared" si="10"/>
        <v>350</v>
      </c>
      <c r="S41" s="121"/>
      <c r="T41" s="62"/>
      <c r="U41" s="122"/>
    </row>
    <row r="42" ht="21.75" customHeight="1">
      <c r="A42" s="85">
        <f t="shared" si="1"/>
        <v>38</v>
      </c>
      <c r="B42" s="88">
        <v>46028.0</v>
      </c>
      <c r="C42" s="79">
        <v>4.6641938E7</v>
      </c>
      <c r="D42" s="80" t="s">
        <v>265</v>
      </c>
      <c r="E42" s="79"/>
      <c r="F42" s="79"/>
      <c r="G42" s="79"/>
      <c r="H42" s="81"/>
      <c r="I42" s="79" t="s">
        <v>104</v>
      </c>
      <c r="J42" s="79">
        <v>95.0</v>
      </c>
      <c r="K42" s="79">
        <v>95.0</v>
      </c>
      <c r="L42" s="79" t="s">
        <v>93</v>
      </c>
      <c r="M42" s="79" t="s">
        <v>81</v>
      </c>
      <c r="N42" s="82">
        <v>95.0</v>
      </c>
      <c r="O42" s="82">
        <v>95.0</v>
      </c>
      <c r="P42" s="82"/>
      <c r="Q42" s="82" t="s">
        <v>47</v>
      </c>
      <c r="R42" s="83">
        <f t="shared" si="10"/>
        <v>190</v>
      </c>
      <c r="S42" s="121"/>
      <c r="T42" s="62"/>
      <c r="U42" s="122"/>
    </row>
    <row r="43" ht="21.75" customHeight="1">
      <c r="A43" s="85">
        <f t="shared" si="1"/>
        <v>39</v>
      </c>
      <c r="B43" s="88">
        <v>46028.0</v>
      </c>
      <c r="C43" s="79">
        <v>7.108981E7</v>
      </c>
      <c r="D43" s="80" t="s">
        <v>266</v>
      </c>
      <c r="E43" s="79"/>
      <c r="F43" s="79"/>
      <c r="G43" s="79"/>
      <c r="H43" s="81"/>
      <c r="I43" s="79" t="s">
        <v>104</v>
      </c>
      <c r="J43" s="79">
        <v>95.0</v>
      </c>
      <c r="K43" s="79">
        <v>95.0</v>
      </c>
      <c r="L43" s="79" t="s">
        <v>93</v>
      </c>
      <c r="M43" s="79" t="s">
        <v>81</v>
      </c>
      <c r="N43" s="82">
        <v>95.0</v>
      </c>
      <c r="O43" s="82">
        <v>95.0</v>
      </c>
      <c r="P43" s="82"/>
      <c r="Q43" s="82" t="s">
        <v>47</v>
      </c>
      <c r="R43" s="83">
        <f t="shared" si="10"/>
        <v>190</v>
      </c>
      <c r="S43" s="121"/>
      <c r="T43" s="62"/>
      <c r="U43" s="122"/>
    </row>
    <row r="44" ht="21.75" customHeight="1">
      <c r="A44" s="85">
        <f t="shared" si="1"/>
        <v>40</v>
      </c>
      <c r="B44" s="94">
        <v>46029.0</v>
      </c>
      <c r="C44" s="79">
        <v>4.0262423E7</v>
      </c>
      <c r="D44" s="80" t="s">
        <v>267</v>
      </c>
      <c r="E44" s="79" t="s">
        <v>268</v>
      </c>
      <c r="F44" s="79" t="s">
        <v>269</v>
      </c>
      <c r="G44" s="79" t="s">
        <v>270</v>
      </c>
      <c r="H44" s="81" t="s">
        <v>104</v>
      </c>
      <c r="I44" s="79" t="s">
        <v>104</v>
      </c>
      <c r="J44" s="79">
        <v>380.0</v>
      </c>
      <c r="K44" s="79"/>
      <c r="L44" s="79" t="s">
        <v>80</v>
      </c>
      <c r="M44" s="79" t="s">
        <v>81</v>
      </c>
      <c r="N44" s="82">
        <v>380.0</v>
      </c>
      <c r="O44" s="82"/>
      <c r="P44" s="82"/>
      <c r="Q44" s="82" t="s">
        <v>48</v>
      </c>
      <c r="R44" s="83">
        <f>N44+P44</f>
        <v>380</v>
      </c>
      <c r="S44" s="121"/>
      <c r="T44" s="62"/>
      <c r="U44" s="122"/>
    </row>
    <row r="45" ht="21.75" customHeight="1">
      <c r="A45" s="85">
        <f t="shared" si="1"/>
        <v>41</v>
      </c>
      <c r="B45" s="78">
        <v>46029.0</v>
      </c>
      <c r="C45" s="79">
        <v>1.0602143E7</v>
      </c>
      <c r="D45" s="80" t="s">
        <v>271</v>
      </c>
      <c r="E45" s="79"/>
      <c r="F45" s="79" t="s">
        <v>272</v>
      </c>
      <c r="G45" s="79" t="s">
        <v>273</v>
      </c>
      <c r="H45" s="81" t="s">
        <v>79</v>
      </c>
      <c r="I45" s="79"/>
      <c r="J45" s="79">
        <v>100.0</v>
      </c>
      <c r="K45" s="79">
        <v>100.0</v>
      </c>
      <c r="L45" s="79" t="s">
        <v>93</v>
      </c>
      <c r="M45" s="79" t="s">
        <v>81</v>
      </c>
      <c r="N45" s="82">
        <v>100.0</v>
      </c>
      <c r="O45" s="82">
        <v>100.0</v>
      </c>
      <c r="P45" s="82"/>
      <c r="Q45" s="82" t="s">
        <v>50</v>
      </c>
      <c r="R45" s="83">
        <f>N45+O45</f>
        <v>200</v>
      </c>
      <c r="S45" s="121"/>
      <c r="T45" s="62"/>
      <c r="U45" s="122"/>
    </row>
    <row r="46" ht="21.75" customHeight="1">
      <c r="A46" s="85">
        <f t="shared" si="1"/>
        <v>42</v>
      </c>
      <c r="B46" s="78">
        <v>46029.0</v>
      </c>
      <c r="C46" s="92" t="s">
        <v>274</v>
      </c>
      <c r="D46" s="80" t="s">
        <v>275</v>
      </c>
      <c r="E46" s="79" t="s">
        <v>276</v>
      </c>
      <c r="F46" s="79" t="s">
        <v>158</v>
      </c>
      <c r="G46" s="79" t="s">
        <v>277</v>
      </c>
      <c r="H46" s="81" t="s">
        <v>79</v>
      </c>
      <c r="I46" s="79" t="s">
        <v>79</v>
      </c>
      <c r="J46" s="79">
        <v>380.0</v>
      </c>
      <c r="K46" s="79"/>
      <c r="L46" s="79" t="s">
        <v>80</v>
      </c>
      <c r="M46" s="79" t="s">
        <v>278</v>
      </c>
      <c r="N46" s="82">
        <v>380.0</v>
      </c>
      <c r="O46" s="82"/>
      <c r="P46" s="82"/>
      <c r="Q46" s="82" t="s">
        <v>50</v>
      </c>
      <c r="R46" s="83">
        <f t="shared" ref="R46:R47" si="11">N46+P46</f>
        <v>380</v>
      </c>
      <c r="S46" s="84" t="s">
        <v>279</v>
      </c>
      <c r="T46" s="62"/>
      <c r="U46" s="122"/>
    </row>
    <row r="47" ht="21.75" customHeight="1">
      <c r="A47" s="85">
        <f t="shared" si="1"/>
        <v>43</v>
      </c>
      <c r="B47" s="88">
        <v>46029.0</v>
      </c>
      <c r="C47" s="79">
        <v>7.4034992E7</v>
      </c>
      <c r="D47" s="80" t="s">
        <v>280</v>
      </c>
      <c r="E47" s="79"/>
      <c r="F47" s="79"/>
      <c r="G47" s="79"/>
      <c r="H47" s="81" t="s">
        <v>104</v>
      </c>
      <c r="I47" s="79"/>
      <c r="J47" s="79">
        <v>220.0</v>
      </c>
      <c r="K47" s="79"/>
      <c r="L47" s="79" t="s">
        <v>80</v>
      </c>
      <c r="M47" s="79" t="s">
        <v>81</v>
      </c>
      <c r="N47" s="82">
        <v>220.0</v>
      </c>
      <c r="O47" s="82"/>
      <c r="P47" s="82"/>
      <c r="Q47" s="82" t="s">
        <v>47</v>
      </c>
      <c r="R47" s="83">
        <f t="shared" si="11"/>
        <v>220</v>
      </c>
      <c r="S47" s="121"/>
      <c r="T47" s="62"/>
      <c r="U47" s="122"/>
    </row>
    <row r="48" ht="21.75" customHeight="1">
      <c r="A48" s="85">
        <f t="shared" si="1"/>
        <v>44</v>
      </c>
      <c r="B48" s="78">
        <v>46029.0</v>
      </c>
      <c r="C48" s="79">
        <v>4.337383E7</v>
      </c>
      <c r="D48" s="80" t="s">
        <v>281</v>
      </c>
      <c r="E48" s="79" t="s">
        <v>282</v>
      </c>
      <c r="F48" s="79" t="s">
        <v>283</v>
      </c>
      <c r="G48" s="79" t="s">
        <v>284</v>
      </c>
      <c r="H48" s="81" t="s">
        <v>79</v>
      </c>
      <c r="I48" s="79"/>
      <c r="J48" s="79">
        <v>100.0</v>
      </c>
      <c r="K48" s="79">
        <v>100.0</v>
      </c>
      <c r="L48" s="79" t="s">
        <v>93</v>
      </c>
      <c r="M48" s="79" t="s">
        <v>81</v>
      </c>
      <c r="N48" s="82">
        <v>100.0</v>
      </c>
      <c r="O48" s="82">
        <v>100.0</v>
      </c>
      <c r="P48" s="82"/>
      <c r="Q48" s="82" t="s">
        <v>50</v>
      </c>
      <c r="R48" s="83">
        <f t="shared" ref="R48:R54" si="12">N48+O48</f>
        <v>200</v>
      </c>
      <c r="S48" s="121"/>
      <c r="T48" s="62"/>
      <c r="U48" s="122"/>
    </row>
    <row r="49" ht="21.75" customHeight="1">
      <c r="A49" s="85">
        <f t="shared" si="1"/>
        <v>45</v>
      </c>
      <c r="B49" s="86">
        <v>46027.0</v>
      </c>
      <c r="C49" s="79">
        <v>4.4049748E7</v>
      </c>
      <c r="D49" s="80" t="s">
        <v>285</v>
      </c>
      <c r="E49" s="79" t="s">
        <v>286</v>
      </c>
      <c r="F49" s="79" t="s">
        <v>121</v>
      </c>
      <c r="G49" s="79">
        <v>9.26648844E8</v>
      </c>
      <c r="H49" s="81" t="s">
        <v>79</v>
      </c>
      <c r="I49" s="79"/>
      <c r="J49" s="79">
        <v>95.0</v>
      </c>
      <c r="K49" s="79">
        <v>95.0</v>
      </c>
      <c r="L49" s="79" t="s">
        <v>93</v>
      </c>
      <c r="M49" s="79" t="s">
        <v>81</v>
      </c>
      <c r="N49" s="82">
        <v>95.0</v>
      </c>
      <c r="O49" s="82">
        <v>95.0</v>
      </c>
      <c r="P49" s="82"/>
      <c r="Q49" s="82" t="s">
        <v>45</v>
      </c>
      <c r="R49" s="83">
        <f t="shared" si="12"/>
        <v>190</v>
      </c>
      <c r="S49" s="121"/>
      <c r="T49" s="62"/>
      <c r="U49" s="122"/>
    </row>
    <row r="50" ht="21.75" customHeight="1">
      <c r="A50" s="85">
        <f t="shared" si="1"/>
        <v>46</v>
      </c>
      <c r="B50" s="86">
        <v>46027.0</v>
      </c>
      <c r="C50" s="79">
        <v>4.3855684E7</v>
      </c>
      <c r="D50" s="80" t="s">
        <v>287</v>
      </c>
      <c r="E50" s="79"/>
      <c r="F50" s="79" t="s">
        <v>121</v>
      </c>
      <c r="G50" s="79"/>
      <c r="H50" s="81" t="s">
        <v>79</v>
      </c>
      <c r="I50" s="79"/>
      <c r="J50" s="79">
        <v>95.0</v>
      </c>
      <c r="K50" s="79">
        <v>95.0</v>
      </c>
      <c r="L50" s="79" t="s">
        <v>93</v>
      </c>
      <c r="M50" s="79" t="s">
        <v>81</v>
      </c>
      <c r="N50" s="82">
        <v>95.0</v>
      </c>
      <c r="O50" s="82">
        <v>95.0</v>
      </c>
      <c r="P50" s="82"/>
      <c r="Q50" s="82" t="s">
        <v>45</v>
      </c>
      <c r="R50" s="83">
        <f t="shared" si="12"/>
        <v>190</v>
      </c>
      <c r="S50" s="121"/>
      <c r="T50" s="62"/>
      <c r="U50" s="122"/>
    </row>
    <row r="51" ht="21.75" customHeight="1">
      <c r="A51" s="85">
        <f t="shared" si="1"/>
        <v>47</v>
      </c>
      <c r="B51" s="78">
        <v>46029.0</v>
      </c>
      <c r="C51" s="80">
        <v>7.3345092E7</v>
      </c>
      <c r="D51" s="80" t="s">
        <v>288</v>
      </c>
      <c r="E51" s="131" t="s">
        <v>289</v>
      </c>
      <c r="F51" s="79" t="s">
        <v>290</v>
      </c>
      <c r="G51" s="79" t="s">
        <v>291</v>
      </c>
      <c r="H51" s="81"/>
      <c r="I51" s="79" t="s">
        <v>79</v>
      </c>
      <c r="J51" s="79">
        <v>90.0</v>
      </c>
      <c r="K51" s="79">
        <v>90.0</v>
      </c>
      <c r="L51" s="79" t="s">
        <v>93</v>
      </c>
      <c r="M51" s="79" t="s">
        <v>81</v>
      </c>
      <c r="N51" s="82">
        <v>90.0</v>
      </c>
      <c r="O51" s="82">
        <v>90.0</v>
      </c>
      <c r="P51" s="82"/>
      <c r="Q51" s="82" t="s">
        <v>50</v>
      </c>
      <c r="R51" s="83">
        <f t="shared" si="12"/>
        <v>180</v>
      </c>
      <c r="S51" s="121"/>
      <c r="T51" s="62"/>
      <c r="U51" s="122"/>
    </row>
    <row r="52" ht="21.75" customHeight="1">
      <c r="A52" s="85">
        <f t="shared" si="1"/>
        <v>48</v>
      </c>
      <c r="B52" s="78">
        <v>46029.0</v>
      </c>
      <c r="C52" s="80">
        <v>4.4846202E7</v>
      </c>
      <c r="D52" s="80" t="s">
        <v>292</v>
      </c>
      <c r="E52" s="131" t="s">
        <v>293</v>
      </c>
      <c r="F52" s="79" t="s">
        <v>290</v>
      </c>
      <c r="G52" s="79" t="s">
        <v>291</v>
      </c>
      <c r="H52" s="81"/>
      <c r="I52" s="79" t="s">
        <v>79</v>
      </c>
      <c r="J52" s="79">
        <v>90.0</v>
      </c>
      <c r="K52" s="79">
        <v>90.0</v>
      </c>
      <c r="L52" s="79" t="s">
        <v>93</v>
      </c>
      <c r="M52" s="79" t="s">
        <v>81</v>
      </c>
      <c r="N52" s="82">
        <v>90.0</v>
      </c>
      <c r="O52" s="82">
        <v>90.0</v>
      </c>
      <c r="P52" s="82"/>
      <c r="Q52" s="82" t="s">
        <v>50</v>
      </c>
      <c r="R52" s="83">
        <f t="shared" si="12"/>
        <v>180</v>
      </c>
      <c r="S52" s="121"/>
      <c r="T52" s="62"/>
      <c r="U52" s="122"/>
    </row>
    <row r="53" ht="21.75" customHeight="1">
      <c r="A53" s="85">
        <f t="shared" si="1"/>
        <v>49</v>
      </c>
      <c r="B53" s="78">
        <v>46030.0</v>
      </c>
      <c r="C53" s="80">
        <v>4.1411344E7</v>
      </c>
      <c r="D53" s="80" t="s">
        <v>294</v>
      </c>
      <c r="E53" s="131" t="s">
        <v>295</v>
      </c>
      <c r="F53" s="79" t="s">
        <v>296</v>
      </c>
      <c r="G53" s="79" t="s">
        <v>297</v>
      </c>
      <c r="H53" s="81" t="s">
        <v>79</v>
      </c>
      <c r="I53" s="79"/>
      <c r="J53" s="79">
        <v>95.0</v>
      </c>
      <c r="K53" s="79">
        <v>95.0</v>
      </c>
      <c r="L53" s="79" t="s">
        <v>93</v>
      </c>
      <c r="M53" s="79" t="s">
        <v>278</v>
      </c>
      <c r="N53" s="82">
        <v>95.0</v>
      </c>
      <c r="O53" s="82">
        <v>95.0</v>
      </c>
      <c r="P53" s="82"/>
      <c r="Q53" s="82" t="s">
        <v>50</v>
      </c>
      <c r="R53" s="83">
        <f t="shared" si="12"/>
        <v>190</v>
      </c>
      <c r="S53" s="121"/>
      <c r="T53" s="62"/>
      <c r="U53" s="122"/>
    </row>
    <row r="54" ht="21.75" customHeight="1">
      <c r="A54" s="85">
        <f t="shared" si="1"/>
        <v>50</v>
      </c>
      <c r="B54" s="78">
        <v>46030.0</v>
      </c>
      <c r="C54" s="80">
        <v>7.0435293E7</v>
      </c>
      <c r="D54" s="80" t="s">
        <v>298</v>
      </c>
      <c r="E54" s="131" t="s">
        <v>299</v>
      </c>
      <c r="F54" s="79" t="s">
        <v>296</v>
      </c>
      <c r="G54" s="79" t="s">
        <v>297</v>
      </c>
      <c r="H54" s="81" t="s">
        <v>79</v>
      </c>
      <c r="I54" s="79"/>
      <c r="J54" s="79">
        <v>95.0</v>
      </c>
      <c r="K54" s="79">
        <v>95.0</v>
      </c>
      <c r="L54" s="79" t="s">
        <v>93</v>
      </c>
      <c r="M54" s="79" t="s">
        <v>278</v>
      </c>
      <c r="N54" s="82">
        <v>95.0</v>
      </c>
      <c r="O54" s="82">
        <v>95.0</v>
      </c>
      <c r="P54" s="82"/>
      <c r="Q54" s="82" t="s">
        <v>50</v>
      </c>
      <c r="R54" s="83">
        <f t="shared" si="12"/>
        <v>190</v>
      </c>
      <c r="S54" s="121"/>
      <c r="T54" s="62"/>
      <c r="U54" s="122"/>
    </row>
    <row r="55" ht="21.75" customHeight="1">
      <c r="A55" s="85">
        <f t="shared" si="1"/>
        <v>51</v>
      </c>
      <c r="B55" s="88">
        <v>46029.0</v>
      </c>
      <c r="C55" s="79">
        <v>7.4095604E7</v>
      </c>
      <c r="D55" s="80" t="s">
        <v>300</v>
      </c>
      <c r="E55" s="79" t="s">
        <v>301</v>
      </c>
      <c r="F55" s="79"/>
      <c r="G55" s="79"/>
      <c r="H55" s="81"/>
      <c r="I55" s="79" t="s">
        <v>104</v>
      </c>
      <c r="J55" s="79">
        <v>220.0</v>
      </c>
      <c r="K55" s="79"/>
      <c r="L55" s="79" t="s">
        <v>80</v>
      </c>
      <c r="M55" s="79" t="s">
        <v>81</v>
      </c>
      <c r="N55" s="82">
        <v>220.0</v>
      </c>
      <c r="O55" s="82"/>
      <c r="P55" s="82"/>
      <c r="Q55" s="82" t="s">
        <v>47</v>
      </c>
      <c r="R55" s="83">
        <f t="shared" ref="R55:R56" si="13">N55+P55</f>
        <v>220</v>
      </c>
      <c r="S55" s="121"/>
      <c r="T55" s="62"/>
      <c r="U55" s="122"/>
    </row>
    <row r="56" ht="21.75" customHeight="1">
      <c r="A56" s="85">
        <f t="shared" si="1"/>
        <v>52</v>
      </c>
      <c r="B56" s="78">
        <v>46030.0</v>
      </c>
      <c r="C56" s="79"/>
      <c r="D56" s="80" t="s">
        <v>302</v>
      </c>
      <c r="E56" s="91" t="s">
        <v>303</v>
      </c>
      <c r="F56" s="79" t="s">
        <v>218</v>
      </c>
      <c r="G56" s="79" t="s">
        <v>304</v>
      </c>
      <c r="H56" s="81" t="s">
        <v>79</v>
      </c>
      <c r="I56" s="79"/>
      <c r="J56" s="79">
        <v>220.0</v>
      </c>
      <c r="K56" s="79"/>
      <c r="L56" s="79" t="s">
        <v>80</v>
      </c>
      <c r="M56" s="79" t="s">
        <v>81</v>
      </c>
      <c r="N56" s="82">
        <v>220.0</v>
      </c>
      <c r="O56" s="82"/>
      <c r="P56" s="82"/>
      <c r="Q56" s="82" t="s">
        <v>50</v>
      </c>
      <c r="R56" s="83">
        <f t="shared" si="13"/>
        <v>220</v>
      </c>
      <c r="S56" s="121"/>
      <c r="T56" s="62"/>
      <c r="U56" s="122"/>
    </row>
    <row r="57" ht="21.75" customHeight="1">
      <c r="A57" s="85">
        <f t="shared" si="1"/>
        <v>53</v>
      </c>
      <c r="B57" s="78">
        <v>46030.0</v>
      </c>
      <c r="C57" s="79">
        <v>4.3676825E7</v>
      </c>
      <c r="D57" s="80" t="s">
        <v>305</v>
      </c>
      <c r="E57" s="131" t="s">
        <v>306</v>
      </c>
      <c r="F57" s="79" t="s">
        <v>307</v>
      </c>
      <c r="G57" s="79" t="s">
        <v>308</v>
      </c>
      <c r="H57" s="81" t="s">
        <v>79</v>
      </c>
      <c r="I57" s="79"/>
      <c r="J57" s="79">
        <v>50.0</v>
      </c>
      <c r="K57" s="79">
        <v>150.0</v>
      </c>
      <c r="L57" s="79" t="s">
        <v>93</v>
      </c>
      <c r="M57" s="79" t="s">
        <v>81</v>
      </c>
      <c r="N57" s="82">
        <v>50.0</v>
      </c>
      <c r="O57" s="82">
        <v>150.0</v>
      </c>
      <c r="P57" s="82"/>
      <c r="Q57" s="82" t="s">
        <v>50</v>
      </c>
      <c r="R57" s="83">
        <f>N57+O57</f>
        <v>200</v>
      </c>
      <c r="S57" s="121"/>
      <c r="T57" s="62"/>
      <c r="U57" s="122"/>
    </row>
    <row r="58" ht="21.75" customHeight="1">
      <c r="A58" s="85">
        <f t="shared" si="1"/>
        <v>54</v>
      </c>
      <c r="B58" s="88">
        <v>46029.0</v>
      </c>
      <c r="C58" s="79">
        <v>4.860565E7</v>
      </c>
      <c r="D58" s="80" t="s">
        <v>309</v>
      </c>
      <c r="E58" s="79"/>
      <c r="F58" s="79"/>
      <c r="G58" s="79"/>
      <c r="H58" s="81"/>
      <c r="I58" s="79" t="s">
        <v>104</v>
      </c>
      <c r="J58" s="79">
        <v>220.0</v>
      </c>
      <c r="K58" s="79"/>
      <c r="L58" s="79" t="s">
        <v>80</v>
      </c>
      <c r="M58" s="79" t="s">
        <v>81</v>
      </c>
      <c r="N58" s="82">
        <v>220.0</v>
      </c>
      <c r="O58" s="82"/>
      <c r="P58" s="82"/>
      <c r="Q58" s="82" t="s">
        <v>47</v>
      </c>
      <c r="R58" s="83">
        <f t="shared" ref="R58:R59" si="14">N58+P58</f>
        <v>220</v>
      </c>
      <c r="S58" s="121"/>
      <c r="T58" s="62"/>
      <c r="U58" s="122"/>
    </row>
    <row r="59" ht="21.75" customHeight="1">
      <c r="A59" s="85">
        <f t="shared" si="1"/>
        <v>55</v>
      </c>
      <c r="B59" s="132">
        <v>46030.0</v>
      </c>
      <c r="C59" s="79" t="s">
        <v>310</v>
      </c>
      <c r="D59" s="80" t="s">
        <v>311</v>
      </c>
      <c r="E59" s="79"/>
      <c r="F59" s="79" t="s">
        <v>312</v>
      </c>
      <c r="G59" s="79">
        <v>9.99989977E8</v>
      </c>
      <c r="H59" s="81" t="s">
        <v>104</v>
      </c>
      <c r="I59" s="79"/>
      <c r="J59" s="79">
        <v>220.0</v>
      </c>
      <c r="K59" s="79"/>
      <c r="L59" s="79" t="s">
        <v>80</v>
      </c>
      <c r="M59" s="79" t="s">
        <v>81</v>
      </c>
      <c r="N59" s="82">
        <v>220.0</v>
      </c>
      <c r="O59" s="82"/>
      <c r="P59" s="82"/>
      <c r="Q59" s="82" t="s">
        <v>44</v>
      </c>
      <c r="R59" s="83">
        <f t="shared" si="14"/>
        <v>220</v>
      </c>
      <c r="S59" s="121"/>
      <c r="T59" s="62"/>
      <c r="U59" s="122"/>
    </row>
    <row r="60" ht="21.75" customHeight="1">
      <c r="A60" s="85">
        <f t="shared" si="1"/>
        <v>56</v>
      </c>
      <c r="B60" s="87">
        <v>46033.0</v>
      </c>
      <c r="C60" s="79"/>
      <c r="D60" s="80" t="s">
        <v>313</v>
      </c>
      <c r="E60" s="79"/>
      <c r="F60" s="79"/>
      <c r="G60" s="79"/>
      <c r="H60" s="81" t="s">
        <v>79</v>
      </c>
      <c r="I60" s="79"/>
      <c r="J60" s="79">
        <v>180.0</v>
      </c>
      <c r="K60" s="79">
        <v>180.0</v>
      </c>
      <c r="L60" s="79" t="s">
        <v>80</v>
      </c>
      <c r="M60" s="79" t="s">
        <v>81</v>
      </c>
      <c r="N60" s="82">
        <v>180.0</v>
      </c>
      <c r="O60" s="82">
        <v>180.0</v>
      </c>
      <c r="P60" s="82"/>
      <c r="Q60" s="82" t="s">
        <v>46</v>
      </c>
      <c r="R60" s="83">
        <f>N60+O60</f>
        <v>360</v>
      </c>
      <c r="S60" s="121"/>
      <c r="T60" s="62"/>
      <c r="U60" s="122"/>
    </row>
    <row r="61" ht="21.75" customHeight="1">
      <c r="A61" s="85">
        <f t="shared" si="1"/>
        <v>57</v>
      </c>
      <c r="B61" s="87"/>
      <c r="C61" s="79"/>
      <c r="D61" s="80"/>
      <c r="E61" s="79"/>
      <c r="F61" s="79"/>
      <c r="G61" s="79"/>
      <c r="H61" s="81"/>
      <c r="I61" s="79"/>
      <c r="J61" s="79"/>
      <c r="K61" s="79"/>
      <c r="L61" s="79"/>
      <c r="M61" s="79"/>
      <c r="N61" s="82"/>
      <c r="O61" s="82"/>
      <c r="P61" s="82"/>
      <c r="Q61" s="82"/>
      <c r="R61" s="83">
        <f t="shared" ref="R61:R72" si="15">N61+P61</f>
        <v>0</v>
      </c>
      <c r="S61" s="121"/>
      <c r="T61" s="62"/>
      <c r="U61" s="122"/>
    </row>
    <row r="62" ht="21.75" customHeight="1">
      <c r="A62" s="85">
        <f t="shared" si="1"/>
        <v>58</v>
      </c>
      <c r="B62" s="87"/>
      <c r="C62" s="79"/>
      <c r="D62" s="80"/>
      <c r="E62" s="79"/>
      <c r="F62" s="79"/>
      <c r="G62" s="79"/>
      <c r="H62" s="81"/>
      <c r="I62" s="79"/>
      <c r="J62" s="79"/>
      <c r="K62" s="79"/>
      <c r="L62" s="79"/>
      <c r="M62" s="79"/>
      <c r="N62" s="82"/>
      <c r="O62" s="82"/>
      <c r="P62" s="82"/>
      <c r="Q62" s="82"/>
      <c r="R62" s="83">
        <f t="shared" si="15"/>
        <v>0</v>
      </c>
      <c r="S62" s="121"/>
      <c r="T62" s="62"/>
      <c r="U62" s="122"/>
    </row>
    <row r="63" ht="21.75" customHeight="1">
      <c r="A63" s="85">
        <f t="shared" si="1"/>
        <v>59</v>
      </c>
      <c r="B63" s="87"/>
      <c r="C63" s="79"/>
      <c r="D63" s="80"/>
      <c r="E63" s="79"/>
      <c r="F63" s="79"/>
      <c r="G63" s="79"/>
      <c r="H63" s="81"/>
      <c r="I63" s="79"/>
      <c r="J63" s="79"/>
      <c r="K63" s="79"/>
      <c r="L63" s="79"/>
      <c r="M63" s="79"/>
      <c r="N63" s="82"/>
      <c r="O63" s="82"/>
      <c r="P63" s="82"/>
      <c r="Q63" s="82"/>
      <c r="R63" s="83">
        <f t="shared" si="15"/>
        <v>0</v>
      </c>
      <c r="S63" s="121"/>
      <c r="T63" s="62"/>
      <c r="U63" s="122"/>
    </row>
    <row r="64" ht="21.75" customHeight="1">
      <c r="A64" s="85">
        <f t="shared" si="1"/>
        <v>60</v>
      </c>
      <c r="B64" s="87"/>
      <c r="C64" s="79"/>
      <c r="D64" s="80"/>
      <c r="E64" s="79"/>
      <c r="F64" s="79"/>
      <c r="G64" s="79"/>
      <c r="H64" s="81"/>
      <c r="I64" s="79"/>
      <c r="J64" s="79"/>
      <c r="K64" s="79"/>
      <c r="L64" s="79"/>
      <c r="M64" s="79"/>
      <c r="N64" s="82"/>
      <c r="O64" s="82"/>
      <c r="P64" s="82"/>
      <c r="Q64" s="82"/>
      <c r="R64" s="83">
        <f t="shared" si="15"/>
        <v>0</v>
      </c>
      <c r="S64" s="121"/>
      <c r="T64" s="62"/>
      <c r="U64" s="122"/>
    </row>
    <row r="65" ht="21.75" customHeight="1">
      <c r="A65" s="85">
        <f t="shared" si="1"/>
        <v>61</v>
      </c>
      <c r="B65" s="87"/>
      <c r="C65" s="79"/>
      <c r="D65" s="80"/>
      <c r="E65" s="79"/>
      <c r="F65" s="79"/>
      <c r="G65" s="79"/>
      <c r="H65" s="81"/>
      <c r="I65" s="79"/>
      <c r="J65" s="79"/>
      <c r="K65" s="79"/>
      <c r="L65" s="79"/>
      <c r="M65" s="79"/>
      <c r="N65" s="82"/>
      <c r="O65" s="82"/>
      <c r="P65" s="82"/>
      <c r="Q65" s="82"/>
      <c r="R65" s="83">
        <f t="shared" si="15"/>
        <v>0</v>
      </c>
      <c r="S65" s="121"/>
      <c r="T65" s="62"/>
      <c r="U65" s="122"/>
    </row>
    <row r="66" ht="21.75" customHeight="1">
      <c r="A66" s="85">
        <f t="shared" si="1"/>
        <v>62</v>
      </c>
      <c r="B66" s="87"/>
      <c r="C66" s="79"/>
      <c r="D66" s="80"/>
      <c r="E66" s="79"/>
      <c r="F66" s="79"/>
      <c r="G66" s="79"/>
      <c r="H66" s="81"/>
      <c r="I66" s="79"/>
      <c r="J66" s="79"/>
      <c r="K66" s="79"/>
      <c r="L66" s="79"/>
      <c r="M66" s="79"/>
      <c r="N66" s="82"/>
      <c r="O66" s="82"/>
      <c r="P66" s="82"/>
      <c r="Q66" s="82"/>
      <c r="R66" s="83">
        <f t="shared" si="15"/>
        <v>0</v>
      </c>
      <c r="S66" s="121"/>
      <c r="T66" s="62"/>
      <c r="U66" s="122"/>
    </row>
    <row r="67" ht="21.75" customHeight="1">
      <c r="A67" s="85">
        <f t="shared" si="1"/>
        <v>63</v>
      </c>
      <c r="B67" s="87"/>
      <c r="C67" s="79"/>
      <c r="D67" s="80"/>
      <c r="E67" s="79"/>
      <c r="F67" s="79"/>
      <c r="G67" s="79"/>
      <c r="H67" s="81"/>
      <c r="I67" s="79"/>
      <c r="J67" s="79"/>
      <c r="K67" s="79"/>
      <c r="L67" s="79"/>
      <c r="M67" s="79"/>
      <c r="N67" s="82"/>
      <c r="O67" s="82"/>
      <c r="P67" s="82"/>
      <c r="Q67" s="82"/>
      <c r="R67" s="83">
        <f t="shared" si="15"/>
        <v>0</v>
      </c>
      <c r="S67" s="121"/>
      <c r="T67" s="62"/>
      <c r="U67" s="122"/>
    </row>
    <row r="68" ht="21.75" customHeight="1">
      <c r="A68" s="85">
        <f t="shared" si="1"/>
        <v>64</v>
      </c>
      <c r="B68" s="87"/>
      <c r="C68" s="79"/>
      <c r="D68" s="80"/>
      <c r="E68" s="79"/>
      <c r="F68" s="79"/>
      <c r="G68" s="79"/>
      <c r="H68" s="81"/>
      <c r="I68" s="79"/>
      <c r="J68" s="79"/>
      <c r="K68" s="79"/>
      <c r="L68" s="79"/>
      <c r="M68" s="79"/>
      <c r="N68" s="82"/>
      <c r="O68" s="82"/>
      <c r="P68" s="82"/>
      <c r="Q68" s="82"/>
      <c r="R68" s="83">
        <f t="shared" si="15"/>
        <v>0</v>
      </c>
      <c r="S68" s="121"/>
      <c r="T68" s="62"/>
      <c r="U68" s="122"/>
    </row>
    <row r="69" ht="21.75" customHeight="1">
      <c r="A69" s="85">
        <f t="shared" si="1"/>
        <v>65</v>
      </c>
      <c r="B69" s="87"/>
      <c r="C69" s="79"/>
      <c r="D69" s="80"/>
      <c r="E69" s="79"/>
      <c r="F69" s="79"/>
      <c r="G69" s="79"/>
      <c r="H69" s="81"/>
      <c r="I69" s="79"/>
      <c r="J69" s="79"/>
      <c r="K69" s="79"/>
      <c r="L69" s="79"/>
      <c r="M69" s="79"/>
      <c r="N69" s="82"/>
      <c r="O69" s="82"/>
      <c r="P69" s="82"/>
      <c r="Q69" s="82"/>
      <c r="R69" s="83">
        <f t="shared" si="15"/>
        <v>0</v>
      </c>
      <c r="S69" s="121"/>
      <c r="T69" s="62"/>
      <c r="U69" s="122"/>
    </row>
    <row r="70" ht="21.75" customHeight="1">
      <c r="A70" s="85">
        <f t="shared" si="1"/>
        <v>66</v>
      </c>
      <c r="B70" s="87"/>
      <c r="C70" s="79"/>
      <c r="D70" s="80"/>
      <c r="E70" s="79"/>
      <c r="F70" s="79"/>
      <c r="G70" s="79"/>
      <c r="H70" s="81"/>
      <c r="I70" s="79"/>
      <c r="J70" s="79"/>
      <c r="K70" s="79"/>
      <c r="L70" s="79"/>
      <c r="M70" s="79"/>
      <c r="N70" s="82"/>
      <c r="O70" s="82"/>
      <c r="P70" s="82"/>
      <c r="Q70" s="82"/>
      <c r="R70" s="83">
        <f t="shared" si="15"/>
        <v>0</v>
      </c>
      <c r="S70" s="121"/>
      <c r="T70" s="62"/>
      <c r="U70" s="122"/>
    </row>
    <row r="71" ht="21.75" customHeight="1">
      <c r="A71" s="85">
        <f t="shared" si="1"/>
        <v>67</v>
      </c>
      <c r="B71" s="87"/>
      <c r="C71" s="79"/>
      <c r="D71" s="80"/>
      <c r="E71" s="79"/>
      <c r="F71" s="79"/>
      <c r="G71" s="79"/>
      <c r="H71" s="81"/>
      <c r="I71" s="79"/>
      <c r="J71" s="79"/>
      <c r="K71" s="79"/>
      <c r="L71" s="79"/>
      <c r="M71" s="79"/>
      <c r="N71" s="82"/>
      <c r="O71" s="82"/>
      <c r="P71" s="82"/>
      <c r="Q71" s="82"/>
      <c r="R71" s="83">
        <f t="shared" si="15"/>
        <v>0</v>
      </c>
      <c r="S71" s="121"/>
      <c r="T71" s="62"/>
      <c r="U71" s="122"/>
    </row>
    <row r="72" ht="21.75" customHeight="1">
      <c r="A72" s="85">
        <f t="shared" si="1"/>
        <v>68</v>
      </c>
      <c r="B72" s="87"/>
      <c r="C72" s="79"/>
      <c r="D72" s="80"/>
      <c r="E72" s="79"/>
      <c r="F72" s="79"/>
      <c r="G72" s="79"/>
      <c r="H72" s="81"/>
      <c r="I72" s="79"/>
      <c r="J72" s="79"/>
      <c r="K72" s="79"/>
      <c r="L72" s="79"/>
      <c r="M72" s="79"/>
      <c r="N72" s="82"/>
      <c r="O72" s="82"/>
      <c r="P72" s="82"/>
      <c r="Q72" s="82"/>
      <c r="R72" s="83">
        <f t="shared" si="15"/>
        <v>0</v>
      </c>
      <c r="S72" s="84" t="s">
        <v>74</v>
      </c>
      <c r="T72" s="62"/>
      <c r="U72" s="122"/>
    </row>
    <row r="73" ht="21.75" customHeight="1">
      <c r="A73" s="95"/>
      <c r="B73" s="95"/>
      <c r="C73" s="95"/>
      <c r="D73" s="133"/>
      <c r="E73" s="133"/>
      <c r="F73" s="95"/>
      <c r="G73" s="96" t="s">
        <v>178</v>
      </c>
      <c r="H73" s="97">
        <f t="shared" ref="H73:I73" si="16">COUNTIF(H4:H72,"X")</f>
        <v>34</v>
      </c>
      <c r="I73" s="97">
        <f t="shared" si="16"/>
        <v>34</v>
      </c>
      <c r="J73" s="98">
        <f t="shared" ref="J73:K73" si="17">SUM(J4:J72)</f>
        <v>10585</v>
      </c>
      <c r="K73" s="98">
        <f t="shared" si="17"/>
        <v>3245</v>
      </c>
      <c r="L73" s="50"/>
      <c r="M73" s="134"/>
      <c r="N73" s="98">
        <f>SUM(N4:N72)</f>
        <v>10250.72</v>
      </c>
      <c r="O73" s="98"/>
      <c r="P73" s="98">
        <f>SUM(P4:P72)</f>
        <v>0</v>
      </c>
      <c r="Q73" s="95"/>
      <c r="R73" s="135"/>
      <c r="S73" s="134"/>
      <c r="T73" s="63"/>
      <c r="U73" s="1"/>
    </row>
    <row r="74" ht="19.5" customHeight="1">
      <c r="A74" s="2"/>
      <c r="B74" s="2"/>
      <c r="C74" s="2"/>
      <c r="D74" s="4"/>
      <c r="E74" s="4"/>
      <c r="F74" s="2"/>
      <c r="G74" s="100" t="s">
        <v>179</v>
      </c>
      <c r="H74" s="101">
        <v>34.0</v>
      </c>
      <c r="I74" s="101">
        <v>34.0</v>
      </c>
      <c r="J74" s="102">
        <f>SUM(J73:K73)</f>
        <v>13830</v>
      </c>
      <c r="K74" s="103"/>
      <c r="L74" s="2"/>
      <c r="M74" s="1"/>
      <c r="N74" s="102">
        <f>SUM(N73:P73)</f>
        <v>10250.72</v>
      </c>
      <c r="O74" s="136"/>
      <c r="P74" s="103"/>
      <c r="Q74" s="2"/>
      <c r="R74" s="116"/>
      <c r="S74" s="1"/>
      <c r="T74" s="63"/>
      <c r="U74" s="1"/>
    </row>
    <row r="75" ht="19.5" customHeight="1">
      <c r="A75" s="2"/>
      <c r="B75" s="104"/>
      <c r="C75" s="2"/>
      <c r="D75" s="137"/>
      <c r="E75" s="4"/>
      <c r="F75" s="1"/>
      <c r="G75" s="106" t="s">
        <v>180</v>
      </c>
      <c r="H75" s="107">
        <f t="shared" ref="H75:I75" si="18">H74-H73</f>
        <v>0</v>
      </c>
      <c r="I75" s="107">
        <f t="shared" si="18"/>
        <v>0</v>
      </c>
      <c r="J75" s="108" t="s">
        <v>181</v>
      </c>
      <c r="K75" s="109"/>
      <c r="L75" s="2"/>
      <c r="M75" s="1"/>
      <c r="N75" s="108" t="s">
        <v>182</v>
      </c>
      <c r="O75" s="138"/>
      <c r="P75" s="109"/>
      <c r="Q75" s="104"/>
      <c r="R75" s="116"/>
      <c r="S75" s="1"/>
      <c r="T75" s="63"/>
      <c r="U75" s="1"/>
    </row>
    <row r="76" ht="19.5" customHeight="1">
      <c r="A76" s="2"/>
      <c r="B76" s="104"/>
      <c r="C76" s="2"/>
      <c r="D76" s="137"/>
      <c r="E76" s="4"/>
      <c r="F76" s="1"/>
      <c r="G76" s="2"/>
      <c r="H76" s="110">
        <v>200.0</v>
      </c>
      <c r="I76" s="110">
        <v>200.0</v>
      </c>
      <c r="J76" s="2"/>
      <c r="K76" s="2"/>
      <c r="L76" s="2"/>
      <c r="M76" s="1"/>
      <c r="N76" s="104"/>
      <c r="O76" s="104"/>
      <c r="P76" s="104"/>
      <c r="Q76" s="104"/>
      <c r="R76" s="116"/>
      <c r="S76" s="1"/>
      <c r="T76" s="63"/>
      <c r="U76" s="122" t="s">
        <v>68</v>
      </c>
    </row>
    <row r="77" ht="19.5" customHeight="1">
      <c r="A77" s="2"/>
      <c r="B77" s="104"/>
      <c r="C77" s="2"/>
      <c r="D77" s="137"/>
      <c r="E77" s="4"/>
      <c r="F77" s="1"/>
      <c r="G77" s="2"/>
      <c r="H77" s="111">
        <f t="shared" ref="H77:I77" si="19">H75*H76</f>
        <v>0</v>
      </c>
      <c r="I77" s="111">
        <f t="shared" si="19"/>
        <v>0</v>
      </c>
      <c r="J77" s="2"/>
      <c r="K77" s="2"/>
      <c r="L77" s="2"/>
      <c r="M77" s="1"/>
      <c r="N77" s="104"/>
      <c r="O77" s="104"/>
      <c r="P77" s="104"/>
      <c r="Q77" s="104"/>
      <c r="R77" s="116"/>
      <c r="S77" s="1"/>
      <c r="T77" s="63"/>
      <c r="U77" s="1"/>
    </row>
    <row r="78" ht="19.5" customHeight="1">
      <c r="A78" s="2"/>
      <c r="B78" s="104"/>
      <c r="C78" s="2"/>
      <c r="D78" s="137"/>
      <c r="E78" s="4"/>
      <c r="F78" s="1"/>
      <c r="G78" s="2"/>
      <c r="H78" s="112">
        <f>H77+I77</f>
        <v>0</v>
      </c>
      <c r="I78" s="109"/>
      <c r="J78" s="2"/>
      <c r="K78" s="2"/>
      <c r="L78" s="2"/>
      <c r="M78" s="1"/>
      <c r="N78" s="104"/>
      <c r="O78" s="104"/>
      <c r="P78" s="104"/>
      <c r="Q78" s="104"/>
      <c r="R78" s="116"/>
      <c r="S78" s="1"/>
      <c r="T78" s="63"/>
      <c r="U78" s="1"/>
    </row>
    <row r="79" ht="19.5" customHeight="1">
      <c r="A79" s="2"/>
      <c r="B79" s="104"/>
      <c r="C79" s="2"/>
      <c r="D79" s="137"/>
      <c r="E79" s="4"/>
      <c r="F79" s="1"/>
      <c r="G79" s="2"/>
      <c r="H79" s="2"/>
      <c r="I79" s="2"/>
      <c r="J79" s="2"/>
      <c r="K79" s="2"/>
      <c r="L79" s="2"/>
      <c r="M79" s="1"/>
      <c r="N79" s="1"/>
      <c r="O79" s="1"/>
      <c r="P79" s="1"/>
      <c r="Q79" s="1"/>
      <c r="R79" s="116"/>
      <c r="S79" s="1"/>
      <c r="T79" s="63"/>
      <c r="U79" s="1"/>
    </row>
    <row r="80" ht="19.5" customHeight="1">
      <c r="A80" s="2"/>
      <c r="B80" s="104"/>
      <c r="C80" s="2"/>
      <c r="D80" s="137"/>
      <c r="E80" s="4"/>
      <c r="F80" s="1"/>
      <c r="G80" s="2"/>
      <c r="H80" s="2"/>
      <c r="I80" s="2"/>
      <c r="J80" s="2"/>
      <c r="K80" s="2"/>
      <c r="L80" s="2"/>
      <c r="M80" s="1"/>
      <c r="N80" s="1"/>
      <c r="O80" s="1"/>
      <c r="P80" s="1"/>
      <c r="Q80" s="1"/>
      <c r="R80" s="116"/>
      <c r="S80" s="1"/>
      <c r="T80" s="63"/>
      <c r="U80" s="1"/>
    </row>
    <row r="81" ht="19.5" customHeight="1">
      <c r="A81" s="2"/>
      <c r="B81" s="104"/>
      <c r="C81" s="2"/>
      <c r="D81" s="137"/>
      <c r="E81" s="4"/>
      <c r="F81" s="1"/>
      <c r="G81" s="2"/>
      <c r="H81" s="2"/>
      <c r="I81" s="2"/>
      <c r="J81" s="2"/>
      <c r="K81" s="2"/>
      <c r="L81" s="2"/>
      <c r="M81" s="1"/>
      <c r="N81" s="1"/>
      <c r="O81" s="1"/>
      <c r="P81" s="1"/>
      <c r="Q81" s="1"/>
      <c r="R81" s="116"/>
      <c r="S81" s="1"/>
      <c r="T81" s="63"/>
      <c r="U81" s="1"/>
    </row>
    <row r="82" ht="19.5" customHeight="1">
      <c r="A82" s="2"/>
      <c r="B82" s="104"/>
      <c r="C82" s="2"/>
      <c r="D82" s="137"/>
      <c r="E82" s="4"/>
      <c r="F82" s="1"/>
      <c r="G82" s="2"/>
      <c r="H82" s="2"/>
      <c r="I82" s="2"/>
      <c r="J82" s="2"/>
      <c r="K82" s="2"/>
      <c r="L82" s="2"/>
      <c r="M82" s="1"/>
      <c r="N82" s="1"/>
      <c r="O82" s="1"/>
      <c r="P82" s="1"/>
      <c r="Q82" s="1"/>
      <c r="R82" s="116"/>
      <c r="S82" s="1"/>
      <c r="T82" s="63"/>
      <c r="U82" s="1"/>
    </row>
  </sheetData>
  <autoFilter ref="$A$4:$U$78"/>
  <customSheetViews>
    <customSheetView guid="{A9B8627E-26B2-4201-803A-467C3700F329}" filter="1" showAutoFilter="1">
      <autoFilter ref="$A$2:$U$82"/>
    </customSheetView>
    <customSheetView guid="{BA335440-5B37-4C05-BCDC-9CD4D4923240}" filter="1" showAutoFilter="1">
      <autoFilter ref="$A$1:$U$82"/>
    </customSheetView>
    <customSheetView guid="{BD076BCF-39B8-44C5-BF95-7B82C910DEB0}" filter="1" showAutoFilter="1">
      <autoFilter ref="$A$4:$U$78"/>
    </customSheetView>
    <customSheetView guid="{E5EE51B3-DE45-4D2E-9071-A5BED79D171F}" filter="1" showAutoFilter="1">
      <autoFilter ref="$A$2:$U$82"/>
    </customSheetView>
  </customSheetViews>
  <mergeCells count="8">
    <mergeCell ref="A2:M2"/>
    <mergeCell ref="A3:F3"/>
    <mergeCell ref="G3:J3"/>
    <mergeCell ref="J74:K74"/>
    <mergeCell ref="N74:P74"/>
    <mergeCell ref="J75:K75"/>
    <mergeCell ref="N75:P75"/>
    <mergeCell ref="H78:I78"/>
  </mergeCells>
  <conditionalFormatting sqref="M5:M72 S5:S72 L23:L29">
    <cfRule type="containsText" dxfId="3" priority="1" operator="containsText" text="fh">
      <formula>NOT(ISERROR(SEARCH(("fh"),(M5))))</formula>
    </cfRule>
  </conditionalFormatting>
  <conditionalFormatting sqref="L1 L4:L72 M4 N8:P14 N16:P18 L74:L77 L79:L82">
    <cfRule type="containsText" dxfId="0" priority="2" operator="containsText" text="COBR">
      <formula>NOT(ISERROR(SEARCH(("COBR"),(L1))))</formula>
    </cfRule>
  </conditionalFormatting>
  <conditionalFormatting sqref="L1 L4:L72 M4 N8:P14 N16:P18 L74:L77 L79:L82">
    <cfRule type="containsText" dxfId="1" priority="3" operator="containsText" text="INTE">
      <formula>NOT(ISERROR(SEARCH(("INTE"),(L1))))</formula>
    </cfRule>
  </conditionalFormatting>
  <conditionalFormatting sqref="L1 L4:L72 M4 J74 L74:L77 N74:O74 L79:L82">
    <cfRule type="containsText" dxfId="2" priority="4" operator="containsText" text="DESC">
      <formula>NOT(ISERROR(SEARCH(("DESC"),(L1))))</formula>
    </cfRule>
  </conditionalFormatting>
  <dataValidations>
    <dataValidation type="list" allowBlank="1" showErrorMessage="1" sqref="M5:M72">
      <formula1>CUENTAS</formula1>
    </dataValidation>
    <dataValidation type="list" allowBlank="1" showErrorMessage="1" sqref="Q5:Q72">
      <formula1>VENDEDOR</formula1>
    </dataValidation>
    <dataValidation type="list" allowBlank="1" showErrorMessage="1" sqref="L5:L72">
      <formula1>SITUACION</formula1>
    </dataValidation>
  </dataValidations>
  <hyperlinks>
    <hyperlink r:id="rId1" ref="E15"/>
    <hyperlink r:id="rId2" ref="E16"/>
    <hyperlink r:id="rId3" ref="E17"/>
    <hyperlink r:id="rId4" ref="E51"/>
    <hyperlink r:id="rId5" ref="E52"/>
    <hyperlink r:id="rId6" ref="E53"/>
    <hyperlink r:id="rId7" ref="E54"/>
    <hyperlink r:id="rId8" ref="E56"/>
    <hyperlink r:id="rId9" ref="E57"/>
  </hyperlinks>
  <printOptions gridLines="1" horizontalCentered="1"/>
  <pageMargins bottom="0.1947110905615326" footer="0.0" header="0.0" left="0.6" right="0.21520699483116765" top="0.18446313842671508"/>
  <pageSetup fitToHeight="0" paperSize="9" cellComments="atEnd" orientation="landscape" pageOrder="overThenDown"/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2.88"/>
    <col customWidth="1" min="3" max="3" width="13.13"/>
    <col customWidth="1" min="4" max="4" width="30.38"/>
    <col customWidth="1" min="5" max="6" width="19.5"/>
    <col customWidth="1" min="7" max="7" width="18.63"/>
    <col customWidth="1" min="8" max="9" width="9.0"/>
    <col customWidth="1" min="10" max="11" width="12.63"/>
    <col customWidth="1" min="12" max="12" width="14.38"/>
    <col customWidth="1" min="13" max="13" width="14.75"/>
    <col customWidth="1" min="14" max="15" width="12.63"/>
    <col customWidth="1" min="16" max="19" width="21.63"/>
    <col customWidth="1" min="20" max="20" width="2.25"/>
  </cols>
  <sheetData>
    <row r="1" ht="19.5" customHeight="1">
      <c r="A1" s="55"/>
      <c r="B1" s="56"/>
      <c r="C1" s="57"/>
      <c r="D1" s="139"/>
      <c r="E1" s="115"/>
      <c r="F1" s="115"/>
      <c r="G1" s="57"/>
      <c r="H1" s="57"/>
      <c r="I1" s="57"/>
      <c r="J1" s="57"/>
      <c r="K1" s="140"/>
      <c r="L1" s="57"/>
      <c r="M1" s="115"/>
      <c r="N1" s="1"/>
      <c r="O1" s="1"/>
      <c r="P1" s="1"/>
      <c r="Q1" s="116"/>
      <c r="R1" s="1"/>
      <c r="S1" s="1"/>
      <c r="T1" s="1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62"/>
      <c r="O2" s="63"/>
      <c r="P2" s="63"/>
      <c r="Q2" s="64"/>
      <c r="R2" s="63"/>
      <c r="S2" s="63"/>
      <c r="T2" s="1"/>
    </row>
    <row r="3" ht="30.75" customHeight="1">
      <c r="A3" s="117" t="s">
        <v>70</v>
      </c>
      <c r="B3" s="60"/>
      <c r="C3" s="60"/>
      <c r="D3" s="60"/>
      <c r="E3" s="60"/>
      <c r="F3" s="60"/>
      <c r="G3" s="66">
        <v>45674.0</v>
      </c>
      <c r="H3" s="60"/>
      <c r="I3" s="60"/>
      <c r="J3" s="60"/>
      <c r="K3" s="67"/>
      <c r="L3" s="67"/>
      <c r="M3" s="68"/>
      <c r="N3" s="69"/>
      <c r="O3" s="70"/>
      <c r="P3" s="70"/>
      <c r="Q3" s="71"/>
      <c r="R3" s="70"/>
      <c r="S3" s="63"/>
      <c r="T3" s="1"/>
    </row>
    <row r="4" ht="27.0" customHeight="1">
      <c r="A4" s="72" t="s">
        <v>0</v>
      </c>
      <c r="B4" s="72" t="s">
        <v>7</v>
      </c>
      <c r="C4" s="72" t="s">
        <v>8</v>
      </c>
      <c r="D4" s="73" t="s">
        <v>9</v>
      </c>
      <c r="E4" s="72" t="s">
        <v>10</v>
      </c>
      <c r="F4" s="73" t="s">
        <v>11</v>
      </c>
      <c r="G4" s="73" t="s">
        <v>12</v>
      </c>
      <c r="H4" s="74" t="s">
        <v>314</v>
      </c>
      <c r="I4" s="74" t="s">
        <v>72</v>
      </c>
      <c r="J4" s="74" t="s">
        <v>15</v>
      </c>
      <c r="K4" s="141" t="s">
        <v>16</v>
      </c>
      <c r="L4" s="74" t="s">
        <v>17</v>
      </c>
      <c r="M4" s="74" t="s">
        <v>18</v>
      </c>
      <c r="N4" s="75" t="s">
        <v>19</v>
      </c>
      <c r="O4" s="75" t="s">
        <v>20</v>
      </c>
      <c r="P4" s="75" t="s">
        <v>21</v>
      </c>
      <c r="Q4" s="76" t="s">
        <v>22</v>
      </c>
      <c r="R4" s="72" t="s">
        <v>74</v>
      </c>
      <c r="S4" s="62"/>
      <c r="T4" s="2"/>
    </row>
    <row r="5" ht="21.75" customHeight="1">
      <c r="A5" s="77">
        <v>1.0</v>
      </c>
      <c r="B5" s="78">
        <v>46014.0</v>
      </c>
      <c r="C5" s="142">
        <v>4.1864072E7</v>
      </c>
      <c r="D5" s="143" t="s">
        <v>315</v>
      </c>
      <c r="E5" s="126" t="s">
        <v>316</v>
      </c>
      <c r="F5" s="79" t="s">
        <v>121</v>
      </c>
      <c r="G5" s="79" t="s">
        <v>317</v>
      </c>
      <c r="H5" s="81" t="s">
        <v>79</v>
      </c>
      <c r="I5" s="79"/>
      <c r="J5" s="79">
        <v>110.0</v>
      </c>
      <c r="K5" s="79">
        <v>110.0</v>
      </c>
      <c r="L5" s="79" t="s">
        <v>93</v>
      </c>
      <c r="M5" s="79" t="s">
        <v>81</v>
      </c>
      <c r="N5" s="82">
        <v>110.0</v>
      </c>
      <c r="O5" s="82">
        <v>110.0</v>
      </c>
      <c r="P5" s="82" t="s">
        <v>50</v>
      </c>
      <c r="Q5" s="83">
        <f t="shared" ref="Q5:Q72" si="1">N5+O5</f>
        <v>220</v>
      </c>
      <c r="R5" s="84" t="s">
        <v>74</v>
      </c>
      <c r="S5" s="62"/>
      <c r="T5" s="1"/>
    </row>
    <row r="6" ht="21.75" customHeight="1">
      <c r="A6" s="85">
        <f t="shared" ref="A6:A72" si="2">A5+1</f>
        <v>2</v>
      </c>
      <c r="B6" s="78">
        <v>46014.0</v>
      </c>
      <c r="C6" s="144" t="s">
        <v>318</v>
      </c>
      <c r="D6" s="145" t="s">
        <v>319</v>
      </c>
      <c r="E6" s="126" t="s">
        <v>320</v>
      </c>
      <c r="F6" s="79" t="s">
        <v>211</v>
      </c>
      <c r="G6" s="79" t="s">
        <v>321</v>
      </c>
      <c r="I6" s="79" t="s">
        <v>79</v>
      </c>
      <c r="J6" s="79">
        <v>220.0</v>
      </c>
      <c r="K6" s="79"/>
      <c r="L6" s="79" t="s">
        <v>80</v>
      </c>
      <c r="M6" s="79" t="s">
        <v>81</v>
      </c>
      <c r="N6" s="82">
        <v>220.0</v>
      </c>
      <c r="O6" s="82"/>
      <c r="P6" s="82" t="s">
        <v>50</v>
      </c>
      <c r="Q6" s="83">
        <f t="shared" si="1"/>
        <v>220</v>
      </c>
      <c r="R6" s="84"/>
      <c r="S6" s="62"/>
      <c r="T6" s="122"/>
    </row>
    <row r="7" ht="21.75" customHeight="1">
      <c r="A7" s="85">
        <f t="shared" si="2"/>
        <v>3</v>
      </c>
      <c r="B7" s="78">
        <v>46009.0</v>
      </c>
      <c r="C7" s="146">
        <v>4.6649174E7</v>
      </c>
      <c r="D7" s="145" t="s">
        <v>322</v>
      </c>
      <c r="E7" s="79" t="s">
        <v>323</v>
      </c>
      <c r="F7" s="79" t="s">
        <v>121</v>
      </c>
      <c r="G7" s="79" t="s">
        <v>324</v>
      </c>
      <c r="H7" s="81"/>
      <c r="I7" s="79" t="s">
        <v>79</v>
      </c>
      <c r="J7" s="79">
        <v>190.0</v>
      </c>
      <c r="K7" s="79"/>
      <c r="L7" s="79" t="s">
        <v>80</v>
      </c>
      <c r="M7" s="79" t="s">
        <v>174</v>
      </c>
      <c r="N7" s="82">
        <v>190.0</v>
      </c>
      <c r="O7" s="82"/>
      <c r="P7" s="82" t="s">
        <v>50</v>
      </c>
      <c r="Q7" s="83">
        <f t="shared" si="1"/>
        <v>190</v>
      </c>
      <c r="R7" s="84"/>
      <c r="S7" s="62"/>
      <c r="T7" s="122"/>
    </row>
    <row r="8" ht="21.75" customHeight="1">
      <c r="A8" s="85">
        <f t="shared" si="2"/>
        <v>4</v>
      </c>
      <c r="B8" s="78">
        <v>46009.0</v>
      </c>
      <c r="C8" s="79">
        <v>1.0303242E7</v>
      </c>
      <c r="D8" s="80" t="s">
        <v>325</v>
      </c>
      <c r="E8" s="79" t="s">
        <v>326</v>
      </c>
      <c r="F8" s="79" t="s">
        <v>121</v>
      </c>
      <c r="G8" s="79" t="s">
        <v>324</v>
      </c>
      <c r="H8" s="81"/>
      <c r="I8" s="79" t="s">
        <v>79</v>
      </c>
      <c r="J8" s="79">
        <v>190.0</v>
      </c>
      <c r="K8" s="79"/>
      <c r="L8" s="79" t="s">
        <v>80</v>
      </c>
      <c r="M8" s="79" t="s">
        <v>174</v>
      </c>
      <c r="N8" s="82">
        <v>190.0</v>
      </c>
      <c r="O8" s="82"/>
      <c r="P8" s="82" t="s">
        <v>50</v>
      </c>
      <c r="Q8" s="83">
        <f t="shared" si="1"/>
        <v>190</v>
      </c>
      <c r="R8" s="84"/>
      <c r="S8" s="62"/>
      <c r="T8" s="122"/>
    </row>
    <row r="9" ht="21.75" customHeight="1">
      <c r="A9" s="85">
        <f t="shared" si="2"/>
        <v>5</v>
      </c>
      <c r="B9" s="88">
        <v>46014.0</v>
      </c>
      <c r="C9" s="79">
        <v>4.4273674E7</v>
      </c>
      <c r="D9" s="80" t="s">
        <v>327</v>
      </c>
      <c r="E9" s="79" t="s">
        <v>328</v>
      </c>
      <c r="F9" s="79"/>
      <c r="G9" s="79"/>
      <c r="H9" s="81" t="s">
        <v>104</v>
      </c>
      <c r="I9" s="79" t="s">
        <v>104</v>
      </c>
      <c r="J9" s="79">
        <v>380.0</v>
      </c>
      <c r="K9" s="79"/>
      <c r="L9" s="79" t="s">
        <v>80</v>
      </c>
      <c r="M9" s="79" t="s">
        <v>81</v>
      </c>
      <c r="N9" s="82">
        <v>380.0</v>
      </c>
      <c r="O9" s="82"/>
      <c r="P9" s="82" t="s">
        <v>47</v>
      </c>
      <c r="Q9" s="83">
        <f t="shared" si="1"/>
        <v>380</v>
      </c>
      <c r="R9" s="84"/>
      <c r="S9" s="62"/>
      <c r="T9" s="122"/>
    </row>
    <row r="10" ht="21.75" customHeight="1">
      <c r="A10" s="85">
        <f t="shared" si="2"/>
        <v>6</v>
      </c>
      <c r="B10" s="94">
        <v>46024.0</v>
      </c>
      <c r="C10" s="79">
        <v>7.705917E7</v>
      </c>
      <c r="D10" s="80" t="s">
        <v>329</v>
      </c>
      <c r="E10" s="79" t="s">
        <v>330</v>
      </c>
      <c r="F10" s="79" t="s">
        <v>331</v>
      </c>
      <c r="G10" s="79" t="s">
        <v>332</v>
      </c>
      <c r="H10" s="81" t="s">
        <v>79</v>
      </c>
      <c r="I10" s="79" t="s">
        <v>104</v>
      </c>
      <c r="J10" s="79">
        <v>220.0</v>
      </c>
      <c r="K10" s="79">
        <v>160.0</v>
      </c>
      <c r="L10" s="79" t="s">
        <v>93</v>
      </c>
      <c r="M10" s="79" t="s">
        <v>98</v>
      </c>
      <c r="N10" s="82">
        <v>220.0</v>
      </c>
      <c r="O10" s="82">
        <v>160.0</v>
      </c>
      <c r="P10" s="82" t="s">
        <v>48</v>
      </c>
      <c r="Q10" s="83">
        <f t="shared" si="1"/>
        <v>380</v>
      </c>
      <c r="R10" s="84" t="s">
        <v>333</v>
      </c>
      <c r="S10" s="62"/>
      <c r="T10" s="122"/>
    </row>
    <row r="11" ht="21.75" customHeight="1">
      <c r="A11" s="85">
        <f t="shared" si="2"/>
        <v>7</v>
      </c>
      <c r="B11" s="78">
        <v>46027.0</v>
      </c>
      <c r="C11" s="79">
        <v>4.2126105E7</v>
      </c>
      <c r="D11" s="80" t="s">
        <v>334</v>
      </c>
      <c r="E11" s="79" t="s">
        <v>335</v>
      </c>
      <c r="F11" s="79" t="s">
        <v>91</v>
      </c>
      <c r="G11" s="79" t="s">
        <v>336</v>
      </c>
      <c r="H11" s="81" t="s">
        <v>79</v>
      </c>
      <c r="I11" s="79" t="s">
        <v>79</v>
      </c>
      <c r="J11" s="79">
        <v>175.0</v>
      </c>
      <c r="K11" s="79">
        <v>175.0</v>
      </c>
      <c r="L11" s="79" t="s">
        <v>93</v>
      </c>
      <c r="M11" s="79" t="s">
        <v>174</v>
      </c>
      <c r="N11" s="82">
        <v>175.0</v>
      </c>
      <c r="O11" s="82">
        <v>175.0</v>
      </c>
      <c r="P11" s="82" t="s">
        <v>50</v>
      </c>
      <c r="Q11" s="83">
        <f t="shared" si="1"/>
        <v>350</v>
      </c>
      <c r="R11" s="84"/>
      <c r="S11" s="62"/>
      <c r="T11" s="122"/>
    </row>
    <row r="12" ht="21.75" customHeight="1">
      <c r="A12" s="85">
        <f t="shared" si="2"/>
        <v>8</v>
      </c>
      <c r="B12" s="78">
        <v>46027.0</v>
      </c>
      <c r="C12" s="79">
        <v>4.1758472E7</v>
      </c>
      <c r="D12" s="80" t="s">
        <v>337</v>
      </c>
      <c r="E12" s="79" t="s">
        <v>338</v>
      </c>
      <c r="F12" s="79" t="s">
        <v>91</v>
      </c>
      <c r="G12" s="79" t="s">
        <v>336</v>
      </c>
      <c r="H12" s="81" t="s">
        <v>79</v>
      </c>
      <c r="I12" s="79" t="s">
        <v>79</v>
      </c>
      <c r="J12" s="79">
        <v>175.0</v>
      </c>
      <c r="K12" s="79">
        <v>175.0</v>
      </c>
      <c r="L12" s="79" t="s">
        <v>93</v>
      </c>
      <c r="M12" s="79" t="s">
        <v>174</v>
      </c>
      <c r="N12" s="82">
        <v>175.0</v>
      </c>
      <c r="O12" s="82">
        <v>175.0</v>
      </c>
      <c r="P12" s="82" t="s">
        <v>50</v>
      </c>
      <c r="Q12" s="83">
        <f t="shared" si="1"/>
        <v>350</v>
      </c>
      <c r="R12" s="84"/>
      <c r="S12" s="62"/>
      <c r="T12" s="122"/>
    </row>
    <row r="13" ht="21.75" customHeight="1">
      <c r="A13" s="85">
        <f t="shared" si="2"/>
        <v>9</v>
      </c>
      <c r="B13" s="147">
        <v>46006.0</v>
      </c>
      <c r="C13" s="148">
        <v>1.0734077E7</v>
      </c>
      <c r="D13" s="80" t="s">
        <v>339</v>
      </c>
      <c r="E13" s="148" t="s">
        <v>340</v>
      </c>
      <c r="F13" s="148" t="s">
        <v>121</v>
      </c>
      <c r="G13" s="148" t="s">
        <v>341</v>
      </c>
      <c r="H13" s="81" t="s">
        <v>79</v>
      </c>
      <c r="I13" s="79"/>
      <c r="J13" s="79">
        <v>0.0</v>
      </c>
      <c r="K13" s="79"/>
      <c r="L13" s="79"/>
      <c r="M13" s="79"/>
      <c r="N13" s="82">
        <v>0.0</v>
      </c>
      <c r="O13" s="82"/>
      <c r="P13" s="82" t="s">
        <v>50</v>
      </c>
      <c r="Q13" s="83">
        <f t="shared" si="1"/>
        <v>0</v>
      </c>
      <c r="R13" s="84" t="s">
        <v>342</v>
      </c>
      <c r="S13" s="62"/>
      <c r="T13" s="122"/>
    </row>
    <row r="14" ht="21.75" customHeight="1">
      <c r="A14" s="85">
        <f t="shared" si="2"/>
        <v>10</v>
      </c>
      <c r="B14" s="132">
        <v>46028.0</v>
      </c>
      <c r="C14" s="79">
        <v>4.1570562E7</v>
      </c>
      <c r="D14" s="80" t="s">
        <v>343</v>
      </c>
      <c r="E14" s="79" t="s">
        <v>344</v>
      </c>
      <c r="F14" s="79" t="s">
        <v>232</v>
      </c>
      <c r="G14" s="79" t="s">
        <v>345</v>
      </c>
      <c r="H14" s="81" t="s">
        <v>104</v>
      </c>
      <c r="I14" s="79" t="s">
        <v>104</v>
      </c>
      <c r="J14" s="79">
        <v>190.0</v>
      </c>
      <c r="K14" s="79">
        <v>190.0</v>
      </c>
      <c r="L14" s="79" t="s">
        <v>93</v>
      </c>
      <c r="M14" s="79" t="s">
        <v>164</v>
      </c>
      <c r="N14" s="82">
        <v>190.0</v>
      </c>
      <c r="O14" s="82">
        <v>190.0</v>
      </c>
      <c r="P14" s="82" t="s">
        <v>44</v>
      </c>
      <c r="Q14" s="83">
        <f t="shared" si="1"/>
        <v>380</v>
      </c>
      <c r="R14" s="84"/>
      <c r="S14" s="62"/>
      <c r="T14" s="122"/>
    </row>
    <row r="15" ht="21.75" customHeight="1">
      <c r="A15" s="85">
        <f t="shared" si="2"/>
        <v>11</v>
      </c>
      <c r="B15" s="132">
        <v>46028.0</v>
      </c>
      <c r="C15" s="79">
        <v>4.812964E7</v>
      </c>
      <c r="D15" s="80" t="s">
        <v>346</v>
      </c>
      <c r="E15" s="79" t="s">
        <v>347</v>
      </c>
      <c r="F15" s="79" t="s">
        <v>348</v>
      </c>
      <c r="G15" s="79" t="s">
        <v>349</v>
      </c>
      <c r="H15" s="81" t="s">
        <v>104</v>
      </c>
      <c r="I15" s="79"/>
      <c r="J15" s="79">
        <v>175.0</v>
      </c>
      <c r="K15" s="79"/>
      <c r="L15" s="79" t="s">
        <v>80</v>
      </c>
      <c r="M15" s="79" t="s">
        <v>81</v>
      </c>
      <c r="N15" s="82">
        <v>175.0</v>
      </c>
      <c r="O15" s="82"/>
      <c r="P15" s="82" t="s">
        <v>44</v>
      </c>
      <c r="Q15" s="83">
        <f t="shared" si="1"/>
        <v>175</v>
      </c>
      <c r="R15" s="84"/>
      <c r="S15" s="62"/>
      <c r="T15" s="122"/>
    </row>
    <row r="16" ht="21.75" customHeight="1">
      <c r="A16" s="85">
        <f t="shared" si="2"/>
        <v>12</v>
      </c>
      <c r="B16" s="132">
        <v>46028.0</v>
      </c>
      <c r="C16" s="79">
        <v>7.0605782E7</v>
      </c>
      <c r="D16" s="80" t="s">
        <v>350</v>
      </c>
      <c r="E16" s="79" t="s">
        <v>351</v>
      </c>
      <c r="F16" s="79" t="s">
        <v>352</v>
      </c>
      <c r="G16" s="79" t="s">
        <v>349</v>
      </c>
      <c r="H16" s="81" t="s">
        <v>104</v>
      </c>
      <c r="I16" s="79"/>
      <c r="J16" s="79">
        <v>175.0</v>
      </c>
      <c r="K16" s="79"/>
      <c r="L16" s="79" t="s">
        <v>80</v>
      </c>
      <c r="M16" s="79" t="s">
        <v>81</v>
      </c>
      <c r="N16" s="82">
        <v>175.0</v>
      </c>
      <c r="O16" s="82"/>
      <c r="P16" s="82" t="s">
        <v>44</v>
      </c>
      <c r="Q16" s="83">
        <f t="shared" si="1"/>
        <v>175</v>
      </c>
      <c r="R16" s="84"/>
      <c r="S16" s="62"/>
      <c r="T16" s="122"/>
    </row>
    <row r="17" ht="21.75" customHeight="1">
      <c r="A17" s="85">
        <f t="shared" si="2"/>
        <v>13</v>
      </c>
      <c r="B17" s="132">
        <v>46028.0</v>
      </c>
      <c r="C17" s="79">
        <v>4.0298292E7</v>
      </c>
      <c r="D17" s="80" t="s">
        <v>353</v>
      </c>
      <c r="E17" s="79" t="s">
        <v>354</v>
      </c>
      <c r="F17" s="79" t="s">
        <v>352</v>
      </c>
      <c r="G17" s="79" t="s">
        <v>349</v>
      </c>
      <c r="H17" s="81" t="s">
        <v>104</v>
      </c>
      <c r="I17" s="79"/>
      <c r="J17" s="79">
        <v>175.0</v>
      </c>
      <c r="K17" s="79"/>
      <c r="L17" s="79" t="s">
        <v>80</v>
      </c>
      <c r="M17" s="79" t="s">
        <v>81</v>
      </c>
      <c r="N17" s="82">
        <v>175.0</v>
      </c>
      <c r="O17" s="82"/>
      <c r="P17" s="82" t="s">
        <v>44</v>
      </c>
      <c r="Q17" s="83">
        <f t="shared" si="1"/>
        <v>175</v>
      </c>
      <c r="R17" s="121"/>
      <c r="S17" s="62"/>
      <c r="T17" s="122"/>
    </row>
    <row r="18" ht="21.75" customHeight="1">
      <c r="A18" s="85">
        <f t="shared" si="2"/>
        <v>14</v>
      </c>
      <c r="B18" s="132">
        <v>46028.0</v>
      </c>
      <c r="C18" s="149">
        <v>7.0437688E7</v>
      </c>
      <c r="D18" s="149" t="s">
        <v>355</v>
      </c>
      <c r="E18" s="150" t="s">
        <v>356</v>
      </c>
      <c r="F18" s="79" t="s">
        <v>357</v>
      </c>
      <c r="G18" s="79" t="s">
        <v>349</v>
      </c>
      <c r="H18" s="81" t="s">
        <v>104</v>
      </c>
      <c r="I18" s="79"/>
      <c r="J18" s="79">
        <v>175.0</v>
      </c>
      <c r="K18" s="79"/>
      <c r="L18" s="79" t="s">
        <v>80</v>
      </c>
      <c r="M18" s="79" t="s">
        <v>81</v>
      </c>
      <c r="N18" s="82">
        <v>175.0</v>
      </c>
      <c r="O18" s="82"/>
      <c r="P18" s="82" t="s">
        <v>44</v>
      </c>
      <c r="Q18" s="83">
        <f t="shared" si="1"/>
        <v>175</v>
      </c>
      <c r="R18" s="121"/>
      <c r="S18" s="62"/>
      <c r="T18" s="122"/>
    </row>
    <row r="19" ht="21.75" customHeight="1">
      <c r="A19" s="85">
        <f t="shared" si="2"/>
        <v>15</v>
      </c>
      <c r="B19" s="86">
        <v>46027.0</v>
      </c>
      <c r="C19" s="151">
        <v>4.6123466E7</v>
      </c>
      <c r="D19" s="152" t="s">
        <v>358</v>
      </c>
      <c r="E19" s="153" t="s">
        <v>359</v>
      </c>
      <c r="F19" s="154" t="s">
        <v>226</v>
      </c>
      <c r="G19" s="155" t="s">
        <v>360</v>
      </c>
      <c r="H19" s="81"/>
      <c r="I19" s="79" t="s">
        <v>79</v>
      </c>
      <c r="J19" s="79">
        <v>0.0</v>
      </c>
      <c r="K19" s="79"/>
      <c r="L19" s="79" t="s">
        <v>80</v>
      </c>
      <c r="M19" s="79" t="s">
        <v>81</v>
      </c>
      <c r="N19" s="82"/>
      <c r="O19" s="82"/>
      <c r="P19" s="82" t="s">
        <v>50</v>
      </c>
      <c r="Q19" s="83">
        <f t="shared" si="1"/>
        <v>0</v>
      </c>
      <c r="R19" s="121"/>
      <c r="S19" s="62"/>
      <c r="T19" s="122"/>
    </row>
    <row r="20" ht="21.75" customHeight="1">
      <c r="A20" s="85">
        <f t="shared" si="2"/>
        <v>16</v>
      </c>
      <c r="B20" s="94">
        <v>46030.0</v>
      </c>
      <c r="C20" s="89">
        <v>4.6063723E7</v>
      </c>
      <c r="D20" s="156" t="s">
        <v>361</v>
      </c>
      <c r="E20" s="157" t="s">
        <v>362</v>
      </c>
      <c r="F20" s="156" t="s">
        <v>363</v>
      </c>
      <c r="G20" s="79">
        <v>9.48350215E8</v>
      </c>
      <c r="H20" s="81" t="s">
        <v>104</v>
      </c>
      <c r="I20" s="79"/>
      <c r="J20" s="79">
        <v>190.0</v>
      </c>
      <c r="K20" s="79">
        <v>190.0</v>
      </c>
      <c r="L20" s="79" t="s">
        <v>93</v>
      </c>
      <c r="M20" s="79" t="s">
        <v>81</v>
      </c>
      <c r="N20" s="82">
        <v>190.0</v>
      </c>
      <c r="O20" s="82">
        <v>190.0</v>
      </c>
      <c r="P20" s="82" t="s">
        <v>48</v>
      </c>
      <c r="Q20" s="83">
        <f t="shared" si="1"/>
        <v>380</v>
      </c>
      <c r="R20" s="121"/>
      <c r="S20" s="62"/>
      <c r="T20" s="122"/>
    </row>
    <row r="21" ht="21.75" customHeight="1">
      <c r="A21" s="85">
        <f t="shared" si="2"/>
        <v>17</v>
      </c>
      <c r="B21" s="78">
        <v>46029.0</v>
      </c>
      <c r="C21" s="89">
        <v>7.3563073E7</v>
      </c>
      <c r="D21" s="80" t="s">
        <v>364</v>
      </c>
      <c r="E21" s="131" t="s">
        <v>365</v>
      </c>
      <c r="F21" s="79" t="s">
        <v>121</v>
      </c>
      <c r="G21" s="79" t="s">
        <v>366</v>
      </c>
      <c r="H21" s="81"/>
      <c r="I21" s="79" t="s">
        <v>79</v>
      </c>
      <c r="J21" s="79">
        <v>190.0</v>
      </c>
      <c r="K21" s="79"/>
      <c r="L21" s="79" t="s">
        <v>80</v>
      </c>
      <c r="M21" s="79" t="s">
        <v>81</v>
      </c>
      <c r="N21" s="82">
        <v>190.0</v>
      </c>
      <c r="O21" s="82"/>
      <c r="P21" s="82" t="s">
        <v>50</v>
      </c>
      <c r="Q21" s="83">
        <f t="shared" si="1"/>
        <v>190</v>
      </c>
      <c r="R21" s="121"/>
      <c r="S21" s="62"/>
      <c r="T21" s="122"/>
    </row>
    <row r="22" ht="21.75" customHeight="1">
      <c r="A22" s="85">
        <f t="shared" si="2"/>
        <v>18</v>
      </c>
      <c r="B22" s="78">
        <v>46031.0</v>
      </c>
      <c r="C22" s="79">
        <v>7.4743912E7</v>
      </c>
      <c r="D22" s="80" t="s">
        <v>367</v>
      </c>
      <c r="E22" s="79" t="s">
        <v>368</v>
      </c>
      <c r="F22" s="79" t="s">
        <v>167</v>
      </c>
      <c r="G22" s="79" t="s">
        <v>369</v>
      </c>
      <c r="H22" s="81" t="s">
        <v>79</v>
      </c>
      <c r="I22" s="79" t="s">
        <v>79</v>
      </c>
      <c r="J22" s="79">
        <v>180.0</v>
      </c>
      <c r="K22" s="79">
        <v>180.0</v>
      </c>
      <c r="L22" s="79" t="s">
        <v>80</v>
      </c>
      <c r="M22" s="79" t="s">
        <v>278</v>
      </c>
      <c r="N22" s="82">
        <v>180.0</v>
      </c>
      <c r="O22" s="82">
        <v>180.0</v>
      </c>
      <c r="P22" s="82" t="s">
        <v>50</v>
      </c>
      <c r="Q22" s="83">
        <f t="shared" si="1"/>
        <v>360</v>
      </c>
      <c r="R22" s="121"/>
      <c r="S22" s="62"/>
      <c r="T22" s="122"/>
    </row>
    <row r="23" ht="21.75" customHeight="1">
      <c r="A23" s="85">
        <f t="shared" si="2"/>
        <v>19</v>
      </c>
      <c r="B23" s="78">
        <v>46031.0</v>
      </c>
      <c r="C23" s="79">
        <v>4.1552489E7</v>
      </c>
      <c r="D23" s="80" t="s">
        <v>370</v>
      </c>
      <c r="E23" s="79" t="s">
        <v>371</v>
      </c>
      <c r="F23" s="79" t="s">
        <v>272</v>
      </c>
      <c r="G23" s="79" t="s">
        <v>372</v>
      </c>
      <c r="H23" s="81"/>
      <c r="I23" s="79" t="s">
        <v>79</v>
      </c>
      <c r="J23" s="79">
        <v>180.0</v>
      </c>
      <c r="K23" s="79"/>
      <c r="L23" s="79" t="s">
        <v>80</v>
      </c>
      <c r="M23" s="79" t="s">
        <v>174</v>
      </c>
      <c r="N23" s="82">
        <v>180.0</v>
      </c>
      <c r="O23" s="82"/>
      <c r="P23" s="82" t="s">
        <v>50</v>
      </c>
      <c r="Q23" s="83">
        <f t="shared" si="1"/>
        <v>180</v>
      </c>
      <c r="R23" s="121"/>
      <c r="S23" s="62"/>
      <c r="T23" s="122"/>
    </row>
    <row r="24" ht="21.75" customHeight="1">
      <c r="A24" s="85">
        <f t="shared" si="2"/>
        <v>20</v>
      </c>
      <c r="B24" s="78">
        <v>46031.0</v>
      </c>
      <c r="C24" s="79">
        <v>4.1878729E7</v>
      </c>
      <c r="D24" s="80" t="s">
        <v>373</v>
      </c>
      <c r="E24" s="79" t="s">
        <v>374</v>
      </c>
      <c r="F24" s="79" t="s">
        <v>272</v>
      </c>
      <c r="G24" s="79" t="s">
        <v>372</v>
      </c>
      <c r="H24" s="81"/>
      <c r="I24" s="79" t="s">
        <v>79</v>
      </c>
      <c r="J24" s="79">
        <v>180.0</v>
      </c>
      <c r="K24" s="79"/>
      <c r="L24" s="79" t="s">
        <v>80</v>
      </c>
      <c r="M24" s="79" t="s">
        <v>174</v>
      </c>
      <c r="N24" s="82">
        <v>180.0</v>
      </c>
      <c r="O24" s="82"/>
      <c r="P24" s="82" t="s">
        <v>50</v>
      </c>
      <c r="Q24" s="83">
        <f t="shared" si="1"/>
        <v>180</v>
      </c>
      <c r="R24" s="121"/>
      <c r="S24" s="62"/>
      <c r="T24" s="122"/>
    </row>
    <row r="25" ht="21.75" customHeight="1">
      <c r="A25" s="85">
        <f t="shared" si="2"/>
        <v>21</v>
      </c>
      <c r="B25" s="78">
        <v>46031.0</v>
      </c>
      <c r="C25" s="79">
        <v>7.9820823E7</v>
      </c>
      <c r="D25" s="80" t="s">
        <v>375</v>
      </c>
      <c r="E25" s="79" t="s">
        <v>376</v>
      </c>
      <c r="F25" s="79" t="s">
        <v>272</v>
      </c>
      <c r="G25" s="79" t="s">
        <v>372</v>
      </c>
      <c r="H25" s="81"/>
      <c r="I25" s="79" t="s">
        <v>79</v>
      </c>
      <c r="J25" s="79">
        <v>100.0</v>
      </c>
      <c r="K25" s="79"/>
      <c r="L25" s="79" t="s">
        <v>80</v>
      </c>
      <c r="M25" s="79" t="s">
        <v>174</v>
      </c>
      <c r="N25" s="82">
        <v>100.0</v>
      </c>
      <c r="O25" s="82"/>
      <c r="P25" s="82" t="s">
        <v>50</v>
      </c>
      <c r="Q25" s="83">
        <f t="shared" si="1"/>
        <v>100</v>
      </c>
      <c r="R25" s="121"/>
      <c r="S25" s="62"/>
      <c r="T25" s="122"/>
    </row>
    <row r="26" ht="21.75" customHeight="1">
      <c r="A26" s="85">
        <f t="shared" si="2"/>
        <v>22</v>
      </c>
      <c r="B26" s="132">
        <v>46032.0</v>
      </c>
      <c r="C26" s="158">
        <v>4.0371144E7</v>
      </c>
      <c r="D26" s="149" t="s">
        <v>377</v>
      </c>
      <c r="E26" s="131" t="s">
        <v>378</v>
      </c>
      <c r="F26" s="158" t="s">
        <v>379</v>
      </c>
      <c r="G26" s="158" t="s">
        <v>380</v>
      </c>
      <c r="H26" s="159" t="s">
        <v>79</v>
      </c>
      <c r="I26" s="79" t="s">
        <v>79</v>
      </c>
      <c r="J26" s="79">
        <v>380.0</v>
      </c>
      <c r="K26" s="79"/>
      <c r="L26" s="79" t="s">
        <v>80</v>
      </c>
      <c r="M26" s="79" t="s">
        <v>164</v>
      </c>
      <c r="N26" s="82">
        <v>380.0</v>
      </c>
      <c r="O26" s="82"/>
      <c r="P26" s="82" t="s">
        <v>44</v>
      </c>
      <c r="Q26" s="83">
        <f t="shared" si="1"/>
        <v>380</v>
      </c>
      <c r="R26" s="84"/>
      <c r="S26" s="62"/>
      <c r="T26" s="122"/>
    </row>
    <row r="27" ht="21.75" customHeight="1">
      <c r="A27" s="85">
        <f t="shared" si="2"/>
        <v>23</v>
      </c>
      <c r="B27" s="88">
        <v>46030.0</v>
      </c>
      <c r="C27" s="79">
        <v>4.2161125E7</v>
      </c>
      <c r="D27" s="80" t="s">
        <v>381</v>
      </c>
      <c r="E27" s="79"/>
      <c r="F27" s="79"/>
      <c r="G27" s="79"/>
      <c r="H27" s="81" t="s">
        <v>104</v>
      </c>
      <c r="I27" s="79" t="s">
        <v>104</v>
      </c>
      <c r="J27" s="79">
        <v>190.0</v>
      </c>
      <c r="K27" s="79">
        <v>190.0</v>
      </c>
      <c r="L27" s="79" t="s">
        <v>93</v>
      </c>
      <c r="M27" s="79" t="s">
        <v>81</v>
      </c>
      <c r="N27" s="82">
        <v>190.0</v>
      </c>
      <c r="O27" s="82">
        <v>190.0</v>
      </c>
      <c r="P27" s="82" t="s">
        <v>47</v>
      </c>
      <c r="Q27" s="83">
        <f t="shared" si="1"/>
        <v>380</v>
      </c>
      <c r="R27" s="84"/>
      <c r="S27" s="62"/>
      <c r="T27" s="122"/>
    </row>
    <row r="28" ht="21.75" customHeight="1">
      <c r="A28" s="85">
        <f t="shared" si="2"/>
        <v>24</v>
      </c>
      <c r="B28" s="88">
        <v>46032.0</v>
      </c>
      <c r="C28" s="79">
        <v>2.3600914E7</v>
      </c>
      <c r="D28" s="80" t="s">
        <v>382</v>
      </c>
      <c r="E28" s="79"/>
      <c r="F28" s="79"/>
      <c r="G28" s="79"/>
      <c r="H28" s="81"/>
      <c r="I28" s="79" t="s">
        <v>104</v>
      </c>
      <c r="J28" s="79">
        <v>220.0</v>
      </c>
      <c r="K28" s="79"/>
      <c r="L28" s="79" t="s">
        <v>80</v>
      </c>
      <c r="M28" s="79" t="s">
        <v>81</v>
      </c>
      <c r="N28" s="82">
        <v>220.0</v>
      </c>
      <c r="O28" s="82"/>
      <c r="P28" s="82" t="s">
        <v>47</v>
      </c>
      <c r="Q28" s="83">
        <f t="shared" si="1"/>
        <v>220</v>
      </c>
      <c r="R28" s="84"/>
      <c r="S28" s="62"/>
      <c r="T28" s="122"/>
    </row>
    <row r="29" ht="21.75" customHeight="1">
      <c r="A29" s="85">
        <f t="shared" si="2"/>
        <v>25</v>
      </c>
      <c r="B29" s="78">
        <v>46032.0</v>
      </c>
      <c r="C29" s="79">
        <v>4.4204321E7</v>
      </c>
      <c r="D29" s="80" t="s">
        <v>383</v>
      </c>
      <c r="E29" s="79" t="s">
        <v>384</v>
      </c>
      <c r="F29" s="79" t="s">
        <v>96</v>
      </c>
      <c r="G29" s="79" t="s">
        <v>385</v>
      </c>
      <c r="H29" s="81" t="s">
        <v>79</v>
      </c>
      <c r="I29" s="79"/>
      <c r="J29" s="79">
        <v>100.0</v>
      </c>
      <c r="K29" s="79">
        <v>100.0</v>
      </c>
      <c r="L29" s="79" t="s">
        <v>80</v>
      </c>
      <c r="M29" s="79" t="s">
        <v>81</v>
      </c>
      <c r="N29" s="82">
        <v>100.0</v>
      </c>
      <c r="O29" s="82">
        <v>100.0</v>
      </c>
      <c r="P29" s="82" t="s">
        <v>50</v>
      </c>
      <c r="Q29" s="83">
        <f t="shared" si="1"/>
        <v>200</v>
      </c>
      <c r="R29" s="121"/>
      <c r="S29" s="62"/>
      <c r="T29" s="122"/>
    </row>
    <row r="30" ht="21.75" customHeight="1">
      <c r="A30" s="85">
        <f t="shared" si="2"/>
        <v>26</v>
      </c>
      <c r="B30" s="87">
        <v>46033.0</v>
      </c>
      <c r="C30" s="79"/>
      <c r="D30" s="80" t="s">
        <v>313</v>
      </c>
      <c r="E30" s="79"/>
      <c r="F30" s="79"/>
      <c r="G30" s="79"/>
      <c r="H30" s="81" t="s">
        <v>79</v>
      </c>
      <c r="I30" s="79"/>
      <c r="J30" s="79">
        <v>0.0</v>
      </c>
      <c r="K30" s="79"/>
      <c r="L30" s="79" t="s">
        <v>80</v>
      </c>
      <c r="M30" s="79" t="s">
        <v>81</v>
      </c>
      <c r="N30" s="82">
        <v>0.0</v>
      </c>
      <c r="O30" s="82"/>
      <c r="P30" s="82" t="s">
        <v>46</v>
      </c>
      <c r="Q30" s="83">
        <f t="shared" si="1"/>
        <v>0</v>
      </c>
      <c r="R30" s="84"/>
      <c r="S30" s="62"/>
      <c r="T30" s="122"/>
    </row>
    <row r="31" ht="21.75" customHeight="1">
      <c r="A31" s="85">
        <f t="shared" si="2"/>
        <v>27</v>
      </c>
      <c r="B31" s="78">
        <v>46034.0</v>
      </c>
      <c r="C31" s="92" t="s">
        <v>386</v>
      </c>
      <c r="D31" s="80" t="s">
        <v>387</v>
      </c>
      <c r="E31" s="79" t="s">
        <v>388</v>
      </c>
      <c r="F31" s="79" t="s">
        <v>158</v>
      </c>
      <c r="G31" s="79" t="s">
        <v>389</v>
      </c>
      <c r="H31" s="81" t="s">
        <v>79</v>
      </c>
      <c r="I31" s="79"/>
      <c r="J31" s="79">
        <v>180.0</v>
      </c>
      <c r="K31" s="79"/>
      <c r="L31" s="79" t="s">
        <v>80</v>
      </c>
      <c r="M31" s="79" t="s">
        <v>81</v>
      </c>
      <c r="N31" s="82">
        <v>180.0</v>
      </c>
      <c r="O31" s="82"/>
      <c r="P31" s="82" t="s">
        <v>50</v>
      </c>
      <c r="Q31" s="83">
        <f t="shared" si="1"/>
        <v>180</v>
      </c>
      <c r="R31" s="84"/>
      <c r="S31" s="62"/>
      <c r="T31" s="122"/>
    </row>
    <row r="32" ht="21.75" customHeight="1">
      <c r="A32" s="85">
        <f t="shared" si="2"/>
        <v>28</v>
      </c>
      <c r="B32" s="78">
        <v>46034.0</v>
      </c>
      <c r="C32" s="79">
        <v>7.4565573E7</v>
      </c>
      <c r="D32" s="80" t="s">
        <v>390</v>
      </c>
      <c r="E32" s="79" t="s">
        <v>391</v>
      </c>
      <c r="F32" s="79" t="s">
        <v>158</v>
      </c>
      <c r="G32" s="79" t="s">
        <v>389</v>
      </c>
      <c r="H32" s="81" t="s">
        <v>79</v>
      </c>
      <c r="I32" s="79"/>
      <c r="J32" s="79">
        <v>180.0</v>
      </c>
      <c r="K32" s="79"/>
      <c r="L32" s="79" t="s">
        <v>80</v>
      </c>
      <c r="M32" s="79" t="s">
        <v>81</v>
      </c>
      <c r="N32" s="82">
        <v>180.0</v>
      </c>
      <c r="O32" s="82"/>
      <c r="P32" s="82" t="s">
        <v>50</v>
      </c>
      <c r="Q32" s="83">
        <f t="shared" si="1"/>
        <v>180</v>
      </c>
      <c r="R32" s="84"/>
      <c r="S32" s="62"/>
      <c r="T32" s="122"/>
    </row>
    <row r="33" ht="21.75" customHeight="1">
      <c r="A33" s="85">
        <f t="shared" si="2"/>
        <v>29</v>
      </c>
      <c r="B33" s="86">
        <v>46034.0</v>
      </c>
      <c r="C33" s="160" t="s">
        <v>392</v>
      </c>
      <c r="D33" s="80" t="s">
        <v>393</v>
      </c>
      <c r="E33" s="79" t="s">
        <v>394</v>
      </c>
      <c r="F33" s="79" t="s">
        <v>395</v>
      </c>
      <c r="G33" s="161" t="s">
        <v>396</v>
      </c>
      <c r="H33" s="81"/>
      <c r="I33" s="79" t="s">
        <v>79</v>
      </c>
      <c r="J33" s="79">
        <v>100.0</v>
      </c>
      <c r="K33" s="79">
        <v>100.0</v>
      </c>
      <c r="L33" s="79" t="s">
        <v>93</v>
      </c>
      <c r="M33" s="79" t="s">
        <v>81</v>
      </c>
      <c r="N33" s="82">
        <v>100.0</v>
      </c>
      <c r="O33" s="82">
        <v>100.0</v>
      </c>
      <c r="P33" s="82" t="s">
        <v>45</v>
      </c>
      <c r="Q33" s="83">
        <f t="shared" si="1"/>
        <v>200</v>
      </c>
      <c r="R33" s="84"/>
      <c r="S33" s="62"/>
      <c r="T33" s="122"/>
    </row>
    <row r="34" ht="21.75" customHeight="1">
      <c r="A34" s="85">
        <f t="shared" si="2"/>
        <v>30</v>
      </c>
      <c r="B34" s="94">
        <v>46034.0</v>
      </c>
      <c r="C34" s="162">
        <v>7.0342491E7</v>
      </c>
      <c r="D34" s="163" t="s">
        <v>397</v>
      </c>
      <c r="E34" s="79" t="s">
        <v>398</v>
      </c>
      <c r="F34" s="79" t="s">
        <v>399</v>
      </c>
      <c r="G34" s="79">
        <v>9.87552563E8</v>
      </c>
      <c r="H34" s="81" t="s">
        <v>79</v>
      </c>
      <c r="I34" s="79"/>
      <c r="J34" s="79">
        <v>180.0</v>
      </c>
      <c r="K34" s="79">
        <v>180.0</v>
      </c>
      <c r="L34" s="79" t="s">
        <v>93</v>
      </c>
      <c r="M34" s="79" t="s">
        <v>143</v>
      </c>
      <c r="N34" s="82">
        <v>180.0</v>
      </c>
      <c r="O34" s="82">
        <v>165.0</v>
      </c>
      <c r="P34" s="82" t="s">
        <v>48</v>
      </c>
      <c r="Q34" s="83">
        <f t="shared" si="1"/>
        <v>345</v>
      </c>
      <c r="R34" s="84"/>
      <c r="S34" s="62"/>
      <c r="T34" s="122"/>
    </row>
    <row r="35" ht="21.75" customHeight="1">
      <c r="A35" s="85">
        <f t="shared" si="2"/>
        <v>31</v>
      </c>
      <c r="B35" s="88">
        <v>46034.0</v>
      </c>
      <c r="C35" s="164">
        <v>7.4711615E7</v>
      </c>
      <c r="D35" s="163" t="s">
        <v>400</v>
      </c>
      <c r="E35" s="79"/>
      <c r="F35" s="79"/>
      <c r="G35" s="79"/>
      <c r="H35" s="81" t="s">
        <v>104</v>
      </c>
      <c r="I35" s="79" t="s">
        <v>104</v>
      </c>
      <c r="J35" s="79">
        <v>350.0</v>
      </c>
      <c r="K35" s="79" t="s">
        <v>71</v>
      </c>
      <c r="L35" s="79" t="s">
        <v>80</v>
      </c>
      <c r="M35" s="79" t="s">
        <v>81</v>
      </c>
      <c r="N35" s="82">
        <v>350.0</v>
      </c>
      <c r="O35" s="82"/>
      <c r="P35" s="82" t="s">
        <v>47</v>
      </c>
      <c r="Q35" s="83">
        <f t="shared" si="1"/>
        <v>350</v>
      </c>
      <c r="R35" s="121"/>
      <c r="S35" s="62"/>
      <c r="T35" s="122"/>
    </row>
    <row r="36" ht="21.75" customHeight="1">
      <c r="A36" s="85">
        <f t="shared" si="2"/>
        <v>32</v>
      </c>
      <c r="B36" s="88">
        <v>46034.0</v>
      </c>
      <c r="C36" s="79"/>
      <c r="D36" s="80" t="s">
        <v>401</v>
      </c>
      <c r="E36" s="79"/>
      <c r="F36" s="79"/>
      <c r="G36" s="79"/>
      <c r="H36" s="81" t="s">
        <v>104</v>
      </c>
      <c r="I36" s="79" t="s">
        <v>104</v>
      </c>
      <c r="J36" s="79">
        <v>350.0</v>
      </c>
      <c r="K36" s="79"/>
      <c r="L36" s="79" t="s">
        <v>80</v>
      </c>
      <c r="M36" s="79" t="s">
        <v>81</v>
      </c>
      <c r="N36" s="82">
        <v>350.0</v>
      </c>
      <c r="O36" s="82"/>
      <c r="P36" s="82" t="s">
        <v>47</v>
      </c>
      <c r="Q36" s="83">
        <f t="shared" si="1"/>
        <v>350</v>
      </c>
      <c r="R36" s="84"/>
      <c r="S36" s="62"/>
      <c r="T36" s="122"/>
    </row>
    <row r="37" ht="21.75" customHeight="1">
      <c r="A37" s="85">
        <f t="shared" si="2"/>
        <v>33</v>
      </c>
      <c r="B37" s="88">
        <v>46032.0</v>
      </c>
      <c r="C37" s="79"/>
      <c r="D37" s="80" t="s">
        <v>402</v>
      </c>
      <c r="E37" s="79"/>
      <c r="F37" s="79"/>
      <c r="G37" s="79"/>
      <c r="H37" s="81" t="s">
        <v>104</v>
      </c>
      <c r="I37" s="79" t="s">
        <v>104</v>
      </c>
      <c r="J37" s="79">
        <v>200.0</v>
      </c>
      <c r="K37" s="79">
        <v>180.0</v>
      </c>
      <c r="L37" s="79" t="s">
        <v>93</v>
      </c>
      <c r="M37" s="79" t="s">
        <v>81</v>
      </c>
      <c r="N37" s="82">
        <v>200.0</v>
      </c>
      <c r="O37" s="82">
        <v>180.0</v>
      </c>
      <c r="P37" s="82" t="s">
        <v>47</v>
      </c>
      <c r="Q37" s="83">
        <f t="shared" si="1"/>
        <v>380</v>
      </c>
      <c r="R37" s="84"/>
      <c r="S37" s="62"/>
      <c r="T37" s="122"/>
    </row>
    <row r="38" ht="21.75" customHeight="1">
      <c r="A38" s="85">
        <f t="shared" si="2"/>
        <v>34</v>
      </c>
      <c r="B38" s="165"/>
      <c r="C38" s="79"/>
      <c r="D38" s="80"/>
      <c r="E38" s="79"/>
      <c r="F38" s="79"/>
      <c r="G38" s="79"/>
      <c r="H38" s="81"/>
      <c r="I38" s="79"/>
      <c r="J38" s="79"/>
      <c r="K38" s="79"/>
      <c r="L38" s="79"/>
      <c r="M38" s="79"/>
      <c r="N38" s="82">
        <v>0.0</v>
      </c>
      <c r="O38" s="82"/>
      <c r="P38" s="82" t="s">
        <v>45</v>
      </c>
      <c r="Q38" s="83">
        <f t="shared" si="1"/>
        <v>0</v>
      </c>
      <c r="R38" s="84"/>
      <c r="S38" s="62"/>
      <c r="T38" s="122"/>
    </row>
    <row r="39" ht="21.75" customHeight="1">
      <c r="A39" s="85">
        <f t="shared" si="2"/>
        <v>35</v>
      </c>
      <c r="B39" s="94">
        <v>46034.0</v>
      </c>
      <c r="C39" s="79">
        <v>4.819484E7</v>
      </c>
      <c r="D39" s="80" t="s">
        <v>403</v>
      </c>
      <c r="E39" s="91" t="s">
        <v>404</v>
      </c>
      <c r="F39" s="79" t="s">
        <v>405</v>
      </c>
      <c r="G39" s="79" t="s">
        <v>406</v>
      </c>
      <c r="H39" s="81" t="s">
        <v>79</v>
      </c>
      <c r="I39" s="79"/>
      <c r="J39" s="79">
        <v>100.0</v>
      </c>
      <c r="K39" s="79">
        <v>100.0</v>
      </c>
      <c r="L39" s="79" t="s">
        <v>93</v>
      </c>
      <c r="M39" s="79" t="s">
        <v>81</v>
      </c>
      <c r="N39" s="82">
        <v>100.0</v>
      </c>
      <c r="O39" s="82">
        <v>100.0</v>
      </c>
      <c r="P39" s="82" t="s">
        <v>48</v>
      </c>
      <c r="Q39" s="83">
        <f t="shared" si="1"/>
        <v>200</v>
      </c>
      <c r="R39" s="121"/>
      <c r="S39" s="62"/>
      <c r="T39" s="122"/>
    </row>
    <row r="40" ht="21.75" customHeight="1">
      <c r="A40" s="85">
        <f t="shared" si="2"/>
        <v>36</v>
      </c>
      <c r="B40" s="88">
        <v>46024.0</v>
      </c>
      <c r="C40" s="79"/>
      <c r="D40" s="80" t="s">
        <v>150</v>
      </c>
      <c r="E40" s="79"/>
      <c r="F40" s="79"/>
      <c r="G40" s="79"/>
      <c r="H40" s="81"/>
      <c r="I40" s="79" t="s">
        <v>104</v>
      </c>
      <c r="J40" s="79">
        <v>190.0</v>
      </c>
      <c r="K40" s="79"/>
      <c r="L40" s="79" t="s">
        <v>80</v>
      </c>
      <c r="M40" s="79" t="s">
        <v>81</v>
      </c>
      <c r="N40" s="82">
        <v>190.0</v>
      </c>
      <c r="O40" s="82"/>
      <c r="P40" s="82" t="s">
        <v>47</v>
      </c>
      <c r="Q40" s="83">
        <f t="shared" si="1"/>
        <v>190</v>
      </c>
      <c r="R40" s="121"/>
      <c r="S40" s="62"/>
      <c r="T40" s="122"/>
    </row>
    <row r="41" ht="21.75" customHeight="1">
      <c r="A41" s="85">
        <f t="shared" si="2"/>
        <v>37</v>
      </c>
      <c r="B41" s="88">
        <v>46024.0</v>
      </c>
      <c r="C41" s="79"/>
      <c r="D41" s="80" t="s">
        <v>150</v>
      </c>
      <c r="E41" s="79"/>
      <c r="F41" s="79"/>
      <c r="G41" s="79"/>
      <c r="H41" s="81"/>
      <c r="I41" s="79" t="s">
        <v>104</v>
      </c>
      <c r="J41" s="79">
        <v>190.0</v>
      </c>
      <c r="K41" s="79"/>
      <c r="L41" s="79" t="s">
        <v>80</v>
      </c>
      <c r="M41" s="79" t="s">
        <v>81</v>
      </c>
      <c r="N41" s="82">
        <v>190.0</v>
      </c>
      <c r="O41" s="82"/>
      <c r="P41" s="82" t="s">
        <v>47</v>
      </c>
      <c r="Q41" s="83">
        <f t="shared" si="1"/>
        <v>190</v>
      </c>
      <c r="R41" s="121"/>
      <c r="S41" s="62"/>
      <c r="T41" s="122"/>
    </row>
    <row r="42" ht="21.75" customHeight="1">
      <c r="A42" s="85">
        <f t="shared" si="2"/>
        <v>38</v>
      </c>
      <c r="B42" s="78">
        <v>46035.0</v>
      </c>
      <c r="C42" s="79">
        <v>4.757596E7</v>
      </c>
      <c r="D42" s="80" t="s">
        <v>407</v>
      </c>
      <c r="E42" s="79" t="s">
        <v>408</v>
      </c>
      <c r="F42" s="79" t="s">
        <v>409</v>
      </c>
      <c r="G42" s="79" t="s">
        <v>410</v>
      </c>
      <c r="H42" s="81" t="s">
        <v>79</v>
      </c>
      <c r="I42" s="79"/>
      <c r="J42" s="79">
        <v>190.0</v>
      </c>
      <c r="K42" s="79"/>
      <c r="L42" s="79" t="s">
        <v>80</v>
      </c>
      <c r="M42" s="79" t="s">
        <v>81</v>
      </c>
      <c r="N42" s="82">
        <v>190.0</v>
      </c>
      <c r="O42" s="82"/>
      <c r="P42" s="82" t="s">
        <v>50</v>
      </c>
      <c r="Q42" s="83">
        <f t="shared" si="1"/>
        <v>190</v>
      </c>
      <c r="R42" s="121"/>
      <c r="S42" s="62"/>
      <c r="T42" s="122"/>
    </row>
    <row r="43" ht="21.75" customHeight="1">
      <c r="A43" s="85">
        <f t="shared" si="2"/>
        <v>39</v>
      </c>
      <c r="B43" s="78">
        <v>46035.0</v>
      </c>
      <c r="C43" s="79">
        <v>7.2774551E7</v>
      </c>
      <c r="D43" s="80" t="s">
        <v>411</v>
      </c>
      <c r="E43" s="79" t="s">
        <v>412</v>
      </c>
      <c r="F43" s="79" t="s">
        <v>190</v>
      </c>
      <c r="G43" s="79" t="s">
        <v>413</v>
      </c>
      <c r="H43" s="81" t="s">
        <v>79</v>
      </c>
      <c r="I43" s="79"/>
      <c r="J43" s="79">
        <v>180.0</v>
      </c>
      <c r="K43" s="79"/>
      <c r="L43" s="79" t="s">
        <v>80</v>
      </c>
      <c r="M43" s="79" t="s">
        <v>81</v>
      </c>
      <c r="N43" s="82">
        <v>180.0</v>
      </c>
      <c r="O43" s="82"/>
      <c r="P43" s="82" t="s">
        <v>50</v>
      </c>
      <c r="Q43" s="83">
        <f t="shared" si="1"/>
        <v>180</v>
      </c>
      <c r="R43" s="121"/>
      <c r="S43" s="62"/>
      <c r="T43" s="122"/>
    </row>
    <row r="44" ht="21.75" customHeight="1">
      <c r="A44" s="85">
        <f t="shared" si="2"/>
        <v>40</v>
      </c>
      <c r="B44" s="78">
        <v>46035.0</v>
      </c>
      <c r="C44" s="79">
        <v>6.1066668E7</v>
      </c>
      <c r="D44" s="80" t="s">
        <v>414</v>
      </c>
      <c r="E44" s="166" t="s">
        <v>415</v>
      </c>
      <c r="F44" s="79" t="s">
        <v>190</v>
      </c>
      <c r="G44" s="79" t="s">
        <v>413</v>
      </c>
      <c r="H44" s="81" t="s">
        <v>79</v>
      </c>
      <c r="I44" s="79"/>
      <c r="J44" s="79">
        <v>180.0</v>
      </c>
      <c r="K44" s="79"/>
      <c r="L44" s="79" t="s">
        <v>80</v>
      </c>
      <c r="M44" s="79" t="s">
        <v>81</v>
      </c>
      <c r="N44" s="82">
        <v>180.0</v>
      </c>
      <c r="O44" s="82"/>
      <c r="P44" s="82" t="s">
        <v>50</v>
      </c>
      <c r="Q44" s="83">
        <f t="shared" si="1"/>
        <v>180</v>
      </c>
      <c r="R44" s="121"/>
      <c r="S44" s="62"/>
      <c r="T44" s="122"/>
    </row>
    <row r="45" ht="21.75" customHeight="1">
      <c r="A45" s="85">
        <f t="shared" si="2"/>
        <v>41</v>
      </c>
      <c r="B45" s="88">
        <v>46035.0</v>
      </c>
      <c r="C45" s="79">
        <v>4.251608E7</v>
      </c>
      <c r="D45" s="80" t="s">
        <v>416</v>
      </c>
      <c r="E45" s="79"/>
      <c r="F45" s="79"/>
      <c r="G45" s="79"/>
      <c r="H45" s="81" t="s">
        <v>104</v>
      </c>
      <c r="I45" s="79"/>
      <c r="J45" s="79">
        <v>190.0</v>
      </c>
      <c r="K45" s="79"/>
      <c r="L45" s="79" t="s">
        <v>80</v>
      </c>
      <c r="M45" s="79" t="s">
        <v>81</v>
      </c>
      <c r="N45" s="82">
        <v>190.0</v>
      </c>
      <c r="O45" s="82"/>
      <c r="P45" s="82" t="s">
        <v>47</v>
      </c>
      <c r="Q45" s="83">
        <f t="shared" si="1"/>
        <v>190</v>
      </c>
      <c r="R45" s="121"/>
      <c r="S45" s="62"/>
      <c r="T45" s="122"/>
    </row>
    <row r="46" ht="21.75" customHeight="1">
      <c r="A46" s="85">
        <f t="shared" si="2"/>
        <v>42</v>
      </c>
      <c r="B46" s="88">
        <v>46035.0</v>
      </c>
      <c r="C46" s="79">
        <v>4.105249E7</v>
      </c>
      <c r="D46" s="80" t="s">
        <v>417</v>
      </c>
      <c r="E46" s="79"/>
      <c r="F46" s="79"/>
      <c r="G46" s="79"/>
      <c r="H46" s="81" t="s">
        <v>104</v>
      </c>
      <c r="I46" s="79"/>
      <c r="J46" s="79">
        <v>190.0</v>
      </c>
      <c r="K46" s="79"/>
      <c r="L46" s="79" t="s">
        <v>80</v>
      </c>
      <c r="M46" s="79" t="s">
        <v>81</v>
      </c>
      <c r="N46" s="82">
        <v>190.0</v>
      </c>
      <c r="O46" s="82"/>
      <c r="P46" s="82" t="s">
        <v>47</v>
      </c>
      <c r="Q46" s="83">
        <f t="shared" si="1"/>
        <v>190</v>
      </c>
      <c r="R46" s="121"/>
      <c r="S46" s="62"/>
      <c r="T46" s="122"/>
    </row>
    <row r="47" ht="21.75" customHeight="1">
      <c r="A47" s="85">
        <f t="shared" si="2"/>
        <v>43</v>
      </c>
      <c r="B47" s="78">
        <v>46035.0</v>
      </c>
      <c r="C47" s="79">
        <v>1.0302642E7</v>
      </c>
      <c r="D47" s="80" t="s">
        <v>418</v>
      </c>
      <c r="E47" s="79" t="s">
        <v>419</v>
      </c>
      <c r="F47" s="79" t="s">
        <v>121</v>
      </c>
      <c r="G47" s="79" t="s">
        <v>420</v>
      </c>
      <c r="H47" s="81"/>
      <c r="I47" s="79" t="s">
        <v>79</v>
      </c>
      <c r="J47" s="79">
        <v>100.0</v>
      </c>
      <c r="K47" s="79">
        <v>100.0</v>
      </c>
      <c r="L47" s="79" t="s">
        <v>93</v>
      </c>
      <c r="M47" s="79" t="s">
        <v>81</v>
      </c>
      <c r="N47" s="82">
        <v>100.0</v>
      </c>
      <c r="O47" s="82">
        <v>100.0</v>
      </c>
      <c r="P47" s="82" t="s">
        <v>50</v>
      </c>
      <c r="Q47" s="83">
        <f t="shared" si="1"/>
        <v>200</v>
      </c>
      <c r="R47" s="121"/>
      <c r="S47" s="62"/>
      <c r="T47" s="122"/>
    </row>
    <row r="48" ht="21.75" customHeight="1">
      <c r="A48" s="85">
        <f t="shared" si="2"/>
        <v>44</v>
      </c>
      <c r="B48" s="88">
        <v>46035.0</v>
      </c>
      <c r="C48" s="79" t="s">
        <v>421</v>
      </c>
      <c r="D48" s="80" t="s">
        <v>422</v>
      </c>
      <c r="E48" s="79" t="s">
        <v>423</v>
      </c>
      <c r="F48" s="79"/>
      <c r="G48" s="79"/>
      <c r="H48" s="81" t="s">
        <v>104</v>
      </c>
      <c r="I48" s="79" t="s">
        <v>104</v>
      </c>
      <c r="J48" s="79">
        <v>360.0</v>
      </c>
      <c r="K48" s="79"/>
      <c r="L48" s="79" t="s">
        <v>80</v>
      </c>
      <c r="M48" s="79" t="s">
        <v>81</v>
      </c>
      <c r="N48" s="82">
        <v>360.0</v>
      </c>
      <c r="O48" s="82"/>
      <c r="P48" s="82" t="s">
        <v>47</v>
      </c>
      <c r="Q48" s="83">
        <f t="shared" si="1"/>
        <v>360</v>
      </c>
      <c r="R48" s="121"/>
      <c r="S48" s="62"/>
      <c r="T48" s="122"/>
    </row>
    <row r="49" ht="21.75" customHeight="1">
      <c r="A49" s="85">
        <f t="shared" si="2"/>
        <v>45</v>
      </c>
      <c r="B49" s="132">
        <v>46035.0</v>
      </c>
      <c r="C49" s="79">
        <v>7.3136673E7</v>
      </c>
      <c r="D49" s="80" t="s">
        <v>424</v>
      </c>
      <c r="E49" s="79" t="s">
        <v>425</v>
      </c>
      <c r="F49" s="79" t="s">
        <v>352</v>
      </c>
      <c r="G49" s="79"/>
      <c r="H49" s="81"/>
      <c r="I49" s="79" t="s">
        <v>104</v>
      </c>
      <c r="J49" s="79">
        <v>190.0</v>
      </c>
      <c r="K49" s="79"/>
      <c r="L49" s="79" t="s">
        <v>80</v>
      </c>
      <c r="M49" s="79"/>
      <c r="N49" s="82">
        <v>190.0</v>
      </c>
      <c r="O49" s="82"/>
      <c r="P49" s="82" t="s">
        <v>44</v>
      </c>
      <c r="Q49" s="83">
        <f t="shared" si="1"/>
        <v>190</v>
      </c>
      <c r="R49" s="121"/>
      <c r="S49" s="62"/>
      <c r="T49" s="122"/>
    </row>
    <row r="50" ht="21.75" customHeight="1">
      <c r="A50" s="85">
        <f t="shared" si="2"/>
        <v>46</v>
      </c>
      <c r="B50" s="132">
        <v>46035.0</v>
      </c>
      <c r="C50" s="79">
        <v>7.3136674E7</v>
      </c>
      <c r="D50" s="80" t="s">
        <v>426</v>
      </c>
      <c r="E50" s="79" t="s">
        <v>425</v>
      </c>
      <c r="F50" s="79" t="s">
        <v>427</v>
      </c>
      <c r="G50" s="79"/>
      <c r="H50" s="81"/>
      <c r="I50" s="79" t="s">
        <v>104</v>
      </c>
      <c r="J50" s="79">
        <v>190.0</v>
      </c>
      <c r="K50" s="79"/>
      <c r="L50" s="79" t="s">
        <v>80</v>
      </c>
      <c r="M50" s="79"/>
      <c r="N50" s="82">
        <v>190.0</v>
      </c>
      <c r="O50" s="82"/>
      <c r="P50" s="82" t="s">
        <v>44</v>
      </c>
      <c r="Q50" s="83">
        <f t="shared" si="1"/>
        <v>190</v>
      </c>
      <c r="R50" s="121"/>
      <c r="S50" s="62"/>
      <c r="T50" s="122"/>
    </row>
    <row r="51" ht="21.75" customHeight="1">
      <c r="A51" s="85">
        <f t="shared" si="2"/>
        <v>47</v>
      </c>
      <c r="B51" s="167">
        <v>46036.0</v>
      </c>
      <c r="C51" s="79">
        <v>2.113436E7</v>
      </c>
      <c r="D51" s="90" t="s">
        <v>428</v>
      </c>
      <c r="E51" s="79"/>
      <c r="F51" s="79" t="s">
        <v>429</v>
      </c>
      <c r="G51" s="79"/>
      <c r="H51" s="81" t="s">
        <v>104</v>
      </c>
      <c r="I51" s="79" t="s">
        <v>104</v>
      </c>
      <c r="J51" s="79">
        <v>200.0</v>
      </c>
      <c r="K51" s="79">
        <v>180.0</v>
      </c>
      <c r="L51" s="79" t="s">
        <v>93</v>
      </c>
      <c r="M51" s="79" t="s">
        <v>81</v>
      </c>
      <c r="N51" s="82">
        <v>200.0</v>
      </c>
      <c r="O51" s="82">
        <v>180.0</v>
      </c>
      <c r="P51" s="82" t="s">
        <v>47</v>
      </c>
      <c r="Q51" s="83">
        <f t="shared" si="1"/>
        <v>380</v>
      </c>
      <c r="R51" s="121"/>
      <c r="S51" s="62"/>
      <c r="T51" s="122"/>
    </row>
    <row r="52" ht="21.75" customHeight="1">
      <c r="A52" s="85">
        <f t="shared" si="2"/>
        <v>48</v>
      </c>
      <c r="B52" s="86">
        <v>46036.0</v>
      </c>
      <c r="C52" s="79">
        <v>7.2616355E7</v>
      </c>
      <c r="D52" s="90" t="s">
        <v>430</v>
      </c>
      <c r="E52" s="79" t="s">
        <v>431</v>
      </c>
      <c r="F52" s="79" t="s">
        <v>211</v>
      </c>
      <c r="G52" s="79" t="s">
        <v>432</v>
      </c>
      <c r="H52" s="81" t="s">
        <v>79</v>
      </c>
      <c r="I52" s="79"/>
      <c r="J52" s="79"/>
      <c r="K52" s="79"/>
      <c r="L52" s="79"/>
      <c r="M52" s="79"/>
      <c r="N52" s="82"/>
      <c r="O52" s="82"/>
      <c r="P52" s="82"/>
      <c r="Q52" s="83">
        <f t="shared" si="1"/>
        <v>0</v>
      </c>
      <c r="R52" s="121"/>
      <c r="S52" s="62"/>
      <c r="T52" s="122"/>
    </row>
    <row r="53" ht="21.75" customHeight="1">
      <c r="A53" s="85">
        <f t="shared" si="2"/>
        <v>49</v>
      </c>
      <c r="B53" s="167">
        <v>46036.0</v>
      </c>
      <c r="C53" s="79">
        <v>4.8131311E7</v>
      </c>
      <c r="D53" s="80" t="s">
        <v>433</v>
      </c>
      <c r="E53" s="79"/>
      <c r="F53" s="79"/>
      <c r="G53" s="79"/>
      <c r="H53" s="81" t="s">
        <v>104</v>
      </c>
      <c r="I53" s="79" t="s">
        <v>104</v>
      </c>
      <c r="J53" s="79">
        <v>150.0</v>
      </c>
      <c r="K53" s="79">
        <v>210.0</v>
      </c>
      <c r="L53" s="79" t="s">
        <v>93</v>
      </c>
      <c r="M53" s="79" t="s">
        <v>81</v>
      </c>
      <c r="N53" s="82">
        <v>150.0</v>
      </c>
      <c r="O53" s="82">
        <v>210.0</v>
      </c>
      <c r="P53" s="82" t="s">
        <v>47</v>
      </c>
      <c r="Q53" s="83">
        <f t="shared" si="1"/>
        <v>360</v>
      </c>
      <c r="R53" s="121"/>
      <c r="S53" s="62"/>
      <c r="T53" s="122"/>
    </row>
    <row r="54" ht="21.75" customHeight="1">
      <c r="A54" s="85">
        <f t="shared" si="2"/>
        <v>50</v>
      </c>
      <c r="B54" s="167">
        <v>46036.0</v>
      </c>
      <c r="C54" s="79">
        <v>2.2314008E7</v>
      </c>
      <c r="D54" s="80" t="s">
        <v>434</v>
      </c>
      <c r="E54" s="79"/>
      <c r="F54" s="79"/>
      <c r="G54" s="79"/>
      <c r="H54" s="81"/>
      <c r="I54" s="79" t="s">
        <v>104</v>
      </c>
      <c r="J54" s="79">
        <v>150.0</v>
      </c>
      <c r="K54" s="79">
        <v>300.0</v>
      </c>
      <c r="L54" s="79" t="s">
        <v>93</v>
      </c>
      <c r="M54" s="79" t="s">
        <v>81</v>
      </c>
      <c r="N54" s="82">
        <v>150.0</v>
      </c>
      <c r="O54" s="82">
        <v>300.0</v>
      </c>
      <c r="P54" s="82" t="s">
        <v>47</v>
      </c>
      <c r="Q54" s="83">
        <f t="shared" si="1"/>
        <v>450</v>
      </c>
      <c r="R54" s="121"/>
      <c r="S54" s="62"/>
      <c r="T54" s="122"/>
    </row>
    <row r="55" ht="21.75" customHeight="1">
      <c r="A55" s="85">
        <f t="shared" si="2"/>
        <v>51</v>
      </c>
      <c r="B55" s="86">
        <v>46037.0</v>
      </c>
      <c r="C55" s="151">
        <v>4.1590522E7</v>
      </c>
      <c r="D55" s="151" t="s">
        <v>435</v>
      </c>
      <c r="E55" s="168" t="s">
        <v>436</v>
      </c>
      <c r="F55" s="168" t="s">
        <v>437</v>
      </c>
      <c r="G55" s="154" t="s">
        <v>438</v>
      </c>
      <c r="H55" s="81"/>
      <c r="I55" s="79" t="s">
        <v>79</v>
      </c>
      <c r="J55" s="79">
        <v>185.0</v>
      </c>
      <c r="K55" s="79">
        <v>150.0</v>
      </c>
      <c r="L55" s="79" t="s">
        <v>93</v>
      </c>
      <c r="M55" s="79" t="s">
        <v>81</v>
      </c>
      <c r="N55" s="82">
        <v>185.0</v>
      </c>
      <c r="O55" s="82">
        <v>150.0</v>
      </c>
      <c r="P55" s="82" t="s">
        <v>45</v>
      </c>
      <c r="Q55" s="83">
        <f t="shared" si="1"/>
        <v>335</v>
      </c>
      <c r="R55" s="121"/>
      <c r="S55" s="62"/>
      <c r="T55" s="122"/>
    </row>
    <row r="56" ht="21.75" customHeight="1">
      <c r="A56" s="85">
        <f t="shared" si="2"/>
        <v>52</v>
      </c>
      <c r="B56" s="86">
        <v>46037.0</v>
      </c>
      <c r="C56" s="151">
        <v>4.2689847E7</v>
      </c>
      <c r="D56" s="151" t="s">
        <v>439</v>
      </c>
      <c r="E56" s="168" t="s">
        <v>440</v>
      </c>
      <c r="F56" s="168" t="s">
        <v>437</v>
      </c>
      <c r="G56" s="154"/>
      <c r="H56" s="81"/>
      <c r="I56" s="79" t="s">
        <v>79</v>
      </c>
      <c r="J56" s="79">
        <v>185.0</v>
      </c>
      <c r="K56" s="79">
        <v>150.0</v>
      </c>
      <c r="L56" s="79" t="s">
        <v>93</v>
      </c>
      <c r="M56" s="79" t="s">
        <v>81</v>
      </c>
      <c r="N56" s="82">
        <v>185.0</v>
      </c>
      <c r="O56" s="82">
        <v>150.0</v>
      </c>
      <c r="P56" s="82" t="s">
        <v>45</v>
      </c>
      <c r="Q56" s="83">
        <f t="shared" si="1"/>
        <v>335</v>
      </c>
      <c r="R56" s="121"/>
      <c r="S56" s="62"/>
      <c r="T56" s="122"/>
    </row>
    <row r="57" ht="21.75" customHeight="1">
      <c r="A57" s="85">
        <f t="shared" si="2"/>
        <v>53</v>
      </c>
      <c r="B57" s="87"/>
      <c r="C57" s="79"/>
      <c r="D57" s="80"/>
      <c r="E57" s="79"/>
      <c r="F57" s="79"/>
      <c r="G57" s="79"/>
      <c r="H57" s="81"/>
      <c r="I57" s="79"/>
      <c r="J57" s="79"/>
      <c r="K57" s="79"/>
      <c r="L57" s="79"/>
      <c r="M57" s="79"/>
      <c r="N57" s="82"/>
      <c r="O57" s="82"/>
      <c r="P57" s="82"/>
      <c r="Q57" s="83">
        <f t="shared" si="1"/>
        <v>0</v>
      </c>
      <c r="R57" s="121"/>
      <c r="S57" s="62"/>
      <c r="T57" s="122"/>
    </row>
    <row r="58" ht="21.75" customHeight="1">
      <c r="A58" s="85">
        <f t="shared" si="2"/>
        <v>54</v>
      </c>
      <c r="B58" s="87"/>
      <c r="C58" s="79"/>
      <c r="D58" s="80"/>
      <c r="E58" s="79"/>
      <c r="F58" s="79"/>
      <c r="G58" s="79"/>
      <c r="H58" s="81"/>
      <c r="I58" s="79"/>
      <c r="J58" s="79"/>
      <c r="K58" s="79"/>
      <c r="L58" s="79"/>
      <c r="M58" s="79"/>
      <c r="N58" s="82"/>
      <c r="O58" s="82"/>
      <c r="P58" s="82"/>
      <c r="Q58" s="83">
        <f t="shared" si="1"/>
        <v>0</v>
      </c>
      <c r="R58" s="121"/>
      <c r="S58" s="62"/>
      <c r="T58" s="122"/>
    </row>
    <row r="59" ht="21.75" customHeight="1">
      <c r="A59" s="85">
        <f t="shared" si="2"/>
        <v>55</v>
      </c>
      <c r="B59" s="87"/>
      <c r="C59" s="79"/>
      <c r="D59" s="80"/>
      <c r="E59" s="79"/>
      <c r="F59" s="79"/>
      <c r="G59" s="79"/>
      <c r="H59" s="81"/>
      <c r="I59" s="79"/>
      <c r="J59" s="79"/>
      <c r="K59" s="79"/>
      <c r="L59" s="79"/>
      <c r="M59" s="79"/>
      <c r="N59" s="82"/>
      <c r="O59" s="82"/>
      <c r="P59" s="82"/>
      <c r="Q59" s="83">
        <f t="shared" si="1"/>
        <v>0</v>
      </c>
      <c r="R59" s="121"/>
      <c r="S59" s="62"/>
      <c r="T59" s="122"/>
    </row>
    <row r="60" ht="21.75" customHeight="1">
      <c r="A60" s="85">
        <f t="shared" si="2"/>
        <v>56</v>
      </c>
      <c r="B60" s="87"/>
      <c r="C60" s="79"/>
      <c r="D60" s="80"/>
      <c r="E60" s="79"/>
      <c r="F60" s="79"/>
      <c r="G60" s="79"/>
      <c r="H60" s="81"/>
      <c r="I60" s="79"/>
      <c r="J60" s="79"/>
      <c r="K60" s="79"/>
      <c r="L60" s="79"/>
      <c r="M60" s="79"/>
      <c r="N60" s="82"/>
      <c r="O60" s="82"/>
      <c r="P60" s="82"/>
      <c r="Q60" s="83">
        <f t="shared" si="1"/>
        <v>0</v>
      </c>
      <c r="R60" s="121"/>
      <c r="S60" s="62"/>
      <c r="T60" s="122"/>
    </row>
    <row r="61" ht="21.75" customHeight="1">
      <c r="A61" s="85">
        <f t="shared" si="2"/>
        <v>57</v>
      </c>
      <c r="B61" s="87"/>
      <c r="C61" s="79"/>
      <c r="D61" s="80"/>
      <c r="E61" s="79"/>
      <c r="F61" s="79"/>
      <c r="G61" s="79"/>
      <c r="H61" s="81"/>
      <c r="I61" s="79"/>
      <c r="J61" s="79"/>
      <c r="K61" s="79"/>
      <c r="L61" s="79"/>
      <c r="M61" s="79"/>
      <c r="N61" s="82"/>
      <c r="O61" s="82"/>
      <c r="P61" s="82"/>
      <c r="Q61" s="83">
        <f t="shared" si="1"/>
        <v>0</v>
      </c>
      <c r="R61" s="121"/>
      <c r="S61" s="62"/>
      <c r="T61" s="122"/>
    </row>
    <row r="62" ht="21.75" customHeight="1">
      <c r="A62" s="85">
        <f t="shared" si="2"/>
        <v>58</v>
      </c>
      <c r="B62" s="87"/>
      <c r="C62" s="79"/>
      <c r="D62" s="80"/>
      <c r="E62" s="79"/>
      <c r="F62" s="79"/>
      <c r="G62" s="79"/>
      <c r="H62" s="81"/>
      <c r="I62" s="79"/>
      <c r="J62" s="79"/>
      <c r="K62" s="79"/>
      <c r="L62" s="79"/>
      <c r="M62" s="79"/>
      <c r="N62" s="82"/>
      <c r="O62" s="82"/>
      <c r="P62" s="82"/>
      <c r="Q62" s="83">
        <f t="shared" si="1"/>
        <v>0</v>
      </c>
      <c r="R62" s="121"/>
      <c r="S62" s="62"/>
      <c r="T62" s="122"/>
    </row>
    <row r="63" ht="21.75" customHeight="1">
      <c r="A63" s="85">
        <f t="shared" si="2"/>
        <v>59</v>
      </c>
      <c r="B63" s="87"/>
      <c r="C63" s="79"/>
      <c r="D63" s="80"/>
      <c r="E63" s="79"/>
      <c r="F63" s="79"/>
      <c r="G63" s="79"/>
      <c r="H63" s="81"/>
      <c r="I63" s="79"/>
      <c r="J63" s="79"/>
      <c r="K63" s="79"/>
      <c r="L63" s="79"/>
      <c r="M63" s="79"/>
      <c r="N63" s="82"/>
      <c r="O63" s="82"/>
      <c r="P63" s="82"/>
      <c r="Q63" s="83">
        <f t="shared" si="1"/>
        <v>0</v>
      </c>
      <c r="R63" s="121"/>
      <c r="S63" s="62"/>
      <c r="T63" s="122"/>
    </row>
    <row r="64" ht="21.75" customHeight="1">
      <c r="A64" s="85">
        <f t="shared" si="2"/>
        <v>60</v>
      </c>
      <c r="B64" s="87"/>
      <c r="C64" s="79"/>
      <c r="D64" s="80"/>
      <c r="E64" s="79"/>
      <c r="F64" s="79"/>
      <c r="G64" s="79"/>
      <c r="H64" s="81"/>
      <c r="I64" s="79"/>
      <c r="J64" s="79"/>
      <c r="K64" s="79"/>
      <c r="L64" s="79"/>
      <c r="M64" s="79"/>
      <c r="N64" s="82"/>
      <c r="O64" s="82"/>
      <c r="P64" s="82"/>
      <c r="Q64" s="83">
        <f t="shared" si="1"/>
        <v>0</v>
      </c>
      <c r="R64" s="121"/>
      <c r="S64" s="62"/>
      <c r="T64" s="122"/>
    </row>
    <row r="65" ht="21.75" customHeight="1">
      <c r="A65" s="85">
        <f t="shared" si="2"/>
        <v>61</v>
      </c>
      <c r="B65" s="87"/>
      <c r="C65" s="79"/>
      <c r="D65" s="80"/>
      <c r="E65" s="79"/>
      <c r="F65" s="79"/>
      <c r="G65" s="79"/>
      <c r="H65" s="81"/>
      <c r="I65" s="79"/>
      <c r="J65" s="79"/>
      <c r="K65" s="79"/>
      <c r="L65" s="79"/>
      <c r="M65" s="79"/>
      <c r="N65" s="82"/>
      <c r="O65" s="82"/>
      <c r="P65" s="82"/>
      <c r="Q65" s="83">
        <f t="shared" si="1"/>
        <v>0</v>
      </c>
      <c r="R65" s="121"/>
      <c r="S65" s="62"/>
      <c r="T65" s="122"/>
    </row>
    <row r="66" ht="21.75" customHeight="1">
      <c r="A66" s="85">
        <f t="shared" si="2"/>
        <v>62</v>
      </c>
      <c r="B66" s="87"/>
      <c r="C66" s="79"/>
      <c r="D66" s="80"/>
      <c r="E66" s="79"/>
      <c r="F66" s="79"/>
      <c r="G66" s="79"/>
      <c r="H66" s="81"/>
      <c r="I66" s="79"/>
      <c r="J66" s="79"/>
      <c r="K66" s="79"/>
      <c r="L66" s="79"/>
      <c r="M66" s="79"/>
      <c r="N66" s="82"/>
      <c r="O66" s="82"/>
      <c r="P66" s="82"/>
      <c r="Q66" s="83">
        <f t="shared" si="1"/>
        <v>0</v>
      </c>
      <c r="R66" s="121"/>
      <c r="S66" s="62"/>
      <c r="T66" s="122"/>
    </row>
    <row r="67" ht="21.75" customHeight="1">
      <c r="A67" s="85">
        <f t="shared" si="2"/>
        <v>63</v>
      </c>
      <c r="B67" s="87"/>
      <c r="C67" s="79"/>
      <c r="D67" s="80"/>
      <c r="E67" s="79"/>
      <c r="F67" s="79"/>
      <c r="G67" s="79"/>
      <c r="H67" s="81"/>
      <c r="I67" s="79"/>
      <c r="J67" s="79"/>
      <c r="K67" s="79"/>
      <c r="L67" s="79"/>
      <c r="M67" s="79"/>
      <c r="N67" s="82"/>
      <c r="O67" s="82"/>
      <c r="P67" s="82"/>
      <c r="Q67" s="83">
        <f t="shared" si="1"/>
        <v>0</v>
      </c>
      <c r="R67" s="121"/>
      <c r="S67" s="62"/>
      <c r="T67" s="122"/>
    </row>
    <row r="68" ht="21.75" customHeight="1">
      <c r="A68" s="85">
        <f t="shared" si="2"/>
        <v>64</v>
      </c>
      <c r="B68" s="87"/>
      <c r="C68" s="79"/>
      <c r="D68" s="80"/>
      <c r="E68" s="79"/>
      <c r="F68" s="79"/>
      <c r="G68" s="79"/>
      <c r="H68" s="81"/>
      <c r="I68" s="79"/>
      <c r="J68" s="79"/>
      <c r="K68" s="79"/>
      <c r="L68" s="79"/>
      <c r="M68" s="79"/>
      <c r="N68" s="82"/>
      <c r="O68" s="82"/>
      <c r="P68" s="82"/>
      <c r="Q68" s="83">
        <f t="shared" si="1"/>
        <v>0</v>
      </c>
      <c r="R68" s="121"/>
      <c r="S68" s="62"/>
      <c r="T68" s="122"/>
    </row>
    <row r="69" ht="21.75" customHeight="1">
      <c r="A69" s="85">
        <f t="shared" si="2"/>
        <v>65</v>
      </c>
      <c r="B69" s="87"/>
      <c r="C69" s="79"/>
      <c r="D69" s="80"/>
      <c r="E69" s="79"/>
      <c r="F69" s="79"/>
      <c r="G69" s="79"/>
      <c r="H69" s="81"/>
      <c r="I69" s="79"/>
      <c r="J69" s="79"/>
      <c r="K69" s="79"/>
      <c r="L69" s="79"/>
      <c r="M69" s="79"/>
      <c r="N69" s="82"/>
      <c r="O69" s="82"/>
      <c r="P69" s="82"/>
      <c r="Q69" s="83">
        <f t="shared" si="1"/>
        <v>0</v>
      </c>
      <c r="R69" s="121"/>
      <c r="S69" s="62"/>
      <c r="T69" s="122"/>
    </row>
    <row r="70" ht="21.75" customHeight="1">
      <c r="A70" s="85">
        <f t="shared" si="2"/>
        <v>66</v>
      </c>
      <c r="B70" s="87"/>
      <c r="C70" s="79"/>
      <c r="D70" s="80"/>
      <c r="E70" s="79"/>
      <c r="F70" s="79"/>
      <c r="G70" s="79"/>
      <c r="H70" s="81"/>
      <c r="I70" s="79"/>
      <c r="J70" s="79"/>
      <c r="K70" s="79"/>
      <c r="L70" s="79"/>
      <c r="M70" s="79"/>
      <c r="N70" s="82"/>
      <c r="O70" s="82"/>
      <c r="P70" s="82"/>
      <c r="Q70" s="83">
        <f t="shared" si="1"/>
        <v>0</v>
      </c>
      <c r="R70" s="121"/>
      <c r="S70" s="62"/>
      <c r="T70" s="122"/>
    </row>
    <row r="71" ht="21.75" customHeight="1">
      <c r="A71" s="85">
        <f t="shared" si="2"/>
        <v>67</v>
      </c>
      <c r="B71" s="87"/>
      <c r="C71" s="79"/>
      <c r="D71" s="80"/>
      <c r="E71" s="79"/>
      <c r="F71" s="79"/>
      <c r="G71" s="79"/>
      <c r="H71" s="81"/>
      <c r="I71" s="79"/>
      <c r="J71" s="79"/>
      <c r="K71" s="79"/>
      <c r="L71" s="79"/>
      <c r="M71" s="79"/>
      <c r="N71" s="82"/>
      <c r="O71" s="82"/>
      <c r="P71" s="82"/>
      <c r="Q71" s="83">
        <f t="shared" si="1"/>
        <v>0</v>
      </c>
      <c r="R71" s="121"/>
      <c r="S71" s="62"/>
      <c r="T71" s="122"/>
    </row>
    <row r="72" ht="21.75" customHeight="1">
      <c r="A72" s="85">
        <f t="shared" si="2"/>
        <v>68</v>
      </c>
      <c r="B72" s="87"/>
      <c r="C72" s="79"/>
      <c r="D72" s="80"/>
      <c r="E72" s="79"/>
      <c r="F72" s="79"/>
      <c r="G72" s="79"/>
      <c r="H72" s="81"/>
      <c r="I72" s="79"/>
      <c r="J72" s="79"/>
      <c r="K72" s="79"/>
      <c r="L72" s="79"/>
      <c r="M72" s="79"/>
      <c r="N72" s="82"/>
      <c r="O72" s="82"/>
      <c r="P72" s="82"/>
      <c r="Q72" s="83">
        <f t="shared" si="1"/>
        <v>0</v>
      </c>
      <c r="R72" s="84" t="s">
        <v>74</v>
      </c>
      <c r="S72" s="62"/>
      <c r="T72" s="122"/>
    </row>
    <row r="73" ht="21.75" customHeight="1">
      <c r="A73" s="95"/>
      <c r="B73" s="95"/>
      <c r="C73" s="95"/>
      <c r="D73" s="95"/>
      <c r="E73" s="95"/>
      <c r="F73" s="95"/>
      <c r="G73" s="96" t="s">
        <v>178</v>
      </c>
      <c r="H73" s="97">
        <f t="shared" ref="H73:I73" si="3">COUNTIF(H4:H72,"X")</f>
        <v>33</v>
      </c>
      <c r="I73" s="97">
        <f t="shared" si="3"/>
        <v>32</v>
      </c>
      <c r="J73" s="98">
        <f t="shared" ref="J73:K73" si="4">SUM(J4:J72)</f>
        <v>9120</v>
      </c>
      <c r="K73" s="98">
        <f t="shared" si="4"/>
        <v>3120</v>
      </c>
      <c r="L73" s="50"/>
      <c r="M73" s="134"/>
      <c r="N73" s="98">
        <f t="shared" ref="N73:O73" si="5">SUM(N4:N72)</f>
        <v>9120</v>
      </c>
      <c r="O73" s="98">
        <f t="shared" si="5"/>
        <v>3105</v>
      </c>
      <c r="P73" s="95"/>
      <c r="Q73" s="99"/>
      <c r="R73" s="134"/>
      <c r="S73" s="63"/>
      <c r="T73" s="1"/>
    </row>
    <row r="74" ht="19.5" customHeight="1">
      <c r="A74" s="2"/>
      <c r="B74" s="2"/>
      <c r="C74" s="2"/>
      <c r="D74" s="2"/>
      <c r="E74" s="2"/>
      <c r="F74" s="2"/>
      <c r="G74" s="100" t="s">
        <v>179</v>
      </c>
      <c r="H74" s="101">
        <v>34.0</v>
      </c>
      <c r="I74" s="101">
        <v>34.0</v>
      </c>
      <c r="J74" s="102">
        <f>SUM(J73:K73)</f>
        <v>12240</v>
      </c>
      <c r="K74" s="103"/>
      <c r="L74" s="2"/>
      <c r="M74" s="1"/>
      <c r="N74" s="102">
        <f>SUM(N73:O73)</f>
        <v>12225</v>
      </c>
      <c r="O74" s="103"/>
      <c r="P74" s="2"/>
      <c r="Q74" s="5"/>
      <c r="R74" s="1"/>
      <c r="S74" s="63"/>
      <c r="T74" s="1"/>
    </row>
    <row r="75" ht="19.5" customHeight="1">
      <c r="A75" s="2"/>
      <c r="B75" s="104"/>
      <c r="C75" s="2"/>
      <c r="D75" s="169"/>
      <c r="E75" s="1"/>
      <c r="F75" s="1"/>
      <c r="G75" s="106" t="s">
        <v>180</v>
      </c>
      <c r="H75" s="107">
        <f t="shared" ref="H75:I75" si="6">H74-H73</f>
        <v>1</v>
      </c>
      <c r="I75" s="107">
        <f t="shared" si="6"/>
        <v>2</v>
      </c>
      <c r="J75" s="108" t="s">
        <v>181</v>
      </c>
      <c r="K75" s="109"/>
      <c r="L75" s="2"/>
      <c r="M75" s="1"/>
      <c r="N75" s="108" t="s">
        <v>182</v>
      </c>
      <c r="O75" s="109"/>
      <c r="P75" s="104"/>
      <c r="Q75" s="5"/>
      <c r="R75" s="1"/>
      <c r="S75" s="63"/>
      <c r="T75" s="1"/>
    </row>
    <row r="76" ht="19.5" customHeight="1">
      <c r="A76" s="2"/>
      <c r="B76" s="104"/>
      <c r="C76" s="2"/>
      <c r="D76" s="169"/>
      <c r="E76" s="1"/>
      <c r="F76" s="1"/>
      <c r="G76" s="2"/>
      <c r="H76" s="110">
        <v>200.0</v>
      </c>
      <c r="I76" s="110">
        <v>200.0</v>
      </c>
      <c r="J76" s="2"/>
      <c r="K76" s="5"/>
      <c r="L76" s="2"/>
      <c r="M76" s="1"/>
      <c r="N76" s="104"/>
      <c r="O76" s="104"/>
      <c r="P76" s="104"/>
      <c r="Q76" s="5"/>
      <c r="R76" s="1"/>
      <c r="S76" s="63"/>
      <c r="T76" s="122" t="s">
        <v>68</v>
      </c>
    </row>
    <row r="77" ht="19.5" customHeight="1">
      <c r="A77" s="2"/>
      <c r="B77" s="104"/>
      <c r="C77" s="2"/>
      <c r="D77" s="169"/>
      <c r="E77" s="1"/>
      <c r="F77" s="1"/>
      <c r="G77" s="2"/>
      <c r="H77" s="111">
        <f t="shared" ref="H77:I77" si="7">H75*H76</f>
        <v>200</v>
      </c>
      <c r="I77" s="111">
        <f t="shared" si="7"/>
        <v>400</v>
      </c>
      <c r="J77" s="2"/>
      <c r="K77" s="5"/>
      <c r="L77" s="2"/>
      <c r="M77" s="1"/>
      <c r="N77" s="104"/>
      <c r="O77" s="104"/>
      <c r="P77" s="104"/>
      <c r="Q77" s="5"/>
      <c r="R77" s="1"/>
      <c r="S77" s="63"/>
      <c r="T77" s="1"/>
    </row>
    <row r="78" ht="19.5" customHeight="1">
      <c r="A78" s="2"/>
      <c r="B78" s="104"/>
      <c r="C78" s="2"/>
      <c r="D78" s="169"/>
      <c r="E78" s="1"/>
      <c r="F78" s="1"/>
      <c r="G78" s="2"/>
      <c r="H78" s="112">
        <f>H77+I77</f>
        <v>600</v>
      </c>
      <c r="I78" s="109"/>
      <c r="J78" s="2"/>
      <c r="K78" s="5"/>
      <c r="L78" s="2"/>
      <c r="M78" s="1"/>
      <c r="N78" s="104"/>
      <c r="O78" s="104"/>
      <c r="P78" s="104"/>
      <c r="Q78" s="5"/>
      <c r="R78" s="1"/>
      <c r="S78" s="63"/>
      <c r="T78" s="1"/>
    </row>
    <row r="79" ht="19.5" customHeight="1">
      <c r="A79" s="2"/>
      <c r="B79" s="104"/>
      <c r="C79" s="2"/>
      <c r="D79" s="169"/>
      <c r="E79" s="1"/>
      <c r="F79" s="1"/>
      <c r="G79" s="2"/>
      <c r="H79" s="2"/>
      <c r="I79" s="2"/>
      <c r="J79" s="2"/>
      <c r="K79" s="5"/>
      <c r="L79" s="2"/>
      <c r="M79" s="1"/>
      <c r="N79" s="1"/>
      <c r="O79" s="1"/>
      <c r="P79" s="1"/>
      <c r="Q79" s="116"/>
      <c r="R79" s="1"/>
      <c r="S79" s="63"/>
      <c r="T79" s="1"/>
    </row>
    <row r="80" ht="19.5" customHeight="1">
      <c r="A80" s="2"/>
      <c r="B80" s="104"/>
      <c r="C80" s="2"/>
      <c r="D80" s="169"/>
      <c r="E80" s="1"/>
      <c r="F80" s="1"/>
      <c r="G80" s="2"/>
      <c r="H80" s="2"/>
      <c r="I80" s="2"/>
      <c r="J80" s="2"/>
      <c r="K80" s="5"/>
      <c r="L80" s="2"/>
      <c r="M80" s="1"/>
      <c r="N80" s="1"/>
      <c r="O80" s="1"/>
      <c r="P80" s="1"/>
      <c r="Q80" s="116"/>
      <c r="R80" s="1"/>
      <c r="S80" s="63"/>
      <c r="T80" s="1"/>
    </row>
    <row r="81" ht="19.5" customHeight="1">
      <c r="A81" s="2"/>
      <c r="B81" s="104"/>
      <c r="C81" s="2"/>
      <c r="D81" s="169"/>
      <c r="E81" s="1"/>
      <c r="F81" s="1"/>
      <c r="G81" s="2"/>
      <c r="H81" s="2"/>
      <c r="I81" s="2"/>
      <c r="J81" s="2"/>
      <c r="K81" s="5"/>
      <c r="L81" s="2"/>
      <c r="M81" s="1"/>
      <c r="N81" s="1"/>
      <c r="O81" s="1"/>
      <c r="P81" s="1"/>
      <c r="Q81" s="116"/>
      <c r="R81" s="1"/>
      <c r="S81" s="63"/>
      <c r="T81" s="1"/>
    </row>
    <row r="82" ht="19.5" customHeight="1">
      <c r="A82" s="2"/>
      <c r="B82" s="104"/>
      <c r="C82" s="2"/>
      <c r="D82" s="169"/>
      <c r="E82" s="1"/>
      <c r="F82" s="1"/>
      <c r="G82" s="2"/>
      <c r="H82" s="2"/>
      <c r="I82" s="2"/>
      <c r="J82" s="2"/>
      <c r="K82" s="5"/>
      <c r="L82" s="2"/>
      <c r="M82" s="1"/>
      <c r="N82" s="1"/>
      <c r="O82" s="1"/>
      <c r="P82" s="1"/>
      <c r="Q82" s="116"/>
      <c r="R82" s="1"/>
      <c r="S82" s="63"/>
      <c r="T82" s="1"/>
    </row>
  </sheetData>
  <autoFilter ref="$A$4:$T$78"/>
  <customSheetViews>
    <customSheetView guid="{E5EE51B3-DE45-4D2E-9071-A5BED79D171F}" filter="1" showAutoFilter="1">
      <autoFilter ref="$A$2:$T$82"/>
    </customSheetView>
    <customSheetView guid="{BD076BCF-39B8-44C5-BF95-7B82C910DEB0}" filter="1" showAutoFilter="1">
      <autoFilter ref="$A$4:$T$78"/>
    </customSheetView>
    <customSheetView guid="{BA335440-5B37-4C05-BCDC-9CD4D4923240}" filter="1" showAutoFilter="1">
      <autoFilter ref="$A$1:$T$82"/>
    </customSheetView>
    <customSheetView guid="{A9B8627E-26B2-4201-803A-467C3700F329}" filter="1" showAutoFilter="1">
      <autoFilter ref="$A$2:$T$82"/>
    </customSheetView>
  </customSheetViews>
  <mergeCells count="8">
    <mergeCell ref="A2:M2"/>
    <mergeCell ref="A3:F3"/>
    <mergeCell ref="G3:J3"/>
    <mergeCell ref="J74:K74"/>
    <mergeCell ref="N74:O74"/>
    <mergeCell ref="J75:K75"/>
    <mergeCell ref="N75:O75"/>
    <mergeCell ref="H78:I78"/>
  </mergeCells>
  <conditionalFormatting sqref="M5:M72 R5:R72">
    <cfRule type="containsText" dxfId="3" priority="1" operator="containsText" text="fh">
      <formula>NOT(ISERROR(SEARCH(("fh"),(M5))))</formula>
    </cfRule>
  </conditionalFormatting>
  <conditionalFormatting sqref="L1 L4:L72 M4 N8:O14 N16:O18 L74:L77 L79:L82">
    <cfRule type="containsText" dxfId="0" priority="2" operator="containsText" text="COBR">
      <formula>NOT(ISERROR(SEARCH(("COBR"),(L1))))</formula>
    </cfRule>
  </conditionalFormatting>
  <conditionalFormatting sqref="L1 L4:L72 M4 N8:O14 N16:O18 L74:L77 L79:L82">
    <cfRule type="containsText" dxfId="1" priority="3" operator="containsText" text="INTE">
      <formula>NOT(ISERROR(SEARCH(("INTE"),(L1))))</formula>
    </cfRule>
  </conditionalFormatting>
  <conditionalFormatting sqref="L1 L4:L72 M4 J74 L74:L77 N74 L79:L82">
    <cfRule type="containsText" dxfId="2" priority="4" operator="containsText" text="DESC">
      <formula>NOT(ISERROR(SEARCH(("DESC"),(L1))))</formula>
    </cfRule>
  </conditionalFormatting>
  <dataValidations>
    <dataValidation type="list" allowBlank="1" showErrorMessage="1" sqref="M5:M72">
      <formula1>CUENTAS</formula1>
    </dataValidation>
    <dataValidation type="list" allowBlank="1" showErrorMessage="1" sqref="P5:P72">
      <formula1>VENDEDOR</formula1>
    </dataValidation>
    <dataValidation type="list" allowBlank="1" showErrorMessage="1" sqref="L5:L72">
      <formula1>SITUACION</formula1>
    </dataValidation>
  </dataValidations>
  <hyperlinks>
    <hyperlink r:id="rId1" ref="E5"/>
    <hyperlink r:id="rId2" ref="E6"/>
    <hyperlink r:id="rId3" ref="E18"/>
    <hyperlink r:id="rId4" ref="E20"/>
    <hyperlink r:id="rId5" ref="E21"/>
    <hyperlink r:id="rId6" ref="E26"/>
    <hyperlink r:id="rId7" ref="E39"/>
    <hyperlink r:id="rId8" ref="E44"/>
  </hyperlinks>
  <printOptions gridLines="1" horizontalCentered="1"/>
  <pageMargins bottom="0.6" footer="0.0" header="0.0" left="0.18446313842671508" right="0.1947110905615326" top="0.21520699483116765"/>
  <pageSetup fitToHeight="0" paperSize="9" cellComments="atEnd" orientation="landscape" pageOrder="overThenDown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13.13"/>
    <col customWidth="1" min="4" max="4" width="30.38"/>
    <col customWidth="1" min="5" max="6" width="19.5"/>
    <col customWidth="1" min="7" max="7" width="18.63"/>
    <col customWidth="1" min="8" max="9" width="9.0"/>
    <col customWidth="1" min="10" max="11" width="12.63"/>
    <col customWidth="1" min="12" max="12" width="14.38"/>
    <col customWidth="1" min="13" max="13" width="14.75"/>
    <col customWidth="1" min="14" max="15" width="12.63"/>
    <col customWidth="1" min="16" max="19" width="21.63"/>
    <col customWidth="1" min="20" max="20" width="2.25"/>
  </cols>
  <sheetData>
    <row r="1" ht="19.5" customHeight="1">
      <c r="A1" s="55"/>
      <c r="B1" s="56"/>
      <c r="C1" s="57"/>
      <c r="D1" s="139"/>
      <c r="E1" s="115"/>
      <c r="F1" s="115"/>
      <c r="G1" s="57"/>
      <c r="H1" s="57"/>
      <c r="I1" s="57"/>
      <c r="J1" s="57"/>
      <c r="K1" s="57"/>
      <c r="L1" s="57"/>
      <c r="M1" s="115"/>
      <c r="N1" s="1"/>
      <c r="O1" s="1"/>
      <c r="P1" s="1"/>
      <c r="Q1" s="116"/>
      <c r="R1" s="1"/>
      <c r="S1" s="1"/>
      <c r="T1" s="1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62"/>
      <c r="O2" s="63"/>
      <c r="P2" s="63"/>
      <c r="Q2" s="64"/>
      <c r="R2" s="63"/>
      <c r="S2" s="63"/>
      <c r="T2" s="1"/>
    </row>
    <row r="3" ht="30.75" customHeight="1">
      <c r="A3" s="117" t="s">
        <v>70</v>
      </c>
      <c r="B3" s="60"/>
      <c r="C3" s="60"/>
      <c r="D3" s="60"/>
      <c r="E3" s="60"/>
      <c r="F3" s="60"/>
      <c r="G3" s="66">
        <v>45682.0</v>
      </c>
      <c r="H3" s="60"/>
      <c r="I3" s="60"/>
      <c r="J3" s="60"/>
      <c r="K3" s="67"/>
      <c r="L3" s="67"/>
      <c r="M3" s="68"/>
      <c r="N3" s="69"/>
      <c r="O3" s="70"/>
      <c r="P3" s="70"/>
      <c r="Q3" s="71"/>
      <c r="R3" s="70"/>
      <c r="S3" s="63"/>
      <c r="T3" s="1"/>
    </row>
    <row r="4" ht="27.0" customHeight="1">
      <c r="A4" s="72" t="s">
        <v>0</v>
      </c>
      <c r="B4" s="72" t="s">
        <v>7</v>
      </c>
      <c r="C4" s="72" t="s">
        <v>8</v>
      </c>
      <c r="D4" s="73" t="s">
        <v>9</v>
      </c>
      <c r="E4" s="72" t="s">
        <v>10</v>
      </c>
      <c r="F4" s="73" t="s">
        <v>11</v>
      </c>
      <c r="G4" s="73" t="s">
        <v>12</v>
      </c>
      <c r="H4" s="74" t="s">
        <v>72</v>
      </c>
      <c r="I4" s="74" t="s">
        <v>73</v>
      </c>
      <c r="J4" s="74" t="s">
        <v>15</v>
      </c>
      <c r="K4" s="74" t="s">
        <v>16</v>
      </c>
      <c r="L4" s="74" t="s">
        <v>17</v>
      </c>
      <c r="M4" s="74" t="s">
        <v>18</v>
      </c>
      <c r="N4" s="75" t="s">
        <v>19</v>
      </c>
      <c r="O4" s="75" t="s">
        <v>20</v>
      </c>
      <c r="P4" s="75" t="s">
        <v>21</v>
      </c>
      <c r="Q4" s="76" t="s">
        <v>22</v>
      </c>
      <c r="R4" s="72" t="s">
        <v>74</v>
      </c>
      <c r="S4" s="62"/>
      <c r="T4" s="2"/>
    </row>
    <row r="5" ht="21.75" customHeight="1">
      <c r="A5" s="77">
        <v>1.0</v>
      </c>
      <c r="B5" s="78">
        <v>46000.0</v>
      </c>
      <c r="C5" s="79">
        <v>4.4412013E7</v>
      </c>
      <c r="D5" s="80" t="s">
        <v>441</v>
      </c>
      <c r="E5" s="79" t="s">
        <v>442</v>
      </c>
      <c r="F5" s="79" t="s">
        <v>443</v>
      </c>
      <c r="G5" s="79" t="s">
        <v>444</v>
      </c>
      <c r="H5" s="81" t="s">
        <v>79</v>
      </c>
      <c r="I5" s="79"/>
      <c r="J5" s="79">
        <v>190.0</v>
      </c>
      <c r="K5" s="79"/>
      <c r="L5" s="79" t="s">
        <v>80</v>
      </c>
      <c r="M5" s="79" t="s">
        <v>81</v>
      </c>
      <c r="N5" s="82">
        <v>190.0</v>
      </c>
      <c r="O5" s="82"/>
      <c r="P5" s="82" t="s">
        <v>50</v>
      </c>
      <c r="Q5" s="83">
        <f t="shared" ref="Q5:Q72" si="1">N5+O5</f>
        <v>190</v>
      </c>
      <c r="R5" s="84" t="s">
        <v>74</v>
      </c>
      <c r="S5" s="62"/>
      <c r="T5" s="1"/>
    </row>
    <row r="6" ht="21.75" customHeight="1">
      <c r="A6" s="85">
        <f t="shared" ref="A6:A72" si="2">A5+1</f>
        <v>2</v>
      </c>
      <c r="B6" s="78">
        <v>46000.0</v>
      </c>
      <c r="C6" s="79">
        <v>1.0562497E7</v>
      </c>
      <c r="D6" s="80" t="s">
        <v>445</v>
      </c>
      <c r="E6" s="79" t="s">
        <v>442</v>
      </c>
      <c r="F6" s="79" t="s">
        <v>443</v>
      </c>
      <c r="G6" s="79" t="s">
        <v>444</v>
      </c>
      <c r="H6" s="81" t="s">
        <v>79</v>
      </c>
      <c r="I6" s="79"/>
      <c r="J6" s="79">
        <v>190.0</v>
      </c>
      <c r="K6" s="79"/>
      <c r="L6" s="79" t="s">
        <v>80</v>
      </c>
      <c r="M6" s="79" t="s">
        <v>81</v>
      </c>
      <c r="N6" s="82">
        <v>190.0</v>
      </c>
      <c r="O6" s="82"/>
      <c r="P6" s="82" t="s">
        <v>50</v>
      </c>
      <c r="Q6" s="83">
        <f t="shared" si="1"/>
        <v>190</v>
      </c>
      <c r="R6" s="121"/>
      <c r="S6" s="62"/>
      <c r="T6" s="122"/>
    </row>
    <row r="7" ht="21.75" customHeight="1">
      <c r="A7" s="85">
        <f t="shared" si="2"/>
        <v>3</v>
      </c>
      <c r="B7" s="78">
        <v>46024.0</v>
      </c>
      <c r="C7" s="79">
        <v>7.6197577E7</v>
      </c>
      <c r="D7" s="170" t="s">
        <v>446</v>
      </c>
      <c r="E7" s="158" t="s">
        <v>447</v>
      </c>
      <c r="F7" s="158" t="s">
        <v>236</v>
      </c>
      <c r="G7" s="79" t="s">
        <v>448</v>
      </c>
      <c r="H7" s="81" t="s">
        <v>79</v>
      </c>
      <c r="I7" s="79"/>
      <c r="J7" s="79">
        <v>190.0</v>
      </c>
      <c r="K7" s="79"/>
      <c r="L7" s="79" t="s">
        <v>80</v>
      </c>
      <c r="M7" s="79" t="s">
        <v>98</v>
      </c>
      <c r="N7" s="82">
        <v>190.0</v>
      </c>
      <c r="O7" s="82"/>
      <c r="P7" s="82" t="s">
        <v>50</v>
      </c>
      <c r="Q7" s="83">
        <f t="shared" si="1"/>
        <v>190</v>
      </c>
      <c r="R7" s="121"/>
      <c r="S7" s="62"/>
      <c r="T7" s="122"/>
    </row>
    <row r="8" ht="21.75" customHeight="1">
      <c r="A8" s="85">
        <f t="shared" si="2"/>
        <v>4</v>
      </c>
      <c r="B8" s="78">
        <v>46025.0</v>
      </c>
      <c r="C8" s="79">
        <v>4.1735143E7</v>
      </c>
      <c r="D8" s="171" t="s">
        <v>449</v>
      </c>
      <c r="E8" s="158" t="s">
        <v>450</v>
      </c>
      <c r="F8" s="158" t="s">
        <v>451</v>
      </c>
      <c r="G8" s="79" t="s">
        <v>452</v>
      </c>
      <c r="H8" s="81" t="s">
        <v>79</v>
      </c>
      <c r="I8" s="79"/>
      <c r="J8" s="79">
        <v>110.0</v>
      </c>
      <c r="K8" s="79">
        <v>270.0</v>
      </c>
      <c r="L8" s="79" t="s">
        <v>93</v>
      </c>
      <c r="M8" s="79" t="s">
        <v>98</v>
      </c>
      <c r="N8" s="82">
        <v>110.0</v>
      </c>
      <c r="O8" s="82">
        <v>0.0</v>
      </c>
      <c r="P8" s="82" t="s">
        <v>50</v>
      </c>
      <c r="Q8" s="83">
        <f t="shared" si="1"/>
        <v>110</v>
      </c>
      <c r="R8" s="121"/>
      <c r="S8" s="62"/>
      <c r="T8" s="122"/>
    </row>
    <row r="9" ht="21.75" customHeight="1">
      <c r="A9" s="85">
        <f t="shared" si="2"/>
        <v>5</v>
      </c>
      <c r="B9" s="86">
        <v>46018.0</v>
      </c>
      <c r="C9" s="79">
        <v>4.0893521E7</v>
      </c>
      <c r="D9" s="171" t="s">
        <v>453</v>
      </c>
      <c r="E9" s="158" t="s">
        <v>454</v>
      </c>
      <c r="F9" s="158" t="s">
        <v>455</v>
      </c>
      <c r="G9" s="79" t="s">
        <v>456</v>
      </c>
      <c r="H9" s="81"/>
      <c r="I9" s="79" t="s">
        <v>79</v>
      </c>
      <c r="J9" s="79">
        <v>175.0</v>
      </c>
      <c r="K9" s="79"/>
      <c r="L9" s="79" t="s">
        <v>80</v>
      </c>
      <c r="M9" s="79" t="s">
        <v>98</v>
      </c>
      <c r="N9" s="82">
        <v>175.0</v>
      </c>
      <c r="O9" s="82"/>
      <c r="P9" s="82" t="s">
        <v>45</v>
      </c>
      <c r="Q9" s="83">
        <f t="shared" si="1"/>
        <v>175</v>
      </c>
      <c r="R9" s="84" t="s">
        <v>457</v>
      </c>
      <c r="S9" s="62"/>
      <c r="T9" s="122"/>
    </row>
    <row r="10" ht="21.75" customHeight="1">
      <c r="A10" s="85">
        <f t="shared" si="2"/>
        <v>6</v>
      </c>
      <c r="B10" s="87"/>
      <c r="C10" s="89"/>
      <c r="D10" s="172"/>
      <c r="E10" s="173"/>
      <c r="F10" s="172"/>
      <c r="G10" s="79"/>
      <c r="H10" s="81"/>
      <c r="I10" s="79"/>
      <c r="J10" s="79"/>
      <c r="K10" s="79"/>
      <c r="L10" s="79"/>
      <c r="M10" s="79"/>
      <c r="N10" s="82">
        <v>0.0</v>
      </c>
      <c r="O10" s="82"/>
      <c r="P10" s="82" t="s">
        <v>48</v>
      </c>
      <c r="Q10" s="83">
        <f t="shared" si="1"/>
        <v>0</v>
      </c>
      <c r="R10" s="84"/>
      <c r="S10" s="62"/>
      <c r="T10" s="122"/>
    </row>
    <row r="11" ht="21.75" customHeight="1">
      <c r="A11" s="85">
        <f t="shared" si="2"/>
        <v>7</v>
      </c>
      <c r="B11" s="86">
        <v>46028.0</v>
      </c>
      <c r="C11" s="79">
        <v>4.4384611E7</v>
      </c>
      <c r="D11" s="174" t="s">
        <v>458</v>
      </c>
      <c r="E11" s="158" t="s">
        <v>459</v>
      </c>
      <c r="F11" s="158" t="s">
        <v>460</v>
      </c>
      <c r="G11" s="79"/>
      <c r="H11" s="81"/>
      <c r="I11" s="79" t="s">
        <v>79</v>
      </c>
      <c r="J11" s="79">
        <v>100.0</v>
      </c>
      <c r="K11" s="79">
        <v>100.0</v>
      </c>
      <c r="L11" s="79" t="s">
        <v>93</v>
      </c>
      <c r="M11" s="79" t="s">
        <v>81</v>
      </c>
      <c r="N11" s="82">
        <v>100.0</v>
      </c>
      <c r="O11" s="82">
        <v>100.0</v>
      </c>
      <c r="P11" s="82" t="s">
        <v>45</v>
      </c>
      <c r="Q11" s="83">
        <f t="shared" si="1"/>
        <v>200</v>
      </c>
      <c r="R11" s="121"/>
      <c r="S11" s="62"/>
      <c r="T11" s="122"/>
    </row>
    <row r="12" ht="21.75" customHeight="1">
      <c r="A12" s="85">
        <f t="shared" si="2"/>
        <v>8</v>
      </c>
      <c r="B12" s="175">
        <v>46031.0</v>
      </c>
      <c r="C12" s="149">
        <v>6800803.0</v>
      </c>
      <c r="D12" s="149" t="s">
        <v>461</v>
      </c>
      <c r="E12" s="150" t="s">
        <v>462</v>
      </c>
      <c r="F12" s="176" t="s">
        <v>463</v>
      </c>
      <c r="G12" s="79">
        <v>9.61377923E8</v>
      </c>
      <c r="H12" s="81"/>
      <c r="I12" s="79" t="s">
        <v>104</v>
      </c>
      <c r="J12" s="79">
        <v>220.0</v>
      </c>
      <c r="K12" s="79"/>
      <c r="L12" s="79" t="s">
        <v>80</v>
      </c>
      <c r="M12" s="79" t="s">
        <v>81</v>
      </c>
      <c r="N12" s="82">
        <v>220.0</v>
      </c>
      <c r="O12" s="82"/>
      <c r="P12" s="82" t="s">
        <v>44</v>
      </c>
      <c r="Q12" s="83">
        <f t="shared" si="1"/>
        <v>220</v>
      </c>
      <c r="R12" s="121"/>
      <c r="S12" s="62"/>
      <c r="T12" s="122"/>
    </row>
    <row r="13" ht="21.75" customHeight="1">
      <c r="A13" s="85">
        <f t="shared" si="2"/>
        <v>9</v>
      </c>
      <c r="B13" s="94">
        <v>46034.0</v>
      </c>
      <c r="C13" s="162">
        <v>7.0342491E7</v>
      </c>
      <c r="D13" s="177" t="s">
        <v>397</v>
      </c>
      <c r="E13" s="79" t="s">
        <v>398</v>
      </c>
      <c r="F13" s="79" t="s">
        <v>399</v>
      </c>
      <c r="G13" s="79">
        <v>9.87552563E8</v>
      </c>
      <c r="H13" s="81" t="s">
        <v>79</v>
      </c>
      <c r="I13" s="79"/>
      <c r="J13" s="79">
        <v>0.0</v>
      </c>
      <c r="K13" s="79"/>
      <c r="L13" s="79"/>
      <c r="M13" s="79"/>
      <c r="N13" s="82">
        <v>0.0</v>
      </c>
      <c r="O13" s="82"/>
      <c r="P13" s="82" t="s">
        <v>48</v>
      </c>
      <c r="Q13" s="83">
        <f t="shared" si="1"/>
        <v>0</v>
      </c>
      <c r="R13" s="84" t="s">
        <v>464</v>
      </c>
      <c r="S13" s="62"/>
      <c r="T13" s="122"/>
    </row>
    <row r="14" ht="21.75" customHeight="1">
      <c r="A14" s="85">
        <f t="shared" si="2"/>
        <v>10</v>
      </c>
      <c r="M14" s="79" t="s">
        <v>81</v>
      </c>
      <c r="N14" s="82">
        <v>0.0</v>
      </c>
      <c r="O14" s="82"/>
      <c r="P14" s="82" t="s">
        <v>50</v>
      </c>
      <c r="Q14" s="83">
        <f t="shared" si="1"/>
        <v>0</v>
      </c>
      <c r="R14" s="84" t="s">
        <v>465</v>
      </c>
      <c r="S14" s="62"/>
      <c r="T14" s="122"/>
    </row>
    <row r="15" ht="21.75" customHeight="1">
      <c r="A15" s="85">
        <f t="shared" si="2"/>
        <v>11</v>
      </c>
      <c r="M15" s="79" t="s">
        <v>81</v>
      </c>
      <c r="N15" s="82">
        <v>0.0</v>
      </c>
      <c r="O15" s="82"/>
      <c r="P15" s="82" t="s">
        <v>50</v>
      </c>
      <c r="Q15" s="83">
        <f t="shared" si="1"/>
        <v>0</v>
      </c>
      <c r="R15" s="84" t="s">
        <v>465</v>
      </c>
      <c r="S15" s="62"/>
      <c r="T15" s="122"/>
    </row>
    <row r="16" ht="21.75" customHeight="1">
      <c r="A16" s="85">
        <f t="shared" si="2"/>
        <v>12</v>
      </c>
      <c r="B16" s="86">
        <v>46034.0</v>
      </c>
      <c r="C16" s="79">
        <v>4.0493159E7</v>
      </c>
      <c r="D16" s="152" t="s">
        <v>466</v>
      </c>
      <c r="E16" s="79" t="s">
        <v>467</v>
      </c>
      <c r="F16" s="79" t="s">
        <v>158</v>
      </c>
      <c r="G16" s="79" t="s">
        <v>468</v>
      </c>
      <c r="H16" s="81" t="s">
        <v>79</v>
      </c>
      <c r="I16" s="79"/>
      <c r="J16" s="79">
        <v>190.0</v>
      </c>
      <c r="K16" s="79"/>
      <c r="L16" s="79" t="s">
        <v>80</v>
      </c>
      <c r="M16" s="79" t="s">
        <v>81</v>
      </c>
      <c r="N16" s="82">
        <v>190.0</v>
      </c>
      <c r="O16" s="82"/>
      <c r="P16" s="82" t="s">
        <v>45</v>
      </c>
      <c r="Q16" s="83">
        <f t="shared" si="1"/>
        <v>190</v>
      </c>
      <c r="R16" s="121"/>
      <c r="S16" s="62"/>
      <c r="T16" s="122"/>
    </row>
    <row r="17" ht="21.75" customHeight="1">
      <c r="A17" s="85">
        <f t="shared" si="2"/>
        <v>13</v>
      </c>
      <c r="B17" s="86">
        <v>46034.0</v>
      </c>
      <c r="C17" s="79">
        <v>4.5909459E7</v>
      </c>
      <c r="D17" s="152" t="s">
        <v>469</v>
      </c>
      <c r="E17" s="79" t="s">
        <v>470</v>
      </c>
      <c r="F17" s="79" t="s">
        <v>471</v>
      </c>
      <c r="G17" s="79" t="s">
        <v>468</v>
      </c>
      <c r="H17" s="81" t="s">
        <v>79</v>
      </c>
      <c r="I17" s="79"/>
      <c r="J17" s="79">
        <v>190.0</v>
      </c>
      <c r="K17" s="79"/>
      <c r="L17" s="79" t="s">
        <v>80</v>
      </c>
      <c r="M17" s="79" t="s">
        <v>81</v>
      </c>
      <c r="N17" s="82">
        <v>190.0</v>
      </c>
      <c r="O17" s="82"/>
      <c r="P17" s="82" t="s">
        <v>45</v>
      </c>
      <c r="Q17" s="83">
        <f t="shared" si="1"/>
        <v>190</v>
      </c>
      <c r="R17" s="121"/>
      <c r="S17" s="62"/>
      <c r="T17" s="122"/>
    </row>
    <row r="18" ht="21.75" customHeight="1">
      <c r="A18" s="85">
        <f t="shared" si="2"/>
        <v>14</v>
      </c>
      <c r="B18" s="78">
        <v>46035.0</v>
      </c>
      <c r="C18" s="79">
        <v>4.757596E7</v>
      </c>
      <c r="D18" s="80" t="s">
        <v>407</v>
      </c>
      <c r="E18" s="79" t="s">
        <v>408</v>
      </c>
      <c r="F18" s="79" t="s">
        <v>409</v>
      </c>
      <c r="G18" s="79" t="s">
        <v>410</v>
      </c>
      <c r="H18" s="81" t="s">
        <v>79</v>
      </c>
      <c r="I18" s="79"/>
      <c r="J18" s="79">
        <v>190.0</v>
      </c>
      <c r="K18" s="79"/>
      <c r="L18" s="79" t="s">
        <v>80</v>
      </c>
      <c r="M18" s="79" t="s">
        <v>81</v>
      </c>
      <c r="N18" s="82">
        <v>190.0</v>
      </c>
      <c r="O18" s="82"/>
      <c r="P18" s="82" t="s">
        <v>50</v>
      </c>
      <c r="Q18" s="83">
        <f t="shared" si="1"/>
        <v>190</v>
      </c>
      <c r="R18" s="121"/>
      <c r="S18" s="62"/>
      <c r="T18" s="122"/>
    </row>
    <row r="19" ht="21.75" customHeight="1">
      <c r="A19" s="85">
        <f t="shared" si="2"/>
        <v>15</v>
      </c>
      <c r="B19" s="78">
        <v>46035.0</v>
      </c>
      <c r="C19" s="79">
        <v>1.5753576E7</v>
      </c>
      <c r="D19" s="80" t="s">
        <v>472</v>
      </c>
      <c r="E19" s="79" t="s">
        <v>473</v>
      </c>
      <c r="F19" s="79" t="s">
        <v>474</v>
      </c>
      <c r="G19" s="79" t="s">
        <v>475</v>
      </c>
      <c r="H19" s="81" t="s">
        <v>79</v>
      </c>
      <c r="I19" s="79" t="s">
        <v>79</v>
      </c>
      <c r="J19" s="79">
        <v>180.0</v>
      </c>
      <c r="K19" s="79">
        <v>180.0</v>
      </c>
      <c r="L19" s="79" t="s">
        <v>93</v>
      </c>
      <c r="M19" s="79" t="s">
        <v>278</v>
      </c>
      <c r="N19" s="82">
        <v>180.0</v>
      </c>
      <c r="O19" s="82">
        <v>180.0</v>
      </c>
      <c r="P19" s="82" t="s">
        <v>50</v>
      </c>
      <c r="Q19" s="83">
        <f t="shared" si="1"/>
        <v>360</v>
      </c>
      <c r="R19" s="121"/>
      <c r="S19" s="62"/>
      <c r="T19" s="122"/>
    </row>
    <row r="20" ht="21.75" customHeight="1">
      <c r="A20" s="85">
        <f t="shared" si="2"/>
        <v>16</v>
      </c>
      <c r="B20" s="78">
        <v>46036.0</v>
      </c>
      <c r="C20" s="79">
        <v>1.0114558E7</v>
      </c>
      <c r="D20" s="80" t="s">
        <v>476</v>
      </c>
      <c r="E20" s="79" t="s">
        <v>477</v>
      </c>
      <c r="F20" s="79" t="s">
        <v>96</v>
      </c>
      <c r="G20" s="79" t="s">
        <v>478</v>
      </c>
      <c r="H20" s="81" t="s">
        <v>79</v>
      </c>
      <c r="I20" s="79"/>
      <c r="J20" s="79">
        <v>90.0</v>
      </c>
      <c r="K20" s="79">
        <v>90.0</v>
      </c>
      <c r="L20" s="79" t="s">
        <v>93</v>
      </c>
      <c r="M20" s="79" t="s">
        <v>81</v>
      </c>
      <c r="N20" s="82">
        <v>90.0</v>
      </c>
      <c r="O20" s="82">
        <v>90.0</v>
      </c>
      <c r="P20" s="82" t="s">
        <v>50</v>
      </c>
      <c r="Q20" s="83">
        <f t="shared" si="1"/>
        <v>180</v>
      </c>
      <c r="R20" s="121"/>
      <c r="S20" s="62"/>
      <c r="T20" s="122"/>
    </row>
    <row r="21" ht="21.75" customHeight="1">
      <c r="A21" s="85">
        <f t="shared" si="2"/>
        <v>17</v>
      </c>
      <c r="B21" s="78">
        <v>46036.0</v>
      </c>
      <c r="C21" s="79">
        <v>7.5527342E7</v>
      </c>
      <c r="D21" s="80" t="s">
        <v>479</v>
      </c>
      <c r="E21" s="79" t="s">
        <v>477</v>
      </c>
      <c r="F21" s="79" t="s">
        <v>96</v>
      </c>
      <c r="G21" s="79" t="s">
        <v>478</v>
      </c>
      <c r="H21" s="81" t="s">
        <v>79</v>
      </c>
      <c r="I21" s="79"/>
      <c r="J21" s="79">
        <v>90.0</v>
      </c>
      <c r="K21" s="79">
        <v>90.0</v>
      </c>
      <c r="L21" s="79" t="s">
        <v>93</v>
      </c>
      <c r="M21" s="79" t="s">
        <v>81</v>
      </c>
      <c r="N21" s="82">
        <v>90.0</v>
      </c>
      <c r="O21" s="82">
        <v>90.0</v>
      </c>
      <c r="P21" s="82" t="s">
        <v>50</v>
      </c>
      <c r="Q21" s="83">
        <f t="shared" si="1"/>
        <v>180</v>
      </c>
      <c r="R21" s="121"/>
      <c r="S21" s="62"/>
      <c r="T21" s="122"/>
    </row>
    <row r="22" ht="21.75" customHeight="1">
      <c r="A22" s="85">
        <f t="shared" si="2"/>
        <v>18</v>
      </c>
      <c r="B22" s="88">
        <v>46035.0</v>
      </c>
      <c r="C22" s="90">
        <v>4.2084574E7</v>
      </c>
      <c r="D22" s="90" t="s">
        <v>480</v>
      </c>
      <c r="E22" s="131" t="s">
        <v>481</v>
      </c>
      <c r="F22" s="79"/>
      <c r="G22" s="79"/>
      <c r="H22" s="81" t="s">
        <v>104</v>
      </c>
      <c r="I22" s="79" t="s">
        <v>104</v>
      </c>
      <c r="J22" s="79">
        <v>380.0</v>
      </c>
      <c r="K22" s="79"/>
      <c r="L22" s="79" t="s">
        <v>80</v>
      </c>
      <c r="M22" s="79" t="s">
        <v>81</v>
      </c>
      <c r="N22" s="82">
        <v>380.0</v>
      </c>
      <c r="O22" s="82"/>
      <c r="P22" s="82" t="s">
        <v>47</v>
      </c>
      <c r="Q22" s="83">
        <f t="shared" si="1"/>
        <v>380</v>
      </c>
      <c r="R22" s="121"/>
      <c r="S22" s="62"/>
      <c r="T22" s="122"/>
    </row>
    <row r="23" ht="21.75" customHeight="1">
      <c r="A23" s="85">
        <f t="shared" si="2"/>
        <v>19</v>
      </c>
      <c r="B23" s="88">
        <v>46036.0</v>
      </c>
      <c r="C23" s="79">
        <v>6.1802066E7</v>
      </c>
      <c r="D23" s="80" t="s">
        <v>482</v>
      </c>
      <c r="E23" s="79"/>
      <c r="F23" s="79" t="s">
        <v>483</v>
      </c>
      <c r="G23" s="79"/>
      <c r="H23" s="81" t="s">
        <v>104</v>
      </c>
      <c r="I23" s="79"/>
      <c r="J23" s="79">
        <v>190.0</v>
      </c>
      <c r="K23" s="79"/>
      <c r="L23" s="79" t="s">
        <v>80</v>
      </c>
      <c r="M23" s="79" t="s">
        <v>81</v>
      </c>
      <c r="N23" s="82">
        <v>190.0</v>
      </c>
      <c r="O23" s="82"/>
      <c r="P23" s="82" t="s">
        <v>47</v>
      </c>
      <c r="Q23" s="83">
        <f t="shared" si="1"/>
        <v>190</v>
      </c>
      <c r="R23" s="121"/>
      <c r="S23" s="62"/>
      <c r="T23" s="122"/>
    </row>
    <row r="24" ht="21.75" customHeight="1">
      <c r="A24" s="85">
        <f t="shared" si="2"/>
        <v>20</v>
      </c>
      <c r="B24" s="88">
        <v>46036.0</v>
      </c>
      <c r="C24" s="79">
        <v>6.1741943E7</v>
      </c>
      <c r="D24" s="80" t="s">
        <v>484</v>
      </c>
      <c r="E24" s="79"/>
      <c r="F24" s="79" t="s">
        <v>483</v>
      </c>
      <c r="G24" s="79"/>
      <c r="H24" s="81" t="s">
        <v>104</v>
      </c>
      <c r="I24" s="79"/>
      <c r="J24" s="79">
        <v>190.0</v>
      </c>
      <c r="K24" s="79"/>
      <c r="L24" s="79" t="s">
        <v>80</v>
      </c>
      <c r="M24" s="79" t="s">
        <v>81</v>
      </c>
      <c r="N24" s="82">
        <v>190.0</v>
      </c>
      <c r="O24" s="82"/>
      <c r="P24" s="82" t="s">
        <v>47</v>
      </c>
      <c r="Q24" s="83">
        <f t="shared" si="1"/>
        <v>190</v>
      </c>
      <c r="R24" s="121"/>
      <c r="S24" s="62"/>
      <c r="T24" s="122"/>
    </row>
    <row r="25" ht="21.75" customHeight="1">
      <c r="A25" s="85">
        <f t="shared" si="2"/>
        <v>21</v>
      </c>
      <c r="B25" s="88">
        <v>46036.0</v>
      </c>
      <c r="C25" s="79">
        <v>7.0919834E7</v>
      </c>
      <c r="D25" s="80" t="s">
        <v>485</v>
      </c>
      <c r="E25" s="79"/>
      <c r="F25" s="79" t="s">
        <v>486</v>
      </c>
      <c r="G25" s="79"/>
      <c r="H25" s="81" t="s">
        <v>104</v>
      </c>
      <c r="I25" s="79"/>
      <c r="J25" s="79">
        <v>200.0</v>
      </c>
      <c r="K25" s="79"/>
      <c r="L25" s="79" t="s">
        <v>80</v>
      </c>
      <c r="M25" s="79" t="s">
        <v>81</v>
      </c>
      <c r="N25" s="82">
        <v>200.0</v>
      </c>
      <c r="O25" s="82"/>
      <c r="P25" s="82" t="s">
        <v>47</v>
      </c>
      <c r="Q25" s="83">
        <f t="shared" si="1"/>
        <v>200</v>
      </c>
      <c r="R25" s="121"/>
      <c r="S25" s="62"/>
      <c r="T25" s="122"/>
    </row>
    <row r="26" ht="21.75" customHeight="1">
      <c r="A26" s="85">
        <f t="shared" si="2"/>
        <v>22</v>
      </c>
      <c r="B26" s="132">
        <v>46036.0</v>
      </c>
      <c r="C26" s="79">
        <v>2.5728595E7</v>
      </c>
      <c r="D26" s="80" t="s">
        <v>487</v>
      </c>
      <c r="E26" s="79" t="s">
        <v>488</v>
      </c>
      <c r="F26" s="79" t="s">
        <v>489</v>
      </c>
      <c r="G26" s="79"/>
      <c r="H26" s="81" t="s">
        <v>104</v>
      </c>
      <c r="I26" s="79"/>
      <c r="J26" s="79">
        <v>190.0</v>
      </c>
      <c r="K26" s="79"/>
      <c r="L26" s="79" t="s">
        <v>80</v>
      </c>
      <c r="M26" s="79"/>
      <c r="N26" s="82">
        <v>190.0</v>
      </c>
      <c r="O26" s="82"/>
      <c r="P26" s="82" t="s">
        <v>44</v>
      </c>
      <c r="Q26" s="83">
        <f t="shared" si="1"/>
        <v>190</v>
      </c>
      <c r="R26" s="121"/>
      <c r="S26" s="62"/>
      <c r="T26" s="122"/>
    </row>
    <row r="27" ht="21.75" customHeight="1">
      <c r="A27" s="85">
        <f t="shared" si="2"/>
        <v>23</v>
      </c>
      <c r="B27" s="132">
        <v>46036.0</v>
      </c>
      <c r="C27" s="79">
        <v>7.3171842E7</v>
      </c>
      <c r="D27" s="80" t="s">
        <v>490</v>
      </c>
      <c r="E27" s="79" t="s">
        <v>488</v>
      </c>
      <c r="F27" s="79" t="s">
        <v>491</v>
      </c>
      <c r="G27" s="79"/>
      <c r="H27" s="81" t="s">
        <v>104</v>
      </c>
      <c r="I27" s="79" t="s">
        <v>104</v>
      </c>
      <c r="J27" s="79">
        <v>110.0</v>
      </c>
      <c r="K27" s="79">
        <v>270.0</v>
      </c>
      <c r="L27" s="79" t="s">
        <v>80</v>
      </c>
      <c r="M27" s="79"/>
      <c r="N27" s="82">
        <v>110.0</v>
      </c>
      <c r="O27" s="82">
        <v>270.0</v>
      </c>
      <c r="P27" s="82" t="s">
        <v>44</v>
      </c>
      <c r="Q27" s="83">
        <f t="shared" si="1"/>
        <v>380</v>
      </c>
      <c r="R27" s="121"/>
      <c r="S27" s="62"/>
      <c r="T27" s="122"/>
    </row>
    <row r="28" ht="21.75" customHeight="1">
      <c r="A28" s="85">
        <f t="shared" si="2"/>
        <v>24</v>
      </c>
      <c r="B28" s="132">
        <v>46036.0</v>
      </c>
      <c r="C28" s="149">
        <v>7.6601657E7</v>
      </c>
      <c r="D28" s="178" t="s">
        <v>492</v>
      </c>
      <c r="E28" s="179" t="s">
        <v>493</v>
      </c>
      <c r="F28" s="158" t="s">
        <v>494</v>
      </c>
      <c r="G28" s="79"/>
      <c r="H28" s="81" t="s">
        <v>104</v>
      </c>
      <c r="I28" s="79"/>
      <c r="J28" s="79">
        <v>150.0</v>
      </c>
      <c r="K28" s="79"/>
      <c r="L28" s="79" t="s">
        <v>80</v>
      </c>
      <c r="M28" s="79"/>
      <c r="N28" s="82">
        <v>150.0</v>
      </c>
      <c r="O28" s="82"/>
      <c r="P28" s="82" t="s">
        <v>44</v>
      </c>
      <c r="Q28" s="83">
        <f t="shared" si="1"/>
        <v>150</v>
      </c>
      <c r="R28" s="121"/>
      <c r="S28" s="62"/>
      <c r="T28" s="122"/>
    </row>
    <row r="29" ht="21.75" customHeight="1">
      <c r="A29" s="85">
        <f t="shared" si="2"/>
        <v>25</v>
      </c>
      <c r="B29" s="132">
        <v>46036.0</v>
      </c>
      <c r="C29" s="149">
        <v>4.0902213E7</v>
      </c>
      <c r="D29" s="149" t="s">
        <v>495</v>
      </c>
      <c r="E29" s="179" t="s">
        <v>496</v>
      </c>
      <c r="F29" s="158" t="s">
        <v>352</v>
      </c>
      <c r="G29" s="158" t="s">
        <v>497</v>
      </c>
      <c r="H29" s="81" t="s">
        <v>104</v>
      </c>
      <c r="I29" s="79" t="s">
        <v>104</v>
      </c>
      <c r="J29" s="79">
        <v>380.0</v>
      </c>
      <c r="K29" s="79"/>
      <c r="L29" s="79" t="s">
        <v>80</v>
      </c>
      <c r="M29" s="79" t="s">
        <v>164</v>
      </c>
      <c r="N29" s="82">
        <v>150.0</v>
      </c>
      <c r="O29" s="82"/>
      <c r="P29" s="82" t="s">
        <v>44</v>
      </c>
      <c r="Q29" s="83">
        <f t="shared" si="1"/>
        <v>150</v>
      </c>
      <c r="R29" s="121"/>
      <c r="S29" s="62"/>
      <c r="T29" s="122"/>
    </row>
    <row r="30" ht="21.75" customHeight="1">
      <c r="A30" s="85">
        <f t="shared" si="2"/>
        <v>26</v>
      </c>
      <c r="B30" s="78">
        <v>46037.0</v>
      </c>
      <c r="C30" s="79">
        <v>7.7060706E7</v>
      </c>
      <c r="D30" s="180" t="s">
        <v>498</v>
      </c>
      <c r="E30" s="79" t="s">
        <v>499</v>
      </c>
      <c r="F30" s="79" t="s">
        <v>474</v>
      </c>
      <c r="G30" s="79">
        <v>9.17395017E8</v>
      </c>
      <c r="H30" s="81" t="s">
        <v>79</v>
      </c>
      <c r="I30" s="79" t="s">
        <v>79</v>
      </c>
      <c r="J30" s="79">
        <v>180.0</v>
      </c>
      <c r="K30" s="79">
        <v>180.0</v>
      </c>
      <c r="L30" s="79" t="s">
        <v>93</v>
      </c>
      <c r="M30" s="79" t="s">
        <v>278</v>
      </c>
      <c r="N30" s="82">
        <v>180.0</v>
      </c>
      <c r="O30" s="82">
        <v>180.0</v>
      </c>
      <c r="P30" s="82" t="s">
        <v>50</v>
      </c>
      <c r="Q30" s="83">
        <f t="shared" si="1"/>
        <v>360</v>
      </c>
      <c r="R30" s="121"/>
      <c r="S30" s="62"/>
      <c r="T30" s="122"/>
    </row>
    <row r="31" ht="21.75" customHeight="1">
      <c r="A31" s="85">
        <f t="shared" si="2"/>
        <v>27</v>
      </c>
      <c r="B31" s="132">
        <v>46038.0</v>
      </c>
      <c r="C31" s="79" t="s">
        <v>500</v>
      </c>
      <c r="D31" s="80" t="s">
        <v>501</v>
      </c>
      <c r="E31" s="79" t="s">
        <v>502</v>
      </c>
      <c r="F31" s="79" t="s">
        <v>331</v>
      </c>
      <c r="G31" s="79"/>
      <c r="H31" s="81" t="s">
        <v>104</v>
      </c>
      <c r="I31" s="79" t="s">
        <v>104</v>
      </c>
      <c r="J31" s="79">
        <v>380.0</v>
      </c>
      <c r="K31" s="79"/>
      <c r="L31" s="79" t="s">
        <v>80</v>
      </c>
      <c r="M31" s="79" t="s">
        <v>81</v>
      </c>
      <c r="N31" s="82">
        <v>380.0</v>
      </c>
      <c r="O31" s="82"/>
      <c r="P31" s="82" t="s">
        <v>44</v>
      </c>
      <c r="Q31" s="83">
        <f t="shared" si="1"/>
        <v>380</v>
      </c>
      <c r="R31" s="84"/>
      <c r="S31" s="62"/>
      <c r="T31" s="122"/>
    </row>
    <row r="32" ht="21.75" customHeight="1">
      <c r="A32" s="85">
        <f t="shared" si="2"/>
        <v>28</v>
      </c>
      <c r="B32" s="78">
        <v>46038.0</v>
      </c>
      <c r="C32" s="151">
        <v>7.6799413E7</v>
      </c>
      <c r="D32" s="151" t="s">
        <v>503</v>
      </c>
      <c r="E32" s="168" t="s">
        <v>504</v>
      </c>
      <c r="F32" s="168" t="s">
        <v>141</v>
      </c>
      <c r="G32" s="154" t="s">
        <v>505</v>
      </c>
      <c r="H32" s="81" t="s">
        <v>79</v>
      </c>
      <c r="I32" s="79"/>
      <c r="J32" s="79">
        <v>0.0</v>
      </c>
      <c r="K32" s="79"/>
      <c r="L32" s="79"/>
      <c r="M32" s="79"/>
      <c r="N32" s="82">
        <v>0.0</v>
      </c>
      <c r="O32" s="82"/>
      <c r="P32" s="82" t="s">
        <v>50</v>
      </c>
      <c r="Q32" s="83">
        <f t="shared" si="1"/>
        <v>0</v>
      </c>
      <c r="R32" s="84" t="s">
        <v>506</v>
      </c>
      <c r="S32" s="62"/>
      <c r="T32" s="122"/>
    </row>
    <row r="33" ht="21.75" customHeight="1">
      <c r="A33" s="85">
        <f t="shared" si="2"/>
        <v>29</v>
      </c>
      <c r="B33" s="88">
        <v>46038.0</v>
      </c>
      <c r="C33" s="79">
        <v>4.5963559E7</v>
      </c>
      <c r="D33" s="80" t="s">
        <v>507</v>
      </c>
      <c r="E33" s="79"/>
      <c r="F33" s="79"/>
      <c r="G33" s="79"/>
      <c r="H33" s="81" t="s">
        <v>104</v>
      </c>
      <c r="I33" s="79"/>
      <c r="J33" s="79">
        <v>180.0</v>
      </c>
      <c r="K33" s="79"/>
      <c r="L33" s="79" t="s">
        <v>80</v>
      </c>
      <c r="M33" s="79" t="s">
        <v>81</v>
      </c>
      <c r="N33" s="82">
        <v>180.0</v>
      </c>
      <c r="O33" s="82"/>
      <c r="P33" s="82" t="s">
        <v>47</v>
      </c>
      <c r="Q33" s="83">
        <f t="shared" si="1"/>
        <v>180</v>
      </c>
      <c r="R33" s="121"/>
      <c r="S33" s="62"/>
      <c r="T33" s="122"/>
    </row>
    <row r="34" ht="21.75" customHeight="1">
      <c r="A34" s="85">
        <f t="shared" si="2"/>
        <v>30</v>
      </c>
      <c r="B34" s="88">
        <v>46038.0</v>
      </c>
      <c r="C34" s="79">
        <v>4.2243221E7</v>
      </c>
      <c r="D34" s="80" t="s">
        <v>508</v>
      </c>
      <c r="E34" s="79"/>
      <c r="F34" s="79"/>
      <c r="G34" s="79"/>
      <c r="H34" s="81" t="s">
        <v>104</v>
      </c>
      <c r="I34" s="79"/>
      <c r="J34" s="79">
        <v>180.0</v>
      </c>
      <c r="K34" s="79"/>
      <c r="L34" s="79" t="s">
        <v>80</v>
      </c>
      <c r="M34" s="79" t="s">
        <v>81</v>
      </c>
      <c r="N34" s="82">
        <v>180.0</v>
      </c>
      <c r="O34" s="82"/>
      <c r="P34" s="82" t="s">
        <v>47</v>
      </c>
      <c r="Q34" s="83">
        <f t="shared" si="1"/>
        <v>180</v>
      </c>
      <c r="R34" s="121"/>
      <c r="S34" s="62"/>
      <c r="T34" s="122"/>
    </row>
    <row r="35" ht="21.75" customHeight="1">
      <c r="A35" s="85">
        <f t="shared" si="2"/>
        <v>31</v>
      </c>
      <c r="B35" s="94">
        <v>46038.0</v>
      </c>
      <c r="C35" s="79">
        <v>7576311.0</v>
      </c>
      <c r="D35" s="128" t="s">
        <v>509</v>
      </c>
      <c r="E35" s="79" t="s">
        <v>510</v>
      </c>
      <c r="F35" s="79" t="s">
        <v>511</v>
      </c>
      <c r="G35" s="79" t="s">
        <v>512</v>
      </c>
      <c r="H35" s="81" t="s">
        <v>104</v>
      </c>
      <c r="I35" s="79"/>
      <c r="J35" s="79">
        <v>175.0</v>
      </c>
      <c r="K35" s="79">
        <v>45.0</v>
      </c>
      <c r="L35" s="79" t="s">
        <v>93</v>
      </c>
      <c r="M35" s="79" t="s">
        <v>513</v>
      </c>
      <c r="N35" s="82">
        <v>166.0</v>
      </c>
      <c r="O35" s="82">
        <v>0.0</v>
      </c>
      <c r="P35" s="82" t="s">
        <v>48</v>
      </c>
      <c r="Q35" s="83">
        <f t="shared" si="1"/>
        <v>166</v>
      </c>
      <c r="R35" s="84" t="s">
        <v>514</v>
      </c>
      <c r="S35" s="62"/>
      <c r="T35" s="122"/>
    </row>
    <row r="36" ht="21.75" customHeight="1">
      <c r="A36" s="85">
        <f t="shared" si="2"/>
        <v>32</v>
      </c>
      <c r="B36" s="88">
        <v>46038.0</v>
      </c>
      <c r="C36" s="79"/>
      <c r="D36" s="80" t="s">
        <v>515</v>
      </c>
      <c r="E36" s="79"/>
      <c r="F36" s="79"/>
      <c r="G36" s="79"/>
      <c r="H36" s="81" t="s">
        <v>104</v>
      </c>
      <c r="I36" s="79"/>
      <c r="J36" s="79">
        <v>110.0</v>
      </c>
      <c r="K36" s="79">
        <v>110.0</v>
      </c>
      <c r="L36" s="79" t="s">
        <v>93</v>
      </c>
      <c r="M36" s="79" t="s">
        <v>81</v>
      </c>
      <c r="N36" s="82">
        <v>110.0</v>
      </c>
      <c r="O36" s="82">
        <v>110.0</v>
      </c>
      <c r="P36" s="82" t="s">
        <v>47</v>
      </c>
      <c r="Q36" s="83">
        <f t="shared" si="1"/>
        <v>220</v>
      </c>
      <c r="R36" s="121"/>
      <c r="S36" s="62"/>
      <c r="T36" s="122"/>
    </row>
    <row r="37" ht="21.75" customHeight="1">
      <c r="A37" s="85">
        <f t="shared" si="2"/>
        <v>33</v>
      </c>
      <c r="B37" s="132">
        <v>46038.0</v>
      </c>
      <c r="C37" s="79">
        <v>4.3567257E7</v>
      </c>
      <c r="D37" s="80" t="s">
        <v>516</v>
      </c>
      <c r="E37" s="79"/>
      <c r="F37" s="79"/>
      <c r="G37" s="79"/>
      <c r="H37" s="81" t="s">
        <v>104</v>
      </c>
      <c r="I37" s="79" t="s">
        <v>104</v>
      </c>
      <c r="J37" s="79">
        <v>200.0</v>
      </c>
      <c r="K37" s="79">
        <v>180.0</v>
      </c>
      <c r="L37" s="79" t="s">
        <v>93</v>
      </c>
      <c r="M37" s="79" t="s">
        <v>81</v>
      </c>
      <c r="N37" s="82">
        <v>200.0</v>
      </c>
      <c r="O37" s="82">
        <v>180.0</v>
      </c>
      <c r="P37" s="82" t="s">
        <v>44</v>
      </c>
      <c r="Q37" s="83">
        <f t="shared" si="1"/>
        <v>380</v>
      </c>
      <c r="R37" s="121"/>
      <c r="S37" s="62"/>
      <c r="T37" s="122"/>
    </row>
    <row r="38" ht="21.75" customHeight="1">
      <c r="A38" s="85">
        <f t="shared" si="2"/>
        <v>34</v>
      </c>
      <c r="B38" s="132">
        <v>46038.0</v>
      </c>
      <c r="C38" s="79" t="s">
        <v>517</v>
      </c>
      <c r="D38" s="80" t="s">
        <v>518</v>
      </c>
      <c r="E38" s="79" t="s">
        <v>519</v>
      </c>
      <c r="F38" s="79" t="s">
        <v>520</v>
      </c>
      <c r="G38" s="79"/>
      <c r="H38" s="81"/>
      <c r="I38" s="79" t="s">
        <v>104</v>
      </c>
      <c r="J38" s="79">
        <v>190.0</v>
      </c>
      <c r="K38" s="79">
        <v>190.0</v>
      </c>
      <c r="L38" s="79" t="s">
        <v>93</v>
      </c>
      <c r="M38" s="79" t="s">
        <v>81</v>
      </c>
      <c r="N38" s="82">
        <v>190.0</v>
      </c>
      <c r="O38" s="82">
        <v>190.0</v>
      </c>
      <c r="P38" s="82" t="s">
        <v>44</v>
      </c>
      <c r="Q38" s="83">
        <f t="shared" si="1"/>
        <v>380</v>
      </c>
      <c r="R38" s="121"/>
      <c r="S38" s="62"/>
      <c r="T38" s="122"/>
    </row>
    <row r="39" ht="21.75" customHeight="1">
      <c r="A39" s="85">
        <f t="shared" si="2"/>
        <v>35</v>
      </c>
      <c r="B39" s="94">
        <v>46039.0</v>
      </c>
      <c r="C39" s="79">
        <v>1.0624546E7</v>
      </c>
      <c r="D39" s="80" t="s">
        <v>521</v>
      </c>
      <c r="E39" s="79" t="s">
        <v>522</v>
      </c>
      <c r="F39" s="79" t="s">
        <v>523</v>
      </c>
      <c r="G39" s="79" t="s">
        <v>524</v>
      </c>
      <c r="H39" s="81" t="s">
        <v>104</v>
      </c>
      <c r="I39" s="79"/>
      <c r="J39" s="79">
        <v>200.0</v>
      </c>
      <c r="K39" s="79"/>
      <c r="L39" s="79" t="s">
        <v>80</v>
      </c>
      <c r="M39" s="79" t="s">
        <v>81</v>
      </c>
      <c r="N39" s="82">
        <v>200.0</v>
      </c>
      <c r="O39" s="82"/>
      <c r="P39" s="82" t="s">
        <v>48</v>
      </c>
      <c r="Q39" s="83">
        <f t="shared" si="1"/>
        <v>200</v>
      </c>
      <c r="R39" s="121"/>
      <c r="S39" s="62"/>
      <c r="T39" s="122"/>
    </row>
    <row r="40" ht="21.75" customHeight="1">
      <c r="A40" s="85">
        <f t="shared" si="2"/>
        <v>36</v>
      </c>
      <c r="B40" s="94">
        <v>46039.0</v>
      </c>
      <c r="C40" s="79" t="s">
        <v>525</v>
      </c>
      <c r="D40" s="80" t="s">
        <v>526</v>
      </c>
      <c r="E40" s="79" t="s">
        <v>527</v>
      </c>
      <c r="F40" s="79" t="s">
        <v>528</v>
      </c>
      <c r="G40" s="79"/>
      <c r="H40" s="81"/>
      <c r="I40" s="79" t="s">
        <v>104</v>
      </c>
      <c r="J40" s="79">
        <v>100.0</v>
      </c>
      <c r="K40" s="79">
        <v>100.0</v>
      </c>
      <c r="L40" s="79" t="s">
        <v>93</v>
      </c>
      <c r="M40" s="79" t="s">
        <v>81</v>
      </c>
      <c r="N40" s="82">
        <v>100.0</v>
      </c>
      <c r="O40" s="82">
        <v>100.0</v>
      </c>
      <c r="P40" s="82" t="s">
        <v>48</v>
      </c>
      <c r="Q40" s="83">
        <f t="shared" si="1"/>
        <v>200</v>
      </c>
      <c r="R40" s="84" t="s">
        <v>529</v>
      </c>
      <c r="S40" s="62"/>
      <c r="T40" s="122"/>
    </row>
    <row r="41" ht="21.75" customHeight="1">
      <c r="A41" s="85">
        <f t="shared" si="2"/>
        <v>37</v>
      </c>
      <c r="B41" s="78">
        <v>46041.0</v>
      </c>
      <c r="C41" s="79">
        <v>4.5083846E7</v>
      </c>
      <c r="D41" s="80" t="s">
        <v>530</v>
      </c>
      <c r="E41" s="79" t="s">
        <v>531</v>
      </c>
      <c r="F41" s="79" t="s">
        <v>190</v>
      </c>
      <c r="G41" s="79" t="s">
        <v>532</v>
      </c>
      <c r="H41" s="81" t="s">
        <v>79</v>
      </c>
      <c r="I41" s="79"/>
      <c r="J41" s="79">
        <v>95.0</v>
      </c>
      <c r="K41" s="79">
        <v>95.0</v>
      </c>
      <c r="L41" s="79" t="s">
        <v>93</v>
      </c>
      <c r="M41" s="79" t="s">
        <v>81</v>
      </c>
      <c r="N41" s="82">
        <v>95.0</v>
      </c>
      <c r="O41" s="82">
        <v>95.0</v>
      </c>
      <c r="P41" s="82" t="s">
        <v>50</v>
      </c>
      <c r="Q41" s="83">
        <f t="shared" si="1"/>
        <v>190</v>
      </c>
      <c r="R41" s="121"/>
      <c r="S41" s="62"/>
      <c r="T41" s="122"/>
    </row>
    <row r="42" ht="21.75" customHeight="1">
      <c r="A42" s="85">
        <f t="shared" si="2"/>
        <v>38</v>
      </c>
      <c r="B42" s="78">
        <v>46041.0</v>
      </c>
      <c r="C42" s="79">
        <v>4.6059441E7</v>
      </c>
      <c r="D42" s="80" t="s">
        <v>533</v>
      </c>
      <c r="E42" s="79" t="s">
        <v>534</v>
      </c>
      <c r="F42" s="79" t="s">
        <v>190</v>
      </c>
      <c r="G42" s="79">
        <v>9.80494024E8</v>
      </c>
      <c r="H42" s="81" t="s">
        <v>79</v>
      </c>
      <c r="I42" s="79"/>
      <c r="J42" s="79">
        <v>95.0</v>
      </c>
      <c r="K42" s="79">
        <v>95.0</v>
      </c>
      <c r="L42" s="79" t="s">
        <v>93</v>
      </c>
      <c r="M42" s="79" t="s">
        <v>81</v>
      </c>
      <c r="N42" s="82">
        <v>95.0</v>
      </c>
      <c r="O42" s="82">
        <v>95.0</v>
      </c>
      <c r="P42" s="82" t="s">
        <v>50</v>
      </c>
      <c r="Q42" s="83">
        <f t="shared" si="1"/>
        <v>190</v>
      </c>
      <c r="R42" s="121"/>
      <c r="S42" s="62"/>
      <c r="T42" s="122"/>
    </row>
    <row r="43" ht="21.75" customHeight="1">
      <c r="A43" s="85">
        <f t="shared" si="2"/>
        <v>39</v>
      </c>
      <c r="B43" s="94">
        <v>46041.0</v>
      </c>
      <c r="C43" s="79">
        <v>1.0874243E7</v>
      </c>
      <c r="D43" s="80" t="s">
        <v>535</v>
      </c>
      <c r="E43" s="79" t="s">
        <v>536</v>
      </c>
      <c r="F43" s="79" t="s">
        <v>537</v>
      </c>
      <c r="G43" s="79">
        <v>9.77176244E8</v>
      </c>
      <c r="H43" s="81"/>
      <c r="I43" s="79" t="s">
        <v>104</v>
      </c>
      <c r="J43" s="79">
        <v>220.0</v>
      </c>
      <c r="K43" s="79"/>
      <c r="L43" s="79" t="s">
        <v>80</v>
      </c>
      <c r="M43" s="79" t="s">
        <v>81</v>
      </c>
      <c r="N43" s="82">
        <v>220.0</v>
      </c>
      <c r="O43" s="82"/>
      <c r="P43" s="82" t="s">
        <v>48</v>
      </c>
      <c r="Q43" s="83">
        <f t="shared" si="1"/>
        <v>220</v>
      </c>
      <c r="R43" s="181"/>
      <c r="S43" s="62"/>
      <c r="T43" s="122"/>
    </row>
    <row r="44" ht="21.75" customHeight="1">
      <c r="A44" s="85">
        <f t="shared" si="2"/>
        <v>40</v>
      </c>
      <c r="B44" s="94">
        <v>46041.0</v>
      </c>
      <c r="C44" s="182">
        <v>4.0891944E7</v>
      </c>
      <c r="D44" s="128" t="s">
        <v>538</v>
      </c>
      <c r="E44" s="157" t="s">
        <v>539</v>
      </c>
      <c r="F44" s="89" t="s">
        <v>84</v>
      </c>
      <c r="G44" s="79">
        <v>9.82002653E8</v>
      </c>
      <c r="H44" s="81" t="s">
        <v>104</v>
      </c>
      <c r="I44" s="79"/>
      <c r="J44" s="79">
        <v>100.0</v>
      </c>
      <c r="K44" s="79">
        <v>100.0</v>
      </c>
      <c r="L44" s="79" t="s">
        <v>93</v>
      </c>
      <c r="M44" s="79" t="s">
        <v>81</v>
      </c>
      <c r="N44" s="82">
        <v>100.0</v>
      </c>
      <c r="O44" s="82">
        <v>0.0</v>
      </c>
      <c r="P44" s="82" t="s">
        <v>48</v>
      </c>
      <c r="Q44" s="83">
        <f t="shared" si="1"/>
        <v>100</v>
      </c>
      <c r="R44" s="181"/>
      <c r="S44" s="62"/>
      <c r="T44" s="122"/>
    </row>
    <row r="45" ht="21.75" customHeight="1">
      <c r="A45" s="85">
        <f t="shared" si="2"/>
        <v>41</v>
      </c>
      <c r="B45" s="88">
        <v>46039.0</v>
      </c>
      <c r="C45" s="183">
        <v>4.5967311E7</v>
      </c>
      <c r="D45" s="80" t="s">
        <v>540</v>
      </c>
      <c r="E45" s="184"/>
      <c r="F45" s="79"/>
      <c r="G45" s="79"/>
      <c r="H45" s="81" t="s">
        <v>104</v>
      </c>
      <c r="I45" s="79"/>
      <c r="J45" s="79">
        <v>110.0</v>
      </c>
      <c r="K45" s="79">
        <v>110.0</v>
      </c>
      <c r="L45" s="79" t="s">
        <v>93</v>
      </c>
      <c r="M45" s="79" t="s">
        <v>81</v>
      </c>
      <c r="N45" s="82">
        <v>110.0</v>
      </c>
      <c r="O45" s="82">
        <v>110.0</v>
      </c>
      <c r="P45" s="82" t="s">
        <v>47</v>
      </c>
      <c r="Q45" s="83">
        <f t="shared" si="1"/>
        <v>220</v>
      </c>
      <c r="R45" s="121"/>
      <c r="S45" s="62"/>
      <c r="T45" s="122"/>
    </row>
    <row r="46" ht="21.75" customHeight="1">
      <c r="A46" s="85">
        <f t="shared" si="2"/>
        <v>42</v>
      </c>
      <c r="B46" s="88">
        <v>46042.0</v>
      </c>
      <c r="C46" s="79">
        <v>7.2751542E7</v>
      </c>
      <c r="D46" s="80" t="s">
        <v>541</v>
      </c>
      <c r="E46" s="79" t="s">
        <v>542</v>
      </c>
      <c r="F46" s="79"/>
      <c r="G46" s="79"/>
      <c r="H46" s="81"/>
      <c r="I46" s="79" t="s">
        <v>104</v>
      </c>
      <c r="J46" s="79">
        <v>190.0</v>
      </c>
      <c r="K46" s="79"/>
      <c r="L46" s="79" t="s">
        <v>80</v>
      </c>
      <c r="M46" s="79" t="s">
        <v>81</v>
      </c>
      <c r="N46" s="82">
        <v>190.0</v>
      </c>
      <c r="O46" s="82"/>
      <c r="P46" s="82" t="s">
        <v>47</v>
      </c>
      <c r="Q46" s="83">
        <f t="shared" si="1"/>
        <v>190</v>
      </c>
      <c r="R46" s="121"/>
      <c r="S46" s="62"/>
      <c r="T46" s="122"/>
    </row>
    <row r="47" ht="21.75" customHeight="1">
      <c r="A47" s="85">
        <f t="shared" si="2"/>
        <v>43</v>
      </c>
      <c r="B47" s="78">
        <v>46043.0</v>
      </c>
      <c r="C47" s="79" t="s">
        <v>543</v>
      </c>
      <c r="D47" s="80" t="s">
        <v>544</v>
      </c>
      <c r="E47" s="79" t="s">
        <v>545</v>
      </c>
      <c r="F47" s="79" t="s">
        <v>158</v>
      </c>
      <c r="G47" s="79" t="s">
        <v>546</v>
      </c>
      <c r="H47" s="81"/>
      <c r="I47" s="79" t="s">
        <v>79</v>
      </c>
      <c r="J47" s="79">
        <v>220.0</v>
      </c>
      <c r="K47" s="79"/>
      <c r="L47" s="79" t="s">
        <v>80</v>
      </c>
      <c r="M47" s="79" t="s">
        <v>81</v>
      </c>
      <c r="N47" s="82">
        <v>220.0</v>
      </c>
      <c r="O47" s="82"/>
      <c r="P47" s="82" t="s">
        <v>50</v>
      </c>
      <c r="Q47" s="83">
        <f t="shared" si="1"/>
        <v>220</v>
      </c>
      <c r="R47" s="121"/>
      <c r="S47" s="62"/>
      <c r="T47" s="122"/>
    </row>
    <row r="48" ht="21.75" customHeight="1">
      <c r="A48" s="85">
        <f t="shared" si="2"/>
        <v>44</v>
      </c>
      <c r="B48" s="94">
        <v>46042.0</v>
      </c>
      <c r="C48" s="79">
        <v>4.1455446E7</v>
      </c>
      <c r="D48" s="80" t="s">
        <v>547</v>
      </c>
      <c r="E48" s="79" t="s">
        <v>548</v>
      </c>
      <c r="F48" s="79" t="s">
        <v>232</v>
      </c>
      <c r="G48" s="79">
        <f>51977709418</f>
        <v>51977709418</v>
      </c>
      <c r="H48" s="81"/>
      <c r="I48" s="79" t="s">
        <v>104</v>
      </c>
      <c r="J48" s="79">
        <v>190.0</v>
      </c>
      <c r="K48" s="79"/>
      <c r="L48" s="79" t="s">
        <v>80</v>
      </c>
      <c r="M48" s="79" t="s">
        <v>81</v>
      </c>
      <c r="N48" s="82">
        <v>190.0</v>
      </c>
      <c r="O48" s="82"/>
      <c r="P48" s="82" t="s">
        <v>48</v>
      </c>
      <c r="Q48" s="83">
        <f t="shared" si="1"/>
        <v>190</v>
      </c>
      <c r="R48" s="84" t="s">
        <v>549</v>
      </c>
      <c r="S48" s="62"/>
      <c r="T48" s="122"/>
    </row>
    <row r="49" ht="21.75" customHeight="1">
      <c r="A49" s="85">
        <f t="shared" si="2"/>
        <v>45</v>
      </c>
      <c r="B49" s="78">
        <v>46042.0</v>
      </c>
      <c r="C49" s="79">
        <v>4.4211612E7</v>
      </c>
      <c r="D49" s="80" t="s">
        <v>550</v>
      </c>
      <c r="E49" s="79" t="s">
        <v>551</v>
      </c>
      <c r="F49" s="79" t="s">
        <v>552</v>
      </c>
      <c r="G49" s="79">
        <f>51944252125</f>
        <v>51944252125</v>
      </c>
      <c r="H49" s="81"/>
      <c r="I49" s="79" t="s">
        <v>104</v>
      </c>
      <c r="J49" s="79">
        <v>180.0</v>
      </c>
      <c r="K49" s="79">
        <v>180.0</v>
      </c>
      <c r="L49" s="79" t="s">
        <v>93</v>
      </c>
      <c r="M49" s="79" t="s">
        <v>174</v>
      </c>
      <c r="N49" s="82">
        <v>180.0</v>
      </c>
      <c r="O49" s="82">
        <v>180.0</v>
      </c>
      <c r="P49" s="82" t="s">
        <v>50</v>
      </c>
      <c r="Q49" s="83">
        <f t="shared" si="1"/>
        <v>360</v>
      </c>
      <c r="R49" s="181">
        <v>0.5</v>
      </c>
      <c r="S49" s="62"/>
      <c r="T49" s="122"/>
    </row>
    <row r="50" ht="21.75" customHeight="1">
      <c r="A50" s="85">
        <f t="shared" si="2"/>
        <v>46</v>
      </c>
      <c r="B50" s="86">
        <v>46043.0</v>
      </c>
      <c r="C50" s="79">
        <v>7.3261104E7</v>
      </c>
      <c r="D50" s="80" t="s">
        <v>553</v>
      </c>
      <c r="E50" s="79" t="s">
        <v>554</v>
      </c>
      <c r="F50" s="79" t="s">
        <v>77</v>
      </c>
      <c r="G50" s="79" t="s">
        <v>555</v>
      </c>
      <c r="H50" s="81"/>
      <c r="I50" s="79" t="s">
        <v>79</v>
      </c>
      <c r="J50" s="79">
        <v>90.0</v>
      </c>
      <c r="K50" s="79">
        <v>90.0</v>
      </c>
      <c r="L50" s="79" t="s">
        <v>93</v>
      </c>
      <c r="M50" s="79" t="s">
        <v>81</v>
      </c>
      <c r="N50" s="82">
        <v>90.0</v>
      </c>
      <c r="O50" s="82">
        <v>90.0</v>
      </c>
      <c r="P50" s="82" t="s">
        <v>45</v>
      </c>
      <c r="Q50" s="83">
        <f t="shared" si="1"/>
        <v>180</v>
      </c>
      <c r="R50" s="121"/>
      <c r="S50" s="62"/>
      <c r="T50" s="122"/>
    </row>
    <row r="51" ht="21.75" customHeight="1">
      <c r="A51" s="85">
        <f t="shared" si="2"/>
        <v>47</v>
      </c>
      <c r="B51" s="86">
        <v>46043.0</v>
      </c>
      <c r="C51" s="79">
        <v>6.180652E7</v>
      </c>
      <c r="D51" s="80" t="s">
        <v>556</v>
      </c>
      <c r="E51" s="79" t="s">
        <v>557</v>
      </c>
      <c r="F51" s="79" t="s">
        <v>77</v>
      </c>
      <c r="G51" s="79" t="s">
        <v>555</v>
      </c>
      <c r="H51" s="81"/>
      <c r="I51" s="79" t="s">
        <v>79</v>
      </c>
      <c r="J51" s="79">
        <v>90.0</v>
      </c>
      <c r="K51" s="79">
        <v>90.0</v>
      </c>
      <c r="L51" s="79" t="s">
        <v>93</v>
      </c>
      <c r="M51" s="79" t="s">
        <v>81</v>
      </c>
      <c r="N51" s="82">
        <v>90.0</v>
      </c>
      <c r="O51" s="82">
        <v>90.0</v>
      </c>
      <c r="P51" s="82" t="s">
        <v>45</v>
      </c>
      <c r="Q51" s="83">
        <f t="shared" si="1"/>
        <v>180</v>
      </c>
      <c r="R51" s="121"/>
      <c r="S51" s="62"/>
      <c r="T51" s="122"/>
    </row>
    <row r="52" ht="21.75" customHeight="1">
      <c r="A52" s="85">
        <f t="shared" si="2"/>
        <v>48</v>
      </c>
      <c r="B52" s="86">
        <v>46043.0</v>
      </c>
      <c r="C52" s="79">
        <v>4.1202552E7</v>
      </c>
      <c r="D52" s="80" t="s">
        <v>558</v>
      </c>
      <c r="E52" s="79" t="s">
        <v>559</v>
      </c>
      <c r="F52" s="130" t="s">
        <v>218</v>
      </c>
      <c r="G52" s="155" t="s">
        <v>560</v>
      </c>
      <c r="H52" s="81"/>
      <c r="I52" s="79" t="s">
        <v>79</v>
      </c>
      <c r="J52" s="79">
        <v>175.0</v>
      </c>
      <c r="K52" s="79">
        <v>175.0</v>
      </c>
      <c r="L52" s="79" t="s">
        <v>93</v>
      </c>
      <c r="M52" s="79" t="s">
        <v>164</v>
      </c>
      <c r="N52" s="82">
        <v>175.0</v>
      </c>
      <c r="O52" s="82">
        <v>175.0</v>
      </c>
      <c r="P52" s="82" t="s">
        <v>45</v>
      </c>
      <c r="Q52" s="83">
        <f t="shared" si="1"/>
        <v>350</v>
      </c>
      <c r="R52" s="84" t="s">
        <v>561</v>
      </c>
      <c r="S52" s="62"/>
      <c r="T52" s="122"/>
    </row>
    <row r="53" ht="21.75" customHeight="1">
      <c r="A53" s="85">
        <f t="shared" si="2"/>
        <v>49</v>
      </c>
      <c r="B53" s="86">
        <v>46043.0</v>
      </c>
      <c r="C53" s="160" t="s">
        <v>562</v>
      </c>
      <c r="D53" s="80" t="s">
        <v>563</v>
      </c>
      <c r="E53" s="79" t="s">
        <v>559</v>
      </c>
      <c r="F53" s="79" t="s">
        <v>218</v>
      </c>
      <c r="G53" s="155" t="s">
        <v>560</v>
      </c>
      <c r="H53" s="81"/>
      <c r="I53" s="79" t="s">
        <v>79</v>
      </c>
      <c r="J53" s="79">
        <v>175.0</v>
      </c>
      <c r="K53" s="79">
        <v>175.0</v>
      </c>
      <c r="L53" s="79" t="s">
        <v>93</v>
      </c>
      <c r="M53" s="79" t="s">
        <v>164</v>
      </c>
      <c r="N53" s="82">
        <v>175.0</v>
      </c>
      <c r="O53" s="82">
        <v>175.0</v>
      </c>
      <c r="P53" s="82" t="s">
        <v>45</v>
      </c>
      <c r="Q53" s="83">
        <f t="shared" si="1"/>
        <v>350</v>
      </c>
      <c r="R53" s="84" t="s">
        <v>561</v>
      </c>
      <c r="S53" s="62"/>
      <c r="T53" s="122"/>
    </row>
    <row r="54" ht="21.75" customHeight="1">
      <c r="A54" s="85">
        <f t="shared" si="2"/>
        <v>50</v>
      </c>
      <c r="B54" s="88">
        <v>46043.0</v>
      </c>
      <c r="C54" s="79"/>
      <c r="D54" s="80" t="s">
        <v>564</v>
      </c>
      <c r="E54" s="79"/>
      <c r="F54" s="79" t="s">
        <v>252</v>
      </c>
      <c r="G54" s="79"/>
      <c r="H54" s="81"/>
      <c r="I54" s="79" t="s">
        <v>104</v>
      </c>
      <c r="J54" s="79">
        <v>190.0</v>
      </c>
      <c r="K54" s="79"/>
      <c r="L54" s="79" t="s">
        <v>80</v>
      </c>
      <c r="M54" s="79" t="s">
        <v>81</v>
      </c>
      <c r="N54" s="82">
        <v>190.0</v>
      </c>
      <c r="O54" s="82"/>
      <c r="P54" s="82" t="s">
        <v>47</v>
      </c>
      <c r="Q54" s="83">
        <f t="shared" si="1"/>
        <v>190</v>
      </c>
      <c r="R54" s="121"/>
      <c r="S54" s="62"/>
      <c r="T54" s="122"/>
    </row>
    <row r="55" ht="21.75" customHeight="1">
      <c r="A55" s="85">
        <f t="shared" si="2"/>
        <v>51</v>
      </c>
      <c r="B55" s="88">
        <v>46044.0</v>
      </c>
      <c r="C55" s="79"/>
      <c r="D55" s="80" t="s">
        <v>565</v>
      </c>
      <c r="E55" s="79"/>
      <c r="F55" s="79"/>
      <c r="G55" s="79"/>
      <c r="H55" s="81"/>
      <c r="I55" s="79" t="s">
        <v>104</v>
      </c>
      <c r="J55" s="79">
        <v>190.0</v>
      </c>
      <c r="K55" s="79"/>
      <c r="L55" s="79" t="s">
        <v>80</v>
      </c>
      <c r="M55" s="79" t="s">
        <v>81</v>
      </c>
      <c r="N55" s="82">
        <v>190.0</v>
      </c>
      <c r="O55" s="82"/>
      <c r="P55" s="82" t="s">
        <v>47</v>
      </c>
      <c r="Q55" s="83">
        <f t="shared" si="1"/>
        <v>190</v>
      </c>
      <c r="R55" s="121"/>
      <c r="S55" s="62"/>
      <c r="T55" s="122"/>
    </row>
    <row r="56" ht="21.75" customHeight="1">
      <c r="A56" s="85">
        <f t="shared" si="2"/>
        <v>52</v>
      </c>
      <c r="B56" s="88">
        <v>46044.0</v>
      </c>
      <c r="C56" s="79"/>
      <c r="D56" s="80" t="s">
        <v>566</v>
      </c>
      <c r="E56" s="79"/>
      <c r="F56" s="79"/>
      <c r="G56" s="79"/>
      <c r="H56" s="81"/>
      <c r="I56" s="79" t="s">
        <v>104</v>
      </c>
      <c r="J56" s="79">
        <v>190.0</v>
      </c>
      <c r="K56" s="79"/>
      <c r="L56" s="79" t="s">
        <v>80</v>
      </c>
      <c r="M56" s="79" t="s">
        <v>81</v>
      </c>
      <c r="N56" s="82">
        <v>190.0</v>
      </c>
      <c r="O56" s="82"/>
      <c r="P56" s="82" t="s">
        <v>47</v>
      </c>
      <c r="Q56" s="83">
        <f t="shared" si="1"/>
        <v>190</v>
      </c>
      <c r="R56" s="121"/>
      <c r="S56" s="62"/>
      <c r="T56" s="122"/>
    </row>
    <row r="57" ht="21.75" customHeight="1">
      <c r="A57" s="85">
        <f t="shared" si="2"/>
        <v>53</v>
      </c>
      <c r="B57" s="88">
        <v>46044.0</v>
      </c>
      <c r="C57" s="79"/>
      <c r="D57" s="128" t="s">
        <v>567</v>
      </c>
      <c r="E57" s="79"/>
      <c r="F57" s="79"/>
      <c r="G57" s="79"/>
      <c r="H57" s="81"/>
      <c r="I57" s="79" t="s">
        <v>104</v>
      </c>
      <c r="J57" s="79">
        <v>110.0</v>
      </c>
      <c r="K57" s="79">
        <v>110.0</v>
      </c>
      <c r="L57" s="79" t="s">
        <v>93</v>
      </c>
      <c r="M57" s="79" t="s">
        <v>81</v>
      </c>
      <c r="N57" s="82">
        <v>110.0</v>
      </c>
      <c r="O57" s="82">
        <v>0.0</v>
      </c>
      <c r="P57" s="82" t="s">
        <v>47</v>
      </c>
      <c r="Q57" s="83">
        <f t="shared" si="1"/>
        <v>110</v>
      </c>
      <c r="R57" s="121"/>
      <c r="S57" s="62"/>
      <c r="T57" s="122"/>
    </row>
    <row r="58" ht="21.75" customHeight="1">
      <c r="A58" s="85">
        <f t="shared" si="2"/>
        <v>54</v>
      </c>
      <c r="B58" s="88">
        <v>46044.0</v>
      </c>
      <c r="C58" s="79"/>
      <c r="D58" s="80" t="s">
        <v>568</v>
      </c>
      <c r="E58" s="79"/>
      <c r="F58" s="79"/>
      <c r="G58" s="79"/>
      <c r="H58" s="81"/>
      <c r="I58" s="79" t="s">
        <v>104</v>
      </c>
      <c r="J58" s="79">
        <v>190.0</v>
      </c>
      <c r="K58" s="79"/>
      <c r="L58" s="79" t="s">
        <v>80</v>
      </c>
      <c r="M58" s="79" t="s">
        <v>81</v>
      </c>
      <c r="N58" s="82">
        <v>190.0</v>
      </c>
      <c r="O58" s="82"/>
      <c r="P58" s="82" t="s">
        <v>47</v>
      </c>
      <c r="Q58" s="83">
        <f t="shared" si="1"/>
        <v>190</v>
      </c>
      <c r="R58" s="121"/>
      <c r="S58" s="62"/>
      <c r="T58" s="122"/>
    </row>
    <row r="59" ht="21.75" customHeight="1">
      <c r="A59" s="85">
        <f t="shared" si="2"/>
        <v>55</v>
      </c>
      <c r="B59" s="88">
        <v>46044.0</v>
      </c>
      <c r="C59" s="79"/>
      <c r="D59" s="80" t="s">
        <v>569</v>
      </c>
      <c r="E59" s="79"/>
      <c r="F59" s="79"/>
      <c r="G59" s="79"/>
      <c r="H59" s="81"/>
      <c r="I59" s="79" t="s">
        <v>104</v>
      </c>
      <c r="J59" s="79">
        <v>190.0</v>
      </c>
      <c r="K59" s="79"/>
      <c r="L59" s="79" t="s">
        <v>80</v>
      </c>
      <c r="M59" s="79" t="s">
        <v>81</v>
      </c>
      <c r="N59" s="82">
        <v>190.0</v>
      </c>
      <c r="O59" s="82"/>
      <c r="P59" s="82" t="s">
        <v>47</v>
      </c>
      <c r="Q59" s="83">
        <f t="shared" si="1"/>
        <v>190</v>
      </c>
      <c r="R59" s="121"/>
      <c r="S59" s="62"/>
      <c r="T59" s="122"/>
    </row>
    <row r="60" ht="21.75" customHeight="1">
      <c r="A60" s="85">
        <f t="shared" si="2"/>
        <v>56</v>
      </c>
      <c r="B60" s="94">
        <v>46045.0</v>
      </c>
      <c r="C60" s="79">
        <v>4.0391708E7</v>
      </c>
      <c r="D60" s="80" t="s">
        <v>570</v>
      </c>
      <c r="E60" s="79" t="s">
        <v>571</v>
      </c>
      <c r="F60" s="79" t="s">
        <v>572</v>
      </c>
      <c r="G60" s="79">
        <v>9.24561456E8</v>
      </c>
      <c r="H60" s="81"/>
      <c r="I60" s="79" t="s">
        <v>79</v>
      </c>
      <c r="J60" s="185">
        <v>175.0</v>
      </c>
      <c r="K60" s="79"/>
      <c r="L60" s="79" t="s">
        <v>80</v>
      </c>
      <c r="M60" s="79" t="s">
        <v>98</v>
      </c>
      <c r="N60" s="82">
        <v>175.0</v>
      </c>
      <c r="O60" s="82"/>
      <c r="P60" s="82" t="s">
        <v>48</v>
      </c>
      <c r="Q60" s="83">
        <f t="shared" si="1"/>
        <v>175</v>
      </c>
      <c r="R60" s="121"/>
      <c r="S60" s="62"/>
      <c r="T60" s="122"/>
    </row>
    <row r="61" ht="21.75" customHeight="1">
      <c r="A61" s="85">
        <f t="shared" si="2"/>
        <v>57</v>
      </c>
      <c r="B61" s="94">
        <v>46045.0</v>
      </c>
      <c r="C61" s="79">
        <v>4.0532533E7</v>
      </c>
      <c r="D61" s="80" t="s">
        <v>573</v>
      </c>
      <c r="E61" s="79" t="s">
        <v>574</v>
      </c>
      <c r="F61" s="79" t="s">
        <v>572</v>
      </c>
      <c r="G61" s="79">
        <v>9.24561456E8</v>
      </c>
      <c r="H61" s="81"/>
      <c r="I61" s="79" t="s">
        <v>79</v>
      </c>
      <c r="J61" s="185">
        <v>175.0</v>
      </c>
      <c r="K61" s="79"/>
      <c r="L61" s="79" t="s">
        <v>80</v>
      </c>
      <c r="M61" s="79" t="s">
        <v>98</v>
      </c>
      <c r="N61" s="82">
        <v>175.0</v>
      </c>
      <c r="O61" s="82"/>
      <c r="P61" s="82" t="s">
        <v>48</v>
      </c>
      <c r="Q61" s="83">
        <f t="shared" si="1"/>
        <v>175</v>
      </c>
      <c r="R61" s="121"/>
      <c r="S61" s="62"/>
      <c r="T61" s="122"/>
    </row>
    <row r="62" ht="21.75" customHeight="1">
      <c r="A62" s="85">
        <f t="shared" si="2"/>
        <v>58</v>
      </c>
      <c r="B62" s="88">
        <v>46045.0</v>
      </c>
      <c r="C62" s="79">
        <v>4.4767965E7</v>
      </c>
      <c r="D62" s="80" t="s">
        <v>575</v>
      </c>
      <c r="E62" s="79"/>
      <c r="F62" s="79"/>
      <c r="G62" s="79"/>
      <c r="H62" s="81"/>
      <c r="I62" s="79" t="s">
        <v>104</v>
      </c>
      <c r="J62" s="79">
        <v>180.0</v>
      </c>
      <c r="K62" s="79">
        <v>180.0</v>
      </c>
      <c r="L62" s="79" t="s">
        <v>93</v>
      </c>
      <c r="M62" s="79" t="s">
        <v>98</v>
      </c>
      <c r="N62" s="82">
        <v>180.0</v>
      </c>
      <c r="O62" s="82">
        <v>180.0</v>
      </c>
      <c r="P62" s="82" t="s">
        <v>47</v>
      </c>
      <c r="Q62" s="83">
        <f t="shared" si="1"/>
        <v>360</v>
      </c>
      <c r="R62" s="121"/>
      <c r="S62" s="62"/>
      <c r="T62" s="122"/>
    </row>
    <row r="63" ht="21.75" customHeight="1">
      <c r="A63" s="85">
        <f t="shared" si="2"/>
        <v>59</v>
      </c>
      <c r="B63" s="86">
        <v>46039.0</v>
      </c>
      <c r="C63" s="79"/>
      <c r="D63" s="80" t="s">
        <v>576</v>
      </c>
      <c r="E63" s="79" t="s">
        <v>577</v>
      </c>
      <c r="F63" s="79" t="s">
        <v>77</v>
      </c>
      <c r="G63" s="79" t="s">
        <v>578</v>
      </c>
      <c r="H63" s="81" t="s">
        <v>79</v>
      </c>
      <c r="I63" s="79"/>
      <c r="J63" s="79">
        <v>90.0</v>
      </c>
      <c r="K63" s="79">
        <v>90.0</v>
      </c>
      <c r="L63" s="79" t="s">
        <v>93</v>
      </c>
      <c r="M63" s="79"/>
      <c r="N63" s="82">
        <v>90.0</v>
      </c>
      <c r="O63" s="82">
        <v>90.0</v>
      </c>
      <c r="P63" s="82" t="s">
        <v>45</v>
      </c>
      <c r="Q63" s="83">
        <f t="shared" si="1"/>
        <v>180</v>
      </c>
      <c r="R63" s="121"/>
      <c r="S63" s="62"/>
      <c r="T63" s="122"/>
    </row>
    <row r="64" ht="21.75" customHeight="1">
      <c r="A64" s="85">
        <f t="shared" si="2"/>
        <v>60</v>
      </c>
      <c r="B64" s="86">
        <v>46039.0</v>
      </c>
      <c r="C64" s="79"/>
      <c r="D64" s="90" t="s">
        <v>579</v>
      </c>
      <c r="E64" s="79" t="s">
        <v>577</v>
      </c>
      <c r="F64" s="79" t="s">
        <v>77</v>
      </c>
      <c r="G64" s="79"/>
      <c r="H64" s="81" t="s">
        <v>79</v>
      </c>
      <c r="I64" s="79"/>
      <c r="J64" s="79">
        <v>90.0</v>
      </c>
      <c r="K64" s="79">
        <v>90.0</v>
      </c>
      <c r="L64" s="79" t="s">
        <v>93</v>
      </c>
      <c r="M64" s="79"/>
      <c r="N64" s="82">
        <v>90.0</v>
      </c>
      <c r="O64" s="82">
        <v>90.0</v>
      </c>
      <c r="P64" s="82" t="s">
        <v>45</v>
      </c>
      <c r="Q64" s="83">
        <f t="shared" si="1"/>
        <v>180</v>
      </c>
      <c r="R64" s="121"/>
      <c r="S64" s="62"/>
      <c r="T64" s="122"/>
    </row>
    <row r="65" ht="21.75" customHeight="1">
      <c r="A65" s="85">
        <f t="shared" si="2"/>
        <v>61</v>
      </c>
      <c r="B65" s="88">
        <v>46046.0</v>
      </c>
      <c r="C65" s="79">
        <v>7.2190417E7</v>
      </c>
      <c r="D65" s="80" t="s">
        <v>580</v>
      </c>
      <c r="E65" s="79" t="s">
        <v>581</v>
      </c>
      <c r="F65" s="79" t="s">
        <v>582</v>
      </c>
      <c r="G65" s="79"/>
      <c r="H65" s="81"/>
      <c r="I65" s="79" t="s">
        <v>104</v>
      </c>
      <c r="J65" s="79">
        <v>100.0</v>
      </c>
      <c r="K65" s="79">
        <v>280.0</v>
      </c>
      <c r="L65" s="79" t="s">
        <v>93</v>
      </c>
      <c r="M65" s="79"/>
      <c r="N65" s="82">
        <v>100.0</v>
      </c>
      <c r="O65" s="82">
        <v>280.0</v>
      </c>
      <c r="P65" s="82" t="s">
        <v>47</v>
      </c>
      <c r="Q65" s="83">
        <f t="shared" si="1"/>
        <v>380</v>
      </c>
      <c r="R65" s="121"/>
      <c r="S65" s="62"/>
      <c r="T65" s="122"/>
    </row>
    <row r="66" ht="21.75" customHeight="1">
      <c r="A66" s="85">
        <f t="shared" si="2"/>
        <v>62</v>
      </c>
      <c r="B66" s="94">
        <v>46039.0</v>
      </c>
      <c r="C66" s="79">
        <v>7975001.0</v>
      </c>
      <c r="D66" s="80" t="s">
        <v>583</v>
      </c>
      <c r="E66" s="79" t="s">
        <v>584</v>
      </c>
      <c r="F66" s="79" t="s">
        <v>585</v>
      </c>
      <c r="G66" s="79">
        <f>51987402177 </f>
        <v>51987402177</v>
      </c>
      <c r="H66" s="81"/>
      <c r="I66" s="79" t="s">
        <v>104</v>
      </c>
      <c r="J66" s="79">
        <v>190.0</v>
      </c>
      <c r="K66" s="79"/>
      <c r="L66" s="79" t="s">
        <v>80</v>
      </c>
      <c r="M66" s="79" t="s">
        <v>81</v>
      </c>
      <c r="N66" s="82">
        <v>190.0</v>
      </c>
      <c r="O66" s="82"/>
      <c r="P66" s="82" t="s">
        <v>46</v>
      </c>
      <c r="Q66" s="83">
        <f t="shared" si="1"/>
        <v>190</v>
      </c>
      <c r="R66" s="121"/>
      <c r="S66" s="62"/>
      <c r="T66" s="122"/>
    </row>
    <row r="67" ht="21.75" customHeight="1">
      <c r="A67" s="85">
        <f t="shared" si="2"/>
        <v>63</v>
      </c>
      <c r="B67" s="87"/>
      <c r="C67" s="79"/>
      <c r="D67" s="80" t="s">
        <v>586</v>
      </c>
      <c r="E67" s="79"/>
      <c r="F67" s="79"/>
      <c r="G67" s="79"/>
      <c r="H67" s="81"/>
      <c r="I67" s="79" t="s">
        <v>79</v>
      </c>
      <c r="J67" s="79">
        <v>110.0</v>
      </c>
      <c r="K67" s="79">
        <v>110.0</v>
      </c>
      <c r="L67" s="79" t="s">
        <v>93</v>
      </c>
      <c r="M67" s="79" t="s">
        <v>143</v>
      </c>
      <c r="N67" s="82">
        <v>104.88</v>
      </c>
      <c r="O67" s="82">
        <v>110.0</v>
      </c>
      <c r="P67" s="82" t="s">
        <v>46</v>
      </c>
      <c r="Q67" s="83">
        <f t="shared" si="1"/>
        <v>214.88</v>
      </c>
      <c r="R67" s="121"/>
      <c r="S67" s="62"/>
      <c r="T67" s="122"/>
    </row>
    <row r="68" ht="21.75" customHeight="1">
      <c r="A68" s="85">
        <f t="shared" si="2"/>
        <v>64</v>
      </c>
      <c r="B68" s="87"/>
      <c r="C68" s="79"/>
      <c r="D68" s="80" t="s">
        <v>587</v>
      </c>
      <c r="E68" s="79"/>
      <c r="F68" s="79"/>
      <c r="G68" s="79"/>
      <c r="H68" s="81"/>
      <c r="I68" s="79" t="s">
        <v>79</v>
      </c>
      <c r="J68" s="79">
        <v>110.0</v>
      </c>
      <c r="K68" s="79">
        <v>110.0</v>
      </c>
      <c r="L68" s="79" t="s">
        <v>93</v>
      </c>
      <c r="M68" s="79" t="s">
        <v>143</v>
      </c>
      <c r="N68" s="82">
        <v>104.88</v>
      </c>
      <c r="O68" s="82">
        <v>110.0</v>
      </c>
      <c r="P68" s="82" t="s">
        <v>46</v>
      </c>
      <c r="Q68" s="83">
        <f t="shared" si="1"/>
        <v>214.88</v>
      </c>
      <c r="R68" s="121"/>
      <c r="S68" s="62"/>
      <c r="T68" s="122"/>
    </row>
    <row r="69" ht="21.75" customHeight="1">
      <c r="A69" s="85">
        <f t="shared" si="2"/>
        <v>65</v>
      </c>
      <c r="B69" s="87"/>
      <c r="C69" s="79"/>
      <c r="D69" s="80"/>
      <c r="E69" s="79"/>
      <c r="F69" s="79"/>
      <c r="G69" s="79"/>
      <c r="H69" s="81"/>
      <c r="I69" s="79"/>
      <c r="J69" s="79"/>
      <c r="K69" s="79"/>
      <c r="L69" s="79"/>
      <c r="M69" s="79"/>
      <c r="N69" s="82"/>
      <c r="O69" s="82"/>
      <c r="P69" s="82"/>
      <c r="Q69" s="83">
        <f t="shared" si="1"/>
        <v>0</v>
      </c>
      <c r="R69" s="121"/>
      <c r="S69" s="62"/>
      <c r="T69" s="122"/>
    </row>
    <row r="70" ht="21.75" customHeight="1">
      <c r="A70" s="85">
        <f t="shared" si="2"/>
        <v>66</v>
      </c>
      <c r="B70" s="87"/>
      <c r="C70" s="79"/>
      <c r="D70" s="80"/>
      <c r="E70" s="79"/>
      <c r="F70" s="79"/>
      <c r="G70" s="79"/>
      <c r="H70" s="81"/>
      <c r="I70" s="79"/>
      <c r="J70" s="79"/>
      <c r="K70" s="79"/>
      <c r="L70" s="79"/>
      <c r="M70" s="79"/>
      <c r="N70" s="82"/>
      <c r="O70" s="82"/>
      <c r="P70" s="82"/>
      <c r="Q70" s="83">
        <f t="shared" si="1"/>
        <v>0</v>
      </c>
      <c r="R70" s="121"/>
      <c r="S70" s="62"/>
      <c r="T70" s="122"/>
    </row>
    <row r="71" ht="21.75" customHeight="1">
      <c r="A71" s="85">
        <f t="shared" si="2"/>
        <v>67</v>
      </c>
      <c r="B71" s="87"/>
      <c r="C71" s="79"/>
      <c r="D71" s="80"/>
      <c r="E71" s="79"/>
      <c r="F71" s="79"/>
      <c r="G71" s="79"/>
      <c r="H71" s="81"/>
      <c r="I71" s="79"/>
      <c r="J71" s="79"/>
      <c r="K71" s="79"/>
      <c r="L71" s="79"/>
      <c r="M71" s="79"/>
      <c r="N71" s="82"/>
      <c r="O71" s="82"/>
      <c r="P71" s="82"/>
      <c r="Q71" s="83">
        <f t="shared" si="1"/>
        <v>0</v>
      </c>
      <c r="R71" s="121"/>
      <c r="S71" s="62"/>
      <c r="T71" s="122"/>
    </row>
    <row r="72" ht="21.75" customHeight="1">
      <c r="A72" s="85">
        <f t="shared" si="2"/>
        <v>68</v>
      </c>
      <c r="B72" s="87"/>
      <c r="C72" s="79"/>
      <c r="D72" s="80"/>
      <c r="E72" s="79"/>
      <c r="F72" s="79"/>
      <c r="G72" s="79"/>
      <c r="H72" s="81"/>
      <c r="I72" s="79"/>
      <c r="J72" s="79"/>
      <c r="K72" s="79"/>
      <c r="L72" s="79"/>
      <c r="M72" s="79"/>
      <c r="N72" s="82"/>
      <c r="O72" s="82"/>
      <c r="P72" s="82"/>
      <c r="Q72" s="83">
        <f t="shared" si="1"/>
        <v>0</v>
      </c>
      <c r="R72" s="84" t="s">
        <v>74</v>
      </c>
      <c r="S72" s="62"/>
      <c r="T72" s="122"/>
    </row>
    <row r="73" ht="21.75" customHeight="1">
      <c r="A73" s="95"/>
      <c r="B73" s="95"/>
      <c r="C73" s="95"/>
      <c r="D73" s="95"/>
      <c r="E73" s="95"/>
      <c r="F73" s="95"/>
      <c r="G73" s="96" t="s">
        <v>178</v>
      </c>
      <c r="H73" s="97">
        <f t="shared" ref="H73:I73" si="3">COUNTIF(H4:H72,"X")</f>
        <v>34</v>
      </c>
      <c r="I73" s="97">
        <f t="shared" si="3"/>
        <v>34</v>
      </c>
      <c r="J73" s="98">
        <f t="shared" ref="J73:K73" si="4">SUM(J4:J72)</f>
        <v>10000</v>
      </c>
      <c r="K73" s="98">
        <f t="shared" si="4"/>
        <v>3885</v>
      </c>
      <c r="L73" s="50"/>
      <c r="M73" s="134"/>
      <c r="N73" s="98">
        <f t="shared" ref="N73:O73" si="5">SUM(N4:N72)</f>
        <v>9750.76</v>
      </c>
      <c r="O73" s="98">
        <f t="shared" si="5"/>
        <v>3360</v>
      </c>
      <c r="P73" s="95"/>
      <c r="Q73" s="99"/>
      <c r="R73" s="134"/>
      <c r="S73" s="63"/>
      <c r="T73" s="1"/>
    </row>
    <row r="74" ht="19.5" customHeight="1">
      <c r="A74" s="2"/>
      <c r="B74" s="2"/>
      <c r="C74" s="2"/>
      <c r="D74" s="2"/>
      <c r="E74" s="2"/>
      <c r="F74" s="2"/>
      <c r="G74" s="100" t="s">
        <v>179</v>
      </c>
      <c r="H74" s="101">
        <v>34.0</v>
      </c>
      <c r="I74" s="101">
        <v>34.0</v>
      </c>
      <c r="J74" s="102">
        <f>SUM(J73:K73)</f>
        <v>13885</v>
      </c>
      <c r="K74" s="103"/>
      <c r="L74" s="2"/>
      <c r="M74" s="1"/>
      <c r="N74" s="102">
        <f>SUM(N73:O73)</f>
        <v>13110.76</v>
      </c>
      <c r="O74" s="103"/>
      <c r="P74" s="2"/>
      <c r="Q74" s="5"/>
      <c r="R74" s="1"/>
      <c r="S74" s="63"/>
      <c r="T74" s="1"/>
    </row>
    <row r="75" ht="19.5" customHeight="1">
      <c r="A75" s="2"/>
      <c r="B75" s="104"/>
      <c r="C75" s="2"/>
      <c r="D75" s="169"/>
      <c r="E75" s="1"/>
      <c r="F75" s="1"/>
      <c r="G75" s="106" t="s">
        <v>180</v>
      </c>
      <c r="H75" s="107">
        <f t="shared" ref="H75:I75" si="6">H74-H73</f>
        <v>0</v>
      </c>
      <c r="I75" s="107">
        <f t="shared" si="6"/>
        <v>0</v>
      </c>
      <c r="J75" s="108" t="s">
        <v>181</v>
      </c>
      <c r="K75" s="109"/>
      <c r="L75" s="2"/>
      <c r="M75" s="1"/>
      <c r="N75" s="108" t="s">
        <v>182</v>
      </c>
      <c r="O75" s="109"/>
      <c r="P75" s="104"/>
      <c r="Q75" s="5"/>
      <c r="R75" s="1"/>
      <c r="S75" s="63"/>
      <c r="T75" s="1"/>
    </row>
    <row r="76" ht="19.5" customHeight="1">
      <c r="A76" s="2"/>
      <c r="B76" s="104"/>
      <c r="C76" s="2"/>
      <c r="D76" s="169"/>
      <c r="E76" s="1"/>
      <c r="F76" s="1"/>
      <c r="G76" s="2"/>
      <c r="H76" s="110">
        <v>200.0</v>
      </c>
      <c r="I76" s="110">
        <v>200.0</v>
      </c>
      <c r="J76" s="2"/>
      <c r="K76" s="2"/>
      <c r="L76" s="2"/>
      <c r="M76" s="1"/>
      <c r="N76" s="104"/>
      <c r="O76" s="104"/>
      <c r="P76" s="104"/>
      <c r="Q76" s="5"/>
      <c r="R76" s="1"/>
      <c r="S76" s="63"/>
      <c r="T76" s="122" t="s">
        <v>68</v>
      </c>
    </row>
    <row r="77" ht="19.5" customHeight="1">
      <c r="A77" s="2"/>
      <c r="B77" s="104"/>
      <c r="C77" s="2"/>
      <c r="D77" s="169"/>
      <c r="E77" s="1"/>
      <c r="F77" s="1"/>
      <c r="G77" s="2"/>
      <c r="H77" s="111">
        <f t="shared" ref="H77:I77" si="7">H75*H76</f>
        <v>0</v>
      </c>
      <c r="I77" s="111">
        <f t="shared" si="7"/>
        <v>0</v>
      </c>
      <c r="J77" s="2"/>
      <c r="K77" s="2"/>
      <c r="L77" s="2"/>
      <c r="M77" s="1"/>
      <c r="N77" s="104"/>
      <c r="O77" s="104"/>
      <c r="P77" s="104"/>
      <c r="Q77" s="5"/>
      <c r="R77" s="1"/>
      <c r="S77" s="63"/>
      <c r="T77" s="1"/>
    </row>
    <row r="78" ht="19.5" customHeight="1">
      <c r="A78" s="2"/>
      <c r="B78" s="104"/>
      <c r="C78" s="2"/>
      <c r="D78" s="169"/>
      <c r="E78" s="1"/>
      <c r="F78" s="1"/>
      <c r="G78" s="2"/>
      <c r="H78" s="112">
        <f>H77+I77</f>
        <v>0</v>
      </c>
      <c r="I78" s="109"/>
      <c r="J78" s="2"/>
      <c r="K78" s="2"/>
      <c r="L78" s="2"/>
      <c r="M78" s="1"/>
      <c r="N78" s="104"/>
      <c r="O78" s="104"/>
      <c r="P78" s="104"/>
      <c r="Q78" s="5"/>
      <c r="R78" s="1"/>
      <c r="S78" s="63"/>
      <c r="T78" s="1"/>
    </row>
    <row r="79" ht="19.5" customHeight="1">
      <c r="A79" s="2"/>
      <c r="B79" s="104"/>
      <c r="C79" s="2"/>
      <c r="D79" s="169"/>
      <c r="E79" s="1"/>
      <c r="F79" s="1"/>
      <c r="G79" s="2"/>
      <c r="H79" s="2"/>
      <c r="I79" s="2"/>
      <c r="J79" s="2"/>
      <c r="K79" s="2"/>
      <c r="L79" s="2"/>
      <c r="M79" s="1"/>
      <c r="N79" s="1"/>
      <c r="O79" s="1"/>
      <c r="P79" s="1"/>
      <c r="Q79" s="116"/>
      <c r="R79" s="1"/>
      <c r="S79" s="63"/>
      <c r="T79" s="1"/>
    </row>
    <row r="80" ht="19.5" customHeight="1">
      <c r="A80" s="2"/>
      <c r="B80" s="104"/>
      <c r="C80" s="2"/>
      <c r="D80" s="169"/>
      <c r="E80" s="1"/>
      <c r="F80" s="1"/>
      <c r="G80" s="2"/>
      <c r="H80" s="2"/>
      <c r="I80" s="2"/>
      <c r="J80" s="2"/>
      <c r="K80" s="2"/>
      <c r="L80" s="2"/>
      <c r="M80" s="1"/>
      <c r="N80" s="1"/>
      <c r="O80" s="1"/>
      <c r="P80" s="1"/>
      <c r="Q80" s="116"/>
      <c r="R80" s="1"/>
      <c r="S80" s="63"/>
      <c r="T80" s="1"/>
    </row>
    <row r="81" ht="19.5" customHeight="1">
      <c r="A81" s="2"/>
      <c r="B81" s="104"/>
      <c r="C81" s="2"/>
      <c r="D81" s="169"/>
      <c r="E81" s="1"/>
      <c r="F81" s="1"/>
      <c r="G81" s="2"/>
      <c r="H81" s="2"/>
      <c r="I81" s="2"/>
      <c r="J81" s="2"/>
      <c r="K81" s="2"/>
      <c r="L81" s="2"/>
      <c r="M81" s="1"/>
      <c r="N81" s="1"/>
      <c r="O81" s="1"/>
      <c r="P81" s="1"/>
      <c r="Q81" s="116"/>
      <c r="R81" s="1"/>
      <c r="S81" s="63"/>
      <c r="T81" s="1"/>
    </row>
    <row r="82" ht="19.5" customHeight="1">
      <c r="A82" s="2"/>
      <c r="B82" s="104"/>
      <c r="C82" s="2"/>
      <c r="D82" s="169"/>
      <c r="E82" s="1"/>
      <c r="F82" s="1"/>
      <c r="G82" s="2"/>
      <c r="H82" s="2"/>
      <c r="I82" s="2"/>
      <c r="J82" s="2"/>
      <c r="K82" s="2"/>
      <c r="L82" s="2"/>
      <c r="M82" s="1"/>
      <c r="N82" s="1"/>
      <c r="O82" s="1"/>
      <c r="P82" s="1"/>
      <c r="Q82" s="116"/>
      <c r="R82" s="1"/>
      <c r="S82" s="63"/>
      <c r="T82" s="1"/>
    </row>
  </sheetData>
  <autoFilter ref="$A$4:$T$78"/>
  <customSheetViews>
    <customSheetView guid="{A9B8627E-26B2-4201-803A-467C3700F329}" filter="1" showAutoFilter="1">
      <autoFilter ref="$A$2:$T$82"/>
    </customSheetView>
    <customSheetView guid="{E5EE51B3-DE45-4D2E-9071-A5BED79D171F}" filter="1" showAutoFilter="1">
      <autoFilter ref="$A$2:$T$82"/>
    </customSheetView>
    <customSheetView guid="{BA335440-5B37-4C05-BCDC-9CD4D4923240}" filter="1" showAutoFilter="1">
      <autoFilter ref="$A$1:$T$82"/>
    </customSheetView>
    <customSheetView guid="{BD076BCF-39B8-44C5-BF95-7B82C910DEB0}" filter="1" showAutoFilter="1">
      <autoFilter ref="$A$4:$T$78"/>
    </customSheetView>
  </customSheetViews>
  <mergeCells count="8">
    <mergeCell ref="A2:M2"/>
    <mergeCell ref="A3:F3"/>
    <mergeCell ref="G3:J3"/>
    <mergeCell ref="J74:K74"/>
    <mergeCell ref="N74:O74"/>
    <mergeCell ref="J75:K75"/>
    <mergeCell ref="N75:O75"/>
    <mergeCell ref="H78:I78"/>
  </mergeCells>
  <conditionalFormatting sqref="M5:M72 R5:R72 L26">
    <cfRule type="containsText" dxfId="3" priority="1" operator="containsText" text="fh">
      <formula>NOT(ISERROR(SEARCH(("fh"),(M5))))</formula>
    </cfRule>
  </conditionalFormatting>
  <conditionalFormatting sqref="L1 L4:L72 M4 N8:O14 N16:O18 L74:L77 L79:L82">
    <cfRule type="containsText" dxfId="0" priority="2" operator="containsText" text="COBR">
      <formula>NOT(ISERROR(SEARCH(("COBR"),(L1))))</formula>
    </cfRule>
  </conditionalFormatting>
  <conditionalFormatting sqref="L1 L4:L72 M4 N8:O14 N16:O18 L74:L77 L79:L82">
    <cfRule type="containsText" dxfId="1" priority="3" operator="containsText" text="INTE">
      <formula>NOT(ISERROR(SEARCH(("INTE"),(L1))))</formula>
    </cfRule>
  </conditionalFormatting>
  <conditionalFormatting sqref="L1 L4:L72 M4 J74 L74:L77 N74 L79:L82">
    <cfRule type="containsText" dxfId="2" priority="4" operator="containsText" text="DESC">
      <formula>NOT(ISERROR(SEARCH(("DESC"),(L1))))</formula>
    </cfRule>
  </conditionalFormatting>
  <dataValidations>
    <dataValidation type="list" allowBlank="1" showErrorMessage="1" sqref="M5:M72">
      <formula1>CUENTAS</formula1>
    </dataValidation>
    <dataValidation type="list" allowBlank="1" showErrorMessage="1" sqref="P5:P72">
      <formula1>VENDEDOR</formula1>
    </dataValidation>
    <dataValidation type="list" allowBlank="1" showErrorMessage="1" sqref="L5:L13 L16:L72">
      <formula1>SITUACION</formula1>
    </dataValidation>
  </dataValidations>
  <hyperlinks>
    <hyperlink r:id="rId1" ref="E12"/>
    <hyperlink r:id="rId2" ref="E22"/>
    <hyperlink r:id="rId3" ref="E28"/>
    <hyperlink r:id="rId4" ref="E29"/>
    <hyperlink r:id="rId5" ref="E44"/>
  </hyperlinks>
  <printOptions gridLines="1" horizontalCentered="1"/>
  <pageMargins bottom="0.6" footer="0.0" header="0.0" left="0.18446313842671508" right="0.1947110905615326" top="0.21520699483116765"/>
  <pageSetup fitToHeight="0" paperSize="9" cellComments="atEnd" orientation="landscape" pageOrder="overThenDown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13.13"/>
    <col customWidth="1" min="4" max="4" width="30.38"/>
    <col customWidth="1" min="5" max="6" width="19.5"/>
    <col customWidth="1" min="7" max="7" width="18.63"/>
    <col customWidth="1" min="8" max="9" width="9.0"/>
    <col customWidth="1" min="10" max="11" width="12.63"/>
    <col customWidth="1" min="12" max="12" width="14.38"/>
    <col customWidth="1" min="13" max="13" width="14.75"/>
    <col customWidth="1" min="14" max="15" width="12.63"/>
    <col customWidth="1" min="16" max="19" width="21.63"/>
    <col customWidth="1" min="20" max="20" width="2.25"/>
  </cols>
  <sheetData>
    <row r="1" ht="19.5" customHeight="1">
      <c r="A1" s="55" t="s">
        <v>68</v>
      </c>
      <c r="B1" s="56"/>
      <c r="C1" s="57"/>
      <c r="D1" s="186" t="s">
        <v>588</v>
      </c>
      <c r="E1" s="57"/>
      <c r="F1" s="57"/>
      <c r="G1" s="57"/>
      <c r="H1" s="57"/>
      <c r="I1" s="57"/>
      <c r="J1" s="57"/>
      <c r="K1" s="57"/>
      <c r="L1" s="57"/>
      <c r="M1" s="57"/>
      <c r="N1" s="2"/>
      <c r="O1" s="2"/>
      <c r="P1" s="2"/>
      <c r="Q1" s="5"/>
      <c r="R1" s="2"/>
      <c r="S1" s="2"/>
      <c r="T1" s="2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62"/>
      <c r="O2" s="63"/>
      <c r="P2" s="63"/>
      <c r="Q2" s="64"/>
      <c r="R2" s="63"/>
      <c r="S2" s="63"/>
      <c r="T2" s="2"/>
    </row>
    <row r="3" ht="30.75" customHeight="1">
      <c r="A3" s="65" t="s">
        <v>70</v>
      </c>
      <c r="B3" s="60"/>
      <c r="C3" s="60"/>
      <c r="D3" s="60"/>
      <c r="E3" s="60"/>
      <c r="F3" s="60"/>
      <c r="G3" s="66">
        <v>45688.0</v>
      </c>
      <c r="H3" s="60"/>
      <c r="I3" s="60"/>
      <c r="J3" s="60"/>
      <c r="K3" s="67"/>
      <c r="L3" s="67"/>
      <c r="M3" s="68"/>
      <c r="N3" s="69"/>
      <c r="O3" s="70"/>
      <c r="P3" s="70"/>
      <c r="Q3" s="71"/>
      <c r="R3" s="70"/>
      <c r="S3" s="63"/>
      <c r="T3" s="2"/>
    </row>
    <row r="4" ht="27.0" customHeight="1">
      <c r="A4" s="72" t="s">
        <v>0</v>
      </c>
      <c r="B4" s="72" t="s">
        <v>7</v>
      </c>
      <c r="C4" s="72" t="s">
        <v>8</v>
      </c>
      <c r="D4" s="73" t="s">
        <v>9</v>
      </c>
      <c r="E4" s="72" t="s">
        <v>10</v>
      </c>
      <c r="F4" s="73" t="s">
        <v>11</v>
      </c>
      <c r="G4" s="73" t="s">
        <v>12</v>
      </c>
      <c r="H4" s="74" t="s">
        <v>73</v>
      </c>
      <c r="I4" s="74" t="s">
        <v>72</v>
      </c>
      <c r="J4" s="74" t="s">
        <v>15</v>
      </c>
      <c r="K4" s="74" t="s">
        <v>16</v>
      </c>
      <c r="L4" s="74" t="s">
        <v>17</v>
      </c>
      <c r="M4" s="74" t="s">
        <v>18</v>
      </c>
      <c r="N4" s="75" t="s">
        <v>19</v>
      </c>
      <c r="O4" s="75" t="s">
        <v>20</v>
      </c>
      <c r="P4" s="75" t="s">
        <v>21</v>
      </c>
      <c r="Q4" s="76" t="s">
        <v>22</v>
      </c>
      <c r="R4" s="72" t="s">
        <v>74</v>
      </c>
      <c r="S4" s="62"/>
      <c r="T4" s="2"/>
    </row>
    <row r="5" ht="21.75" customHeight="1">
      <c r="A5" s="77">
        <v>1.0</v>
      </c>
      <c r="B5" s="78">
        <v>46024.0</v>
      </c>
      <c r="C5" s="79">
        <v>7.6197577E7</v>
      </c>
      <c r="D5" s="80" t="s">
        <v>446</v>
      </c>
      <c r="E5" s="79" t="s">
        <v>447</v>
      </c>
      <c r="F5" s="79" t="s">
        <v>236</v>
      </c>
      <c r="G5" s="79" t="s">
        <v>448</v>
      </c>
      <c r="H5" s="81" t="s">
        <v>79</v>
      </c>
      <c r="I5" s="79"/>
      <c r="J5" s="79">
        <v>190.0</v>
      </c>
      <c r="K5" s="79"/>
      <c r="L5" s="79" t="s">
        <v>80</v>
      </c>
      <c r="M5" s="79" t="s">
        <v>98</v>
      </c>
      <c r="N5" s="82">
        <v>190.0</v>
      </c>
      <c r="O5" s="82"/>
      <c r="P5" s="82" t="s">
        <v>50</v>
      </c>
      <c r="Q5" s="83">
        <f t="shared" ref="Q5:Q72" si="1">N5+O5</f>
        <v>190</v>
      </c>
      <c r="R5" s="84" t="s">
        <v>74</v>
      </c>
      <c r="S5" s="62"/>
      <c r="T5" s="2"/>
    </row>
    <row r="6" ht="21.75" customHeight="1">
      <c r="A6" s="85">
        <f t="shared" ref="A6:A72" si="2">A5+1</f>
        <v>2</v>
      </c>
      <c r="B6" s="78">
        <v>46025.0</v>
      </c>
      <c r="C6" s="79">
        <v>4.1735143E7</v>
      </c>
      <c r="D6" s="80" t="s">
        <v>449</v>
      </c>
      <c r="E6" s="79" t="s">
        <v>450</v>
      </c>
      <c r="F6" s="79" t="s">
        <v>451</v>
      </c>
      <c r="G6" s="79" t="s">
        <v>452</v>
      </c>
      <c r="H6" s="81" t="s">
        <v>79</v>
      </c>
      <c r="I6" s="79"/>
      <c r="J6" s="79">
        <v>0.0</v>
      </c>
      <c r="K6" s="79"/>
      <c r="L6" s="79"/>
      <c r="M6" s="79"/>
      <c r="N6" s="82">
        <v>0.0</v>
      </c>
      <c r="O6" s="82"/>
      <c r="P6" s="82" t="s">
        <v>50</v>
      </c>
      <c r="Q6" s="83">
        <f t="shared" si="1"/>
        <v>0</v>
      </c>
      <c r="R6" s="84" t="s">
        <v>589</v>
      </c>
      <c r="S6" s="62"/>
      <c r="T6" s="14"/>
    </row>
    <row r="7" ht="21.75" customHeight="1">
      <c r="A7" s="85">
        <f t="shared" si="2"/>
        <v>3</v>
      </c>
      <c r="B7" s="132">
        <v>46038.0</v>
      </c>
      <c r="C7" s="79" t="s">
        <v>517</v>
      </c>
      <c r="D7" s="80" t="s">
        <v>518</v>
      </c>
      <c r="E7" s="79" t="s">
        <v>519</v>
      </c>
      <c r="F7" s="79" t="s">
        <v>520</v>
      </c>
      <c r="G7" s="79"/>
      <c r="I7" s="79" t="s">
        <v>104</v>
      </c>
      <c r="J7" s="79">
        <v>0.0</v>
      </c>
      <c r="K7" s="79"/>
      <c r="L7" s="79"/>
      <c r="M7" s="79"/>
      <c r="N7" s="82">
        <v>0.0</v>
      </c>
      <c r="O7" s="82"/>
      <c r="P7" s="82" t="s">
        <v>50</v>
      </c>
      <c r="Q7" s="83">
        <f t="shared" si="1"/>
        <v>0</v>
      </c>
      <c r="R7" s="84"/>
      <c r="S7" s="62"/>
      <c r="T7" s="14"/>
    </row>
    <row r="8" ht="21.75" customHeight="1">
      <c r="A8" s="85">
        <f t="shared" si="2"/>
        <v>4</v>
      </c>
      <c r="B8" s="88">
        <v>46042.0</v>
      </c>
      <c r="C8" s="79">
        <v>7.2751542E7</v>
      </c>
      <c r="D8" s="80" t="s">
        <v>541</v>
      </c>
      <c r="E8" s="79" t="s">
        <v>542</v>
      </c>
      <c r="G8" s="54"/>
      <c r="I8" s="79"/>
      <c r="J8" s="79"/>
      <c r="K8" s="79"/>
      <c r="L8" s="79"/>
      <c r="M8" s="79"/>
      <c r="N8" s="82"/>
      <c r="O8" s="82"/>
      <c r="P8" s="82"/>
      <c r="Q8" s="83">
        <f t="shared" si="1"/>
        <v>0</v>
      </c>
      <c r="R8" s="84" t="s">
        <v>590</v>
      </c>
      <c r="S8" s="62"/>
      <c r="T8" s="14"/>
    </row>
    <row r="9" ht="21.75" customHeight="1">
      <c r="A9" s="85">
        <f t="shared" si="2"/>
        <v>5</v>
      </c>
      <c r="B9" s="94">
        <v>46030.0</v>
      </c>
      <c r="C9" s="89">
        <v>4.6063723E7</v>
      </c>
      <c r="D9" s="172" t="s">
        <v>361</v>
      </c>
      <c r="E9" s="187" t="s">
        <v>591</v>
      </c>
      <c r="F9" s="172" t="s">
        <v>363</v>
      </c>
      <c r="G9" s="79">
        <v>9.48350215E8</v>
      </c>
      <c r="H9" s="81"/>
      <c r="I9" s="79" t="s">
        <v>79</v>
      </c>
      <c r="J9" s="79">
        <v>0.0</v>
      </c>
      <c r="K9" s="79"/>
      <c r="L9" s="79" t="s">
        <v>80</v>
      </c>
      <c r="M9" s="79"/>
      <c r="N9" s="82">
        <v>0.0</v>
      </c>
      <c r="O9" s="82"/>
      <c r="P9" s="82" t="s">
        <v>48</v>
      </c>
      <c r="Q9" s="83">
        <f t="shared" si="1"/>
        <v>0</v>
      </c>
      <c r="R9" s="84" t="s">
        <v>592</v>
      </c>
      <c r="S9" s="62"/>
      <c r="T9" s="14"/>
    </row>
    <row r="10" ht="21.75" customHeight="1">
      <c r="A10" s="85">
        <f t="shared" si="2"/>
        <v>6</v>
      </c>
      <c r="B10" s="86">
        <v>46042.0</v>
      </c>
      <c r="C10" s="79">
        <v>2.0063027E7</v>
      </c>
      <c r="D10" s="188" t="s">
        <v>593</v>
      </c>
      <c r="E10" s="79" t="s">
        <v>594</v>
      </c>
      <c r="F10" s="79" t="s">
        <v>455</v>
      </c>
      <c r="G10" s="79" t="s">
        <v>595</v>
      </c>
      <c r="H10" s="81" t="s">
        <v>79</v>
      </c>
      <c r="I10" s="79"/>
      <c r="J10" s="79">
        <v>190.0</v>
      </c>
      <c r="K10" s="79">
        <v>190.0</v>
      </c>
      <c r="L10" s="79" t="s">
        <v>93</v>
      </c>
      <c r="M10" s="79" t="s">
        <v>81</v>
      </c>
      <c r="N10" s="82">
        <v>190.0</v>
      </c>
      <c r="O10" s="82">
        <v>190.0</v>
      </c>
      <c r="P10" s="82" t="s">
        <v>45</v>
      </c>
      <c r="Q10" s="83">
        <f t="shared" si="1"/>
        <v>380</v>
      </c>
      <c r="R10" s="84" t="s">
        <v>596</v>
      </c>
      <c r="S10" s="62"/>
      <c r="T10" s="14"/>
    </row>
    <row r="11" ht="21.75" customHeight="1">
      <c r="A11" s="85">
        <f t="shared" si="2"/>
        <v>7</v>
      </c>
      <c r="B11" s="94">
        <v>46042.0</v>
      </c>
      <c r="C11" s="79">
        <v>4.1455446E7</v>
      </c>
      <c r="D11" s="80" t="s">
        <v>547</v>
      </c>
      <c r="E11" s="79" t="s">
        <v>548</v>
      </c>
      <c r="F11" s="79" t="s">
        <v>232</v>
      </c>
      <c r="G11" s="79">
        <f>51977709418</f>
        <v>51977709418</v>
      </c>
      <c r="H11" s="81"/>
      <c r="I11" s="79" t="s">
        <v>104</v>
      </c>
      <c r="J11" s="79">
        <v>190.0</v>
      </c>
      <c r="K11" s="79">
        <v>0.0</v>
      </c>
      <c r="L11" s="79" t="s">
        <v>80</v>
      </c>
      <c r="M11" s="79"/>
      <c r="N11" s="82">
        <v>190.0</v>
      </c>
      <c r="O11" s="82"/>
      <c r="P11" s="82" t="s">
        <v>48</v>
      </c>
      <c r="Q11" s="83">
        <f t="shared" si="1"/>
        <v>190</v>
      </c>
      <c r="R11" s="84" t="s">
        <v>597</v>
      </c>
      <c r="S11" s="62"/>
      <c r="T11" s="14"/>
    </row>
    <row r="12" ht="21.75" customHeight="1">
      <c r="A12" s="85">
        <f t="shared" si="2"/>
        <v>8</v>
      </c>
      <c r="B12" s="78">
        <v>46042.0</v>
      </c>
      <c r="C12" s="79">
        <v>4.4211612E7</v>
      </c>
      <c r="D12" s="80" t="s">
        <v>550</v>
      </c>
      <c r="E12" s="79" t="s">
        <v>551</v>
      </c>
      <c r="F12" s="79" t="s">
        <v>552</v>
      </c>
      <c r="G12" s="79">
        <f>51944252125</f>
        <v>51944252125</v>
      </c>
      <c r="H12" s="81"/>
      <c r="I12" s="79" t="s">
        <v>104</v>
      </c>
      <c r="J12" s="79">
        <v>0.0</v>
      </c>
      <c r="K12" s="79">
        <v>0.0</v>
      </c>
      <c r="L12" s="79"/>
      <c r="M12" s="79"/>
      <c r="N12" s="82">
        <v>0.0</v>
      </c>
      <c r="O12" s="82"/>
      <c r="P12" s="82" t="s">
        <v>50</v>
      </c>
      <c r="Q12" s="83">
        <f t="shared" si="1"/>
        <v>0</v>
      </c>
      <c r="R12" s="84" t="s">
        <v>598</v>
      </c>
      <c r="S12" s="62"/>
      <c r="T12" s="14"/>
    </row>
    <row r="13" ht="21.75" customHeight="1">
      <c r="A13" s="85">
        <f t="shared" si="2"/>
        <v>9</v>
      </c>
      <c r="B13" s="94">
        <v>46043.0</v>
      </c>
      <c r="C13" s="79">
        <v>1.0117893E7</v>
      </c>
      <c r="D13" s="80" t="s">
        <v>599</v>
      </c>
      <c r="E13" s="79" t="s">
        <v>600</v>
      </c>
      <c r="F13" s="79" t="s">
        <v>96</v>
      </c>
      <c r="G13" s="79" t="s">
        <v>601</v>
      </c>
      <c r="H13" s="81"/>
      <c r="I13" s="79" t="s">
        <v>104</v>
      </c>
      <c r="J13" s="79">
        <v>210.0</v>
      </c>
      <c r="K13" s="79"/>
      <c r="L13" s="79" t="s">
        <v>80</v>
      </c>
      <c r="M13" s="79" t="s">
        <v>513</v>
      </c>
      <c r="N13" s="82">
        <v>195.0</v>
      </c>
      <c r="O13" s="82"/>
      <c r="P13" s="82" t="s">
        <v>48</v>
      </c>
      <c r="Q13" s="83">
        <f t="shared" si="1"/>
        <v>195</v>
      </c>
      <c r="R13" s="84" t="s">
        <v>71</v>
      </c>
      <c r="S13" s="62"/>
      <c r="T13" s="14"/>
    </row>
    <row r="14" ht="21.75" customHeight="1">
      <c r="A14" s="85">
        <f t="shared" si="2"/>
        <v>10</v>
      </c>
      <c r="B14" s="189">
        <v>46045.0</v>
      </c>
      <c r="C14" s="130">
        <v>6189524.0</v>
      </c>
      <c r="D14" s="190" t="s">
        <v>602</v>
      </c>
      <c r="E14" s="130" t="s">
        <v>603</v>
      </c>
      <c r="F14" s="130" t="s">
        <v>520</v>
      </c>
      <c r="G14" s="190" t="s">
        <v>604</v>
      </c>
      <c r="I14" s="79" t="s">
        <v>79</v>
      </c>
      <c r="J14" s="79">
        <v>175.0</v>
      </c>
      <c r="K14" s="79">
        <v>175.0</v>
      </c>
      <c r="L14" s="79" t="s">
        <v>93</v>
      </c>
      <c r="M14" s="79" t="s">
        <v>98</v>
      </c>
      <c r="N14" s="82">
        <v>175.0</v>
      </c>
      <c r="O14" s="82">
        <v>175.0</v>
      </c>
      <c r="P14" s="82" t="s">
        <v>48</v>
      </c>
      <c r="Q14" s="83">
        <f t="shared" si="1"/>
        <v>350</v>
      </c>
      <c r="R14" s="121"/>
      <c r="S14" s="62"/>
      <c r="T14" s="14"/>
    </row>
    <row r="15" ht="21.75" customHeight="1">
      <c r="A15" s="85">
        <f t="shared" si="2"/>
        <v>11</v>
      </c>
      <c r="B15" s="189">
        <v>46045.0</v>
      </c>
      <c r="C15" s="130">
        <v>7.2903045E7</v>
      </c>
      <c r="D15" s="190" t="s">
        <v>605</v>
      </c>
      <c r="F15" s="130" t="s">
        <v>520</v>
      </c>
      <c r="G15" s="190" t="s">
        <v>604</v>
      </c>
      <c r="I15" s="79" t="s">
        <v>79</v>
      </c>
      <c r="J15" s="79">
        <v>175.0</v>
      </c>
      <c r="K15" s="79">
        <v>175.0</v>
      </c>
      <c r="L15" s="79" t="s">
        <v>93</v>
      </c>
      <c r="M15" s="79" t="s">
        <v>98</v>
      </c>
      <c r="N15" s="82">
        <v>175.0</v>
      </c>
      <c r="O15" s="82">
        <v>175.0</v>
      </c>
      <c r="P15" s="82" t="s">
        <v>48</v>
      </c>
      <c r="Q15" s="83">
        <f t="shared" si="1"/>
        <v>350</v>
      </c>
      <c r="R15" s="84"/>
      <c r="S15" s="62"/>
      <c r="T15" s="14"/>
    </row>
    <row r="16" ht="21.75" customHeight="1">
      <c r="A16" s="85">
        <f t="shared" si="2"/>
        <v>12</v>
      </c>
      <c r="B16" s="189">
        <v>46044.0</v>
      </c>
      <c r="C16" s="79">
        <v>2.0538382598E10</v>
      </c>
      <c r="D16" s="170" t="s">
        <v>606</v>
      </c>
      <c r="E16" s="79" t="s">
        <v>607</v>
      </c>
      <c r="F16" s="79" t="s">
        <v>232</v>
      </c>
      <c r="G16" s="191">
        <f>+51998294866</f>
        <v>51998294866</v>
      </c>
      <c r="H16" s="81"/>
      <c r="I16" s="79" t="s">
        <v>79</v>
      </c>
      <c r="J16" s="79">
        <v>100.0</v>
      </c>
      <c r="K16" s="79">
        <v>100.0</v>
      </c>
      <c r="L16" s="79" t="s">
        <v>93</v>
      </c>
      <c r="M16" s="79" t="s">
        <v>81</v>
      </c>
      <c r="N16" s="82">
        <v>100.0</v>
      </c>
      <c r="O16" s="82">
        <v>100.0</v>
      </c>
      <c r="P16" s="82" t="s">
        <v>48</v>
      </c>
      <c r="Q16" s="83">
        <f t="shared" si="1"/>
        <v>200</v>
      </c>
      <c r="R16" s="121"/>
      <c r="S16" s="62"/>
      <c r="T16" s="14"/>
    </row>
    <row r="17" ht="21.75" customHeight="1">
      <c r="A17" s="85">
        <f t="shared" si="2"/>
        <v>13</v>
      </c>
      <c r="B17" s="165"/>
      <c r="C17" s="79"/>
      <c r="D17" s="80"/>
      <c r="E17" s="79"/>
      <c r="F17" s="79"/>
      <c r="G17" s="79"/>
      <c r="H17" s="81"/>
      <c r="I17" s="79"/>
      <c r="J17" s="79"/>
      <c r="K17" s="79"/>
      <c r="L17" s="79"/>
      <c r="M17" s="79"/>
      <c r="N17" s="82">
        <v>180.0</v>
      </c>
      <c r="O17" s="82"/>
      <c r="P17" s="82" t="s">
        <v>48</v>
      </c>
      <c r="Q17" s="83">
        <f t="shared" si="1"/>
        <v>180</v>
      </c>
      <c r="R17" s="84" t="s">
        <v>608</v>
      </c>
      <c r="S17" s="62"/>
      <c r="T17" s="14"/>
    </row>
    <row r="18" ht="21.75" customHeight="1">
      <c r="A18" s="85">
        <f t="shared" si="2"/>
        <v>14</v>
      </c>
      <c r="B18" s="88">
        <v>46045.0</v>
      </c>
      <c r="C18" s="79">
        <v>4.4767965E7</v>
      </c>
      <c r="D18" s="90" t="s">
        <v>575</v>
      </c>
      <c r="E18" s="79"/>
      <c r="F18" s="79"/>
      <c r="G18" s="79"/>
      <c r="H18" s="81"/>
      <c r="I18" s="79" t="s">
        <v>104</v>
      </c>
      <c r="J18" s="79"/>
      <c r="K18" s="79"/>
      <c r="L18" s="79" t="s">
        <v>80</v>
      </c>
      <c r="M18" s="79"/>
      <c r="N18" s="82">
        <v>0.0</v>
      </c>
      <c r="O18" s="82"/>
      <c r="P18" s="82" t="s">
        <v>47</v>
      </c>
      <c r="Q18" s="83">
        <f t="shared" si="1"/>
        <v>0</v>
      </c>
      <c r="R18" s="84"/>
      <c r="S18" s="62"/>
      <c r="T18" s="14"/>
    </row>
    <row r="19" ht="21.75" customHeight="1">
      <c r="A19" s="85">
        <f t="shared" si="2"/>
        <v>15</v>
      </c>
      <c r="B19" s="94">
        <v>46046.0</v>
      </c>
      <c r="C19" s="79">
        <v>4.1855242E7</v>
      </c>
      <c r="D19" s="190" t="s">
        <v>609</v>
      </c>
      <c r="E19" s="79" t="s">
        <v>610</v>
      </c>
      <c r="F19" s="79" t="s">
        <v>611</v>
      </c>
      <c r="G19" s="79">
        <v>9.34091909E8</v>
      </c>
      <c r="H19" s="81" t="s">
        <v>79</v>
      </c>
      <c r="I19" s="79" t="s">
        <v>79</v>
      </c>
      <c r="J19" s="79">
        <v>200.0</v>
      </c>
      <c r="K19" s="79">
        <v>150.0</v>
      </c>
      <c r="L19" s="79" t="s">
        <v>93</v>
      </c>
      <c r="M19" s="79" t="s">
        <v>278</v>
      </c>
      <c r="N19" s="82">
        <v>200.0</v>
      </c>
      <c r="O19" s="82">
        <v>150.0</v>
      </c>
      <c r="P19" s="82" t="s">
        <v>48</v>
      </c>
      <c r="Q19" s="83">
        <f t="shared" si="1"/>
        <v>350</v>
      </c>
      <c r="R19" s="121"/>
      <c r="S19" s="62"/>
      <c r="T19" s="14"/>
    </row>
    <row r="20" ht="21.75" customHeight="1">
      <c r="A20" s="85">
        <f t="shared" si="2"/>
        <v>16</v>
      </c>
      <c r="B20" s="94">
        <v>46047.0</v>
      </c>
      <c r="C20" s="79" t="s">
        <v>612</v>
      </c>
      <c r="D20" s="80" t="s">
        <v>613</v>
      </c>
      <c r="E20" s="79" t="s">
        <v>610</v>
      </c>
      <c r="F20" s="79" t="s">
        <v>611</v>
      </c>
      <c r="G20" s="79">
        <v>9.34091909E8</v>
      </c>
      <c r="H20" s="81" t="s">
        <v>79</v>
      </c>
      <c r="I20" s="79" t="s">
        <v>79</v>
      </c>
      <c r="J20" s="79">
        <v>200.0</v>
      </c>
      <c r="K20" s="79">
        <v>150.0</v>
      </c>
      <c r="L20" s="79" t="s">
        <v>93</v>
      </c>
      <c r="M20" s="79" t="s">
        <v>278</v>
      </c>
      <c r="N20" s="82">
        <v>200.0</v>
      </c>
      <c r="O20" s="82">
        <v>150.0</v>
      </c>
      <c r="P20" s="82" t="s">
        <v>48</v>
      </c>
      <c r="Q20" s="83">
        <f t="shared" si="1"/>
        <v>350</v>
      </c>
      <c r="R20" s="121"/>
      <c r="S20" s="62"/>
      <c r="T20" s="14"/>
    </row>
    <row r="21" ht="21.75" customHeight="1">
      <c r="A21" s="85">
        <f t="shared" si="2"/>
        <v>17</v>
      </c>
      <c r="B21" s="88">
        <v>46046.0</v>
      </c>
      <c r="C21" s="79">
        <v>7.2190417E7</v>
      </c>
      <c r="D21" s="80" t="s">
        <v>580</v>
      </c>
      <c r="E21" s="79" t="s">
        <v>581</v>
      </c>
      <c r="F21" s="79" t="s">
        <v>582</v>
      </c>
      <c r="G21" s="79"/>
      <c r="H21" s="81"/>
      <c r="I21" s="79" t="s">
        <v>104</v>
      </c>
      <c r="J21" s="79">
        <v>0.0</v>
      </c>
      <c r="K21" s="79"/>
      <c r="L21" s="79"/>
      <c r="M21" s="79"/>
      <c r="N21" s="82">
        <v>0.0</v>
      </c>
      <c r="O21" s="82"/>
      <c r="P21" s="82"/>
      <c r="Q21" s="83">
        <f t="shared" si="1"/>
        <v>0</v>
      </c>
      <c r="R21" s="121"/>
      <c r="S21" s="62"/>
      <c r="T21" s="14"/>
    </row>
    <row r="22" ht="21.75" customHeight="1">
      <c r="A22" s="85">
        <f t="shared" si="2"/>
        <v>18</v>
      </c>
      <c r="B22" s="94">
        <v>46047.0</v>
      </c>
      <c r="C22" s="79"/>
      <c r="D22" s="80" t="s">
        <v>583</v>
      </c>
      <c r="E22" s="79" t="s">
        <v>584</v>
      </c>
      <c r="F22" s="79" t="s">
        <v>585</v>
      </c>
      <c r="G22" s="79">
        <f>51987402177 </f>
        <v>51987402177</v>
      </c>
      <c r="H22" s="81"/>
      <c r="I22" s="79" t="s">
        <v>104</v>
      </c>
      <c r="J22" s="79">
        <v>190.0</v>
      </c>
      <c r="K22" s="79"/>
      <c r="L22" s="79" t="s">
        <v>80</v>
      </c>
      <c r="M22" s="79" t="s">
        <v>81</v>
      </c>
      <c r="N22" s="82">
        <v>190.0</v>
      </c>
      <c r="O22" s="82"/>
      <c r="P22" s="82" t="s">
        <v>48</v>
      </c>
      <c r="Q22" s="83">
        <f t="shared" si="1"/>
        <v>190</v>
      </c>
      <c r="R22" s="121"/>
      <c r="S22" s="62"/>
      <c r="T22" s="14"/>
    </row>
    <row r="23" ht="21.75" customHeight="1">
      <c r="A23" s="85">
        <f t="shared" si="2"/>
        <v>19</v>
      </c>
      <c r="B23" s="132">
        <v>46048.0</v>
      </c>
      <c r="C23" s="79" t="s">
        <v>614</v>
      </c>
      <c r="D23" s="80" t="s">
        <v>615</v>
      </c>
      <c r="E23" s="79" t="s">
        <v>616</v>
      </c>
      <c r="F23" s="79" t="s">
        <v>617</v>
      </c>
      <c r="G23" s="79" t="s">
        <v>618</v>
      </c>
      <c r="H23" s="81" t="s">
        <v>104</v>
      </c>
      <c r="I23" s="79"/>
      <c r="J23" s="79">
        <v>150.0</v>
      </c>
      <c r="K23" s="79"/>
      <c r="L23" s="79" t="s">
        <v>80</v>
      </c>
      <c r="M23" s="79" t="s">
        <v>164</v>
      </c>
      <c r="N23" s="82">
        <v>150.0</v>
      </c>
      <c r="O23" s="82"/>
      <c r="P23" s="82" t="s">
        <v>44</v>
      </c>
      <c r="Q23" s="83">
        <f t="shared" si="1"/>
        <v>150</v>
      </c>
      <c r="R23" s="121"/>
      <c r="S23" s="62"/>
      <c r="T23" s="14"/>
    </row>
    <row r="24" ht="21.75" customHeight="1">
      <c r="A24" s="85">
        <f t="shared" si="2"/>
        <v>20</v>
      </c>
      <c r="B24" s="94">
        <v>46048.0</v>
      </c>
      <c r="C24" s="79" t="s">
        <v>619</v>
      </c>
      <c r="D24" s="80" t="s">
        <v>620</v>
      </c>
      <c r="E24" s="79" t="s">
        <v>621</v>
      </c>
      <c r="F24" s="79" t="s">
        <v>622</v>
      </c>
      <c r="G24" s="79" t="s">
        <v>623</v>
      </c>
      <c r="H24" s="81" t="s">
        <v>104</v>
      </c>
      <c r="I24" s="79"/>
      <c r="J24" s="79">
        <v>190.0</v>
      </c>
      <c r="K24" s="79">
        <v>190.0</v>
      </c>
      <c r="L24" s="79"/>
      <c r="M24" s="79"/>
      <c r="N24" s="82">
        <v>190.0</v>
      </c>
      <c r="O24" s="82">
        <v>190.0</v>
      </c>
      <c r="P24" s="82" t="s">
        <v>48</v>
      </c>
      <c r="Q24" s="83">
        <f t="shared" si="1"/>
        <v>380</v>
      </c>
      <c r="R24" s="121"/>
      <c r="S24" s="62"/>
      <c r="T24" s="14"/>
    </row>
    <row r="25" ht="21.75" customHeight="1">
      <c r="A25" s="85">
        <f t="shared" si="2"/>
        <v>21</v>
      </c>
      <c r="B25" s="192">
        <v>46049.0</v>
      </c>
      <c r="C25" s="79">
        <v>4.2949843E7</v>
      </c>
      <c r="D25" s="80" t="s">
        <v>624</v>
      </c>
      <c r="E25" s="79" t="s">
        <v>625</v>
      </c>
      <c r="F25" s="79" t="s">
        <v>626</v>
      </c>
      <c r="G25" s="79" t="s">
        <v>627</v>
      </c>
      <c r="H25" s="81"/>
      <c r="I25" s="79" t="s">
        <v>104</v>
      </c>
      <c r="J25" s="79">
        <v>220.0</v>
      </c>
      <c r="K25" s="79"/>
      <c r="L25" s="79" t="s">
        <v>80</v>
      </c>
      <c r="M25" s="79" t="s">
        <v>164</v>
      </c>
      <c r="N25" s="82">
        <v>220.0</v>
      </c>
      <c r="O25" s="82"/>
      <c r="P25" s="82" t="s">
        <v>49</v>
      </c>
      <c r="Q25" s="83">
        <f t="shared" si="1"/>
        <v>220</v>
      </c>
      <c r="R25" s="121"/>
      <c r="S25" s="62"/>
      <c r="T25" s="14"/>
    </row>
    <row r="26" ht="21.75" customHeight="1">
      <c r="A26" s="85">
        <f t="shared" si="2"/>
        <v>22</v>
      </c>
      <c r="B26" s="78">
        <v>46049.0</v>
      </c>
      <c r="C26" s="79">
        <v>4.3889926E7</v>
      </c>
      <c r="D26" s="128" t="s">
        <v>628</v>
      </c>
      <c r="E26" s="79" t="s">
        <v>629</v>
      </c>
      <c r="F26" s="79" t="s">
        <v>582</v>
      </c>
      <c r="G26" s="79" t="s">
        <v>630</v>
      </c>
      <c r="H26" s="81" t="s">
        <v>79</v>
      </c>
      <c r="I26" s="79"/>
      <c r="J26" s="79">
        <v>90.0</v>
      </c>
      <c r="K26" s="79">
        <v>90.0</v>
      </c>
      <c r="L26" s="79" t="s">
        <v>93</v>
      </c>
      <c r="M26" s="79" t="s">
        <v>143</v>
      </c>
      <c r="N26" s="82">
        <v>82.5</v>
      </c>
      <c r="O26" s="82">
        <v>0.0</v>
      </c>
      <c r="P26" s="82" t="s">
        <v>50</v>
      </c>
      <c r="Q26" s="83">
        <f t="shared" si="1"/>
        <v>82.5</v>
      </c>
      <c r="R26" s="121"/>
      <c r="S26" s="62"/>
      <c r="T26" s="14"/>
    </row>
    <row r="27" ht="21.75" customHeight="1">
      <c r="A27" s="85">
        <f t="shared" si="2"/>
        <v>23</v>
      </c>
      <c r="B27" s="78">
        <v>46049.0</v>
      </c>
      <c r="C27" s="79">
        <v>8.1007981E7</v>
      </c>
      <c r="D27" s="128" t="s">
        <v>631</v>
      </c>
      <c r="E27" s="79" t="s">
        <v>629</v>
      </c>
      <c r="F27" s="79" t="s">
        <v>582</v>
      </c>
      <c r="G27" s="79" t="s">
        <v>630</v>
      </c>
      <c r="H27" s="81" t="s">
        <v>79</v>
      </c>
      <c r="I27" s="79"/>
      <c r="J27" s="79">
        <v>90.0</v>
      </c>
      <c r="K27" s="79">
        <v>90.0</v>
      </c>
      <c r="L27" s="79" t="s">
        <v>93</v>
      </c>
      <c r="M27" s="79" t="s">
        <v>143</v>
      </c>
      <c r="N27" s="82">
        <v>82.5</v>
      </c>
      <c r="O27" s="82">
        <v>0.0</v>
      </c>
      <c r="P27" s="82" t="s">
        <v>50</v>
      </c>
      <c r="Q27" s="83">
        <f t="shared" si="1"/>
        <v>82.5</v>
      </c>
      <c r="R27" s="121"/>
      <c r="S27" s="62"/>
      <c r="T27" s="14"/>
    </row>
    <row r="28" ht="21.75" customHeight="1">
      <c r="A28" s="85">
        <f t="shared" si="2"/>
        <v>24</v>
      </c>
      <c r="B28" s="192">
        <v>46049.0</v>
      </c>
      <c r="C28" s="79">
        <v>4.2506745E7</v>
      </c>
      <c r="D28" s="80" t="s">
        <v>632</v>
      </c>
      <c r="E28" s="79" t="s">
        <v>633</v>
      </c>
      <c r="F28" s="79" t="s">
        <v>634</v>
      </c>
      <c r="G28" s="79" t="s">
        <v>635</v>
      </c>
      <c r="H28" s="81" t="s">
        <v>104</v>
      </c>
      <c r="I28" s="81" t="s">
        <v>104</v>
      </c>
      <c r="J28" s="79">
        <v>380.0</v>
      </c>
      <c r="K28" s="79"/>
      <c r="L28" s="79" t="s">
        <v>80</v>
      </c>
      <c r="M28" s="79" t="s">
        <v>98</v>
      </c>
      <c r="N28" s="82">
        <v>380.0</v>
      </c>
      <c r="O28" s="82"/>
      <c r="P28" s="82" t="s">
        <v>49</v>
      </c>
      <c r="Q28" s="83">
        <f t="shared" si="1"/>
        <v>380</v>
      </c>
      <c r="R28" s="121"/>
      <c r="S28" s="62"/>
      <c r="T28" s="14"/>
    </row>
    <row r="29" ht="21.75" customHeight="1">
      <c r="A29" s="85">
        <f t="shared" si="2"/>
        <v>25</v>
      </c>
      <c r="B29" s="86">
        <v>46049.0</v>
      </c>
      <c r="C29" s="79">
        <v>4.7428047E7</v>
      </c>
      <c r="D29" s="80" t="s">
        <v>636</v>
      </c>
      <c r="E29" s="79" t="s">
        <v>637</v>
      </c>
      <c r="F29" s="79" t="s">
        <v>135</v>
      </c>
      <c r="G29" s="79" t="s">
        <v>638</v>
      </c>
      <c r="H29" s="81" t="s">
        <v>79</v>
      </c>
      <c r="I29" s="79"/>
      <c r="J29" s="79">
        <v>200.0</v>
      </c>
      <c r="K29" s="79"/>
      <c r="L29" s="79" t="s">
        <v>80</v>
      </c>
      <c r="M29" s="79" t="s">
        <v>98</v>
      </c>
      <c r="N29" s="82">
        <v>200.0</v>
      </c>
      <c r="O29" s="82"/>
      <c r="P29" s="82" t="s">
        <v>45</v>
      </c>
      <c r="Q29" s="83">
        <f t="shared" si="1"/>
        <v>200</v>
      </c>
      <c r="R29" s="121"/>
      <c r="S29" s="62"/>
      <c r="T29" s="14"/>
    </row>
    <row r="30" ht="21.75" customHeight="1">
      <c r="A30" s="85">
        <f t="shared" si="2"/>
        <v>26</v>
      </c>
      <c r="B30" s="132">
        <v>46049.0</v>
      </c>
      <c r="C30" s="79">
        <v>4.8263528E7</v>
      </c>
      <c r="D30" s="80" t="s">
        <v>639</v>
      </c>
      <c r="E30" s="79" t="s">
        <v>640</v>
      </c>
      <c r="F30" s="79"/>
      <c r="G30" s="79" t="s">
        <v>641</v>
      </c>
      <c r="H30" s="81" t="s">
        <v>104</v>
      </c>
      <c r="I30" s="79" t="s">
        <v>104</v>
      </c>
      <c r="J30" s="79">
        <v>100.0</v>
      </c>
      <c r="K30" s="79">
        <v>280.0</v>
      </c>
      <c r="L30" s="79" t="s">
        <v>93</v>
      </c>
      <c r="M30" s="79" t="s">
        <v>98</v>
      </c>
      <c r="N30" s="82">
        <v>100.0</v>
      </c>
      <c r="O30" s="82">
        <v>280.0</v>
      </c>
      <c r="P30" s="82" t="s">
        <v>44</v>
      </c>
      <c r="Q30" s="83">
        <f t="shared" si="1"/>
        <v>380</v>
      </c>
      <c r="R30" s="121"/>
      <c r="S30" s="62"/>
      <c r="T30" s="14"/>
    </row>
    <row r="31" ht="21.75" customHeight="1">
      <c r="A31" s="85">
        <f t="shared" si="2"/>
        <v>27</v>
      </c>
      <c r="B31" s="132">
        <v>46050.0</v>
      </c>
      <c r="C31" s="79" t="s">
        <v>642</v>
      </c>
      <c r="D31" s="80" t="s">
        <v>643</v>
      </c>
      <c r="E31" s="79" t="s">
        <v>644</v>
      </c>
      <c r="F31" s="79" t="s">
        <v>645</v>
      </c>
      <c r="G31" s="79"/>
      <c r="H31" s="81" t="s">
        <v>104</v>
      </c>
      <c r="I31" s="79"/>
      <c r="J31" s="79">
        <v>220.0</v>
      </c>
      <c r="K31" s="79"/>
      <c r="L31" s="79" t="s">
        <v>80</v>
      </c>
      <c r="M31" s="79" t="s">
        <v>164</v>
      </c>
      <c r="N31" s="82">
        <v>220.0</v>
      </c>
      <c r="O31" s="82"/>
      <c r="P31" s="82" t="s">
        <v>44</v>
      </c>
      <c r="Q31" s="83">
        <f t="shared" si="1"/>
        <v>220</v>
      </c>
      <c r="R31" s="121"/>
      <c r="S31" s="62"/>
      <c r="T31" s="14"/>
    </row>
    <row r="32" ht="21.75" customHeight="1">
      <c r="A32" s="85">
        <f t="shared" si="2"/>
        <v>28</v>
      </c>
      <c r="B32" s="94">
        <v>46050.0</v>
      </c>
      <c r="C32" s="79">
        <v>7.45014E7</v>
      </c>
      <c r="D32" s="80" t="s">
        <v>646</v>
      </c>
      <c r="E32" s="79" t="s">
        <v>647</v>
      </c>
      <c r="F32" s="79" t="s">
        <v>648</v>
      </c>
      <c r="G32" s="79">
        <f t="shared" ref="G32:G33" si="3">+51999292184</f>
        <v>51999292184</v>
      </c>
      <c r="H32" s="81" t="s">
        <v>79</v>
      </c>
      <c r="I32" s="79"/>
      <c r="J32" s="79">
        <v>90.0</v>
      </c>
      <c r="K32" s="79">
        <v>90.0</v>
      </c>
      <c r="L32" s="79" t="s">
        <v>93</v>
      </c>
      <c r="M32" s="79" t="s">
        <v>98</v>
      </c>
      <c r="N32" s="82">
        <v>90.0</v>
      </c>
      <c r="O32" s="82">
        <v>90.0</v>
      </c>
      <c r="P32" s="82" t="s">
        <v>48</v>
      </c>
      <c r="Q32" s="83">
        <f t="shared" si="1"/>
        <v>180</v>
      </c>
      <c r="R32" s="121"/>
      <c r="S32" s="62"/>
      <c r="T32" s="14"/>
    </row>
    <row r="33" ht="21.75" customHeight="1">
      <c r="A33" s="85">
        <f t="shared" si="2"/>
        <v>29</v>
      </c>
      <c r="B33" s="94">
        <v>46050.0</v>
      </c>
      <c r="C33" s="79" t="s">
        <v>649</v>
      </c>
      <c r="D33" s="80" t="s">
        <v>650</v>
      </c>
      <c r="E33" s="79" t="s">
        <v>651</v>
      </c>
      <c r="F33" s="79" t="s">
        <v>652</v>
      </c>
      <c r="G33" s="79">
        <f t="shared" si="3"/>
        <v>51999292184</v>
      </c>
      <c r="H33" s="81" t="s">
        <v>79</v>
      </c>
      <c r="I33" s="79"/>
      <c r="J33" s="79">
        <v>90.0</v>
      </c>
      <c r="K33" s="79">
        <v>90.0</v>
      </c>
      <c r="L33" s="79" t="s">
        <v>93</v>
      </c>
      <c r="M33" s="79" t="s">
        <v>98</v>
      </c>
      <c r="N33" s="82">
        <v>90.0</v>
      </c>
      <c r="O33" s="82">
        <v>90.0</v>
      </c>
      <c r="P33" s="82" t="s">
        <v>48</v>
      </c>
      <c r="Q33" s="83">
        <f t="shared" si="1"/>
        <v>180</v>
      </c>
      <c r="R33" s="121"/>
      <c r="S33" s="62"/>
      <c r="T33" s="14"/>
    </row>
    <row r="34" ht="21.75" customHeight="1">
      <c r="A34" s="85">
        <f t="shared" si="2"/>
        <v>30</v>
      </c>
      <c r="B34" s="78">
        <v>46050.0</v>
      </c>
      <c r="C34" s="79">
        <v>4.1967125E7</v>
      </c>
      <c r="D34" s="80" t="s">
        <v>653</v>
      </c>
      <c r="E34" s="79" t="s">
        <v>654</v>
      </c>
      <c r="F34" s="79" t="s">
        <v>582</v>
      </c>
      <c r="G34" s="79" t="s">
        <v>655</v>
      </c>
      <c r="H34" s="81" t="s">
        <v>79</v>
      </c>
      <c r="I34" s="79"/>
      <c r="J34" s="79">
        <v>100.0</v>
      </c>
      <c r="K34" s="79">
        <v>100.0</v>
      </c>
      <c r="L34" s="79" t="s">
        <v>93</v>
      </c>
      <c r="M34" s="79" t="s">
        <v>278</v>
      </c>
      <c r="N34" s="82">
        <v>100.0</v>
      </c>
      <c r="O34" s="82">
        <v>100.0</v>
      </c>
      <c r="P34" s="82" t="s">
        <v>50</v>
      </c>
      <c r="Q34" s="83">
        <f t="shared" si="1"/>
        <v>200</v>
      </c>
      <c r="R34" s="121"/>
      <c r="S34" s="62"/>
      <c r="T34" s="14"/>
    </row>
    <row r="35" ht="21.75" customHeight="1">
      <c r="A35" s="85">
        <f t="shared" si="2"/>
        <v>31</v>
      </c>
      <c r="B35" s="78">
        <v>46050.0</v>
      </c>
      <c r="C35" s="79"/>
      <c r="D35" s="80" t="s">
        <v>656</v>
      </c>
      <c r="E35" s="166" t="s">
        <v>654</v>
      </c>
      <c r="F35" s="79" t="s">
        <v>582</v>
      </c>
      <c r="G35" s="79" t="s">
        <v>655</v>
      </c>
      <c r="H35" s="81" t="s">
        <v>79</v>
      </c>
      <c r="I35" s="79"/>
      <c r="J35" s="79">
        <v>50.0</v>
      </c>
      <c r="K35" s="79">
        <v>50.0</v>
      </c>
      <c r="L35" s="79" t="s">
        <v>93</v>
      </c>
      <c r="M35" s="79" t="s">
        <v>278</v>
      </c>
      <c r="N35" s="82">
        <v>50.0</v>
      </c>
      <c r="O35" s="82">
        <v>50.0</v>
      </c>
      <c r="P35" s="82" t="s">
        <v>50</v>
      </c>
      <c r="Q35" s="83">
        <f t="shared" si="1"/>
        <v>100</v>
      </c>
      <c r="R35" s="84" t="s">
        <v>657</v>
      </c>
      <c r="S35" s="62"/>
      <c r="T35" s="14"/>
    </row>
    <row r="36" ht="21.75" customHeight="1">
      <c r="A36" s="85">
        <f t="shared" si="2"/>
        <v>32</v>
      </c>
      <c r="B36" s="88">
        <v>46050.0</v>
      </c>
      <c r="C36" s="79">
        <v>7.3180684E7</v>
      </c>
      <c r="D36" s="80" t="s">
        <v>658</v>
      </c>
      <c r="E36" s="79"/>
      <c r="F36" s="79" t="s">
        <v>659</v>
      </c>
      <c r="G36" s="79"/>
      <c r="H36" s="81" t="s">
        <v>104</v>
      </c>
      <c r="I36" s="79"/>
      <c r="J36" s="79">
        <v>180.0</v>
      </c>
      <c r="K36" s="79"/>
      <c r="L36" s="79" t="s">
        <v>80</v>
      </c>
      <c r="M36" s="79" t="s">
        <v>98</v>
      </c>
      <c r="N36" s="82">
        <v>180.0</v>
      </c>
      <c r="O36" s="82"/>
      <c r="P36" s="82" t="s">
        <v>47</v>
      </c>
      <c r="Q36" s="83">
        <f t="shared" si="1"/>
        <v>180</v>
      </c>
      <c r="R36" s="121"/>
      <c r="S36" s="62"/>
      <c r="T36" s="14"/>
    </row>
    <row r="37" ht="21.75" customHeight="1">
      <c r="A37" s="85">
        <f t="shared" si="2"/>
        <v>33</v>
      </c>
      <c r="B37" s="88">
        <v>46050.0</v>
      </c>
      <c r="C37" s="79">
        <v>4.7810241E7</v>
      </c>
      <c r="D37" s="80" t="s">
        <v>660</v>
      </c>
      <c r="E37" s="79"/>
      <c r="F37" s="79" t="s">
        <v>659</v>
      </c>
      <c r="G37" s="79"/>
      <c r="H37" s="81" t="s">
        <v>104</v>
      </c>
      <c r="I37" s="79"/>
      <c r="J37" s="79">
        <v>180.0</v>
      </c>
      <c r="K37" s="79"/>
      <c r="L37" s="79" t="s">
        <v>80</v>
      </c>
      <c r="M37" s="79" t="s">
        <v>98</v>
      </c>
      <c r="N37" s="82">
        <v>180.0</v>
      </c>
      <c r="O37" s="82"/>
      <c r="P37" s="82" t="s">
        <v>47</v>
      </c>
      <c r="Q37" s="83">
        <f t="shared" si="1"/>
        <v>180</v>
      </c>
      <c r="R37" s="121"/>
      <c r="S37" s="62"/>
      <c r="T37" s="14"/>
    </row>
    <row r="38" ht="21.75" customHeight="1">
      <c r="A38" s="85">
        <f t="shared" si="2"/>
        <v>34</v>
      </c>
      <c r="B38" s="88">
        <v>46050.0</v>
      </c>
      <c r="C38" s="79">
        <v>7508517.0</v>
      </c>
      <c r="D38" s="80" t="s">
        <v>661</v>
      </c>
      <c r="E38" s="79"/>
      <c r="F38" s="79" t="s">
        <v>662</v>
      </c>
      <c r="G38" s="79"/>
      <c r="H38" s="81"/>
      <c r="I38" s="79" t="s">
        <v>104</v>
      </c>
      <c r="J38" s="79">
        <v>200.0</v>
      </c>
      <c r="K38" s="79"/>
      <c r="L38" s="79" t="s">
        <v>80</v>
      </c>
      <c r="M38" s="79" t="s">
        <v>164</v>
      </c>
      <c r="N38" s="82">
        <v>200.0</v>
      </c>
      <c r="O38" s="82"/>
      <c r="P38" s="82" t="s">
        <v>47</v>
      </c>
      <c r="Q38" s="83">
        <f t="shared" si="1"/>
        <v>200</v>
      </c>
      <c r="R38" s="121"/>
      <c r="S38" s="62"/>
      <c r="T38" s="14"/>
    </row>
    <row r="39" ht="21.75" customHeight="1">
      <c r="A39" s="85">
        <f t="shared" si="2"/>
        <v>35</v>
      </c>
      <c r="B39" s="94">
        <v>46051.0</v>
      </c>
      <c r="C39" s="79" t="s">
        <v>663</v>
      </c>
      <c r="D39" s="80" t="s">
        <v>664</v>
      </c>
      <c r="E39" s="79" t="s">
        <v>665</v>
      </c>
      <c r="F39" s="79" t="s">
        <v>666</v>
      </c>
      <c r="G39" s="79">
        <f>+51963748480</f>
        <v>51963748480</v>
      </c>
      <c r="H39" s="81" t="s">
        <v>104</v>
      </c>
      <c r="I39" s="79"/>
      <c r="J39" s="79">
        <v>180.0</v>
      </c>
      <c r="K39" s="79">
        <v>180.0</v>
      </c>
      <c r="L39" s="79" t="s">
        <v>93</v>
      </c>
      <c r="M39" s="79" t="s">
        <v>164</v>
      </c>
      <c r="N39" s="82">
        <v>180.0</v>
      </c>
      <c r="O39" s="82">
        <v>180.0</v>
      </c>
      <c r="P39" s="82" t="s">
        <v>48</v>
      </c>
      <c r="Q39" s="83">
        <f t="shared" si="1"/>
        <v>360</v>
      </c>
      <c r="R39" s="121"/>
      <c r="S39" s="62"/>
      <c r="T39" s="14"/>
    </row>
    <row r="40" ht="21.75" customHeight="1">
      <c r="A40" s="85">
        <f t="shared" si="2"/>
        <v>36</v>
      </c>
      <c r="B40" s="88">
        <v>46051.0</v>
      </c>
      <c r="C40" s="79">
        <v>9601263.0</v>
      </c>
      <c r="D40" s="80" t="s">
        <v>667</v>
      </c>
      <c r="E40" s="79"/>
      <c r="F40" s="79"/>
      <c r="G40" s="79"/>
      <c r="H40" s="81"/>
      <c r="I40" s="79" t="s">
        <v>104</v>
      </c>
      <c r="J40" s="79">
        <v>200.0</v>
      </c>
      <c r="K40" s="79"/>
      <c r="L40" s="79" t="s">
        <v>80</v>
      </c>
      <c r="M40" s="79" t="s">
        <v>278</v>
      </c>
      <c r="N40" s="82">
        <v>200.0</v>
      </c>
      <c r="O40" s="82"/>
      <c r="P40" s="82" t="s">
        <v>47</v>
      </c>
      <c r="Q40" s="83">
        <f t="shared" si="1"/>
        <v>200</v>
      </c>
      <c r="R40" s="121"/>
      <c r="S40" s="62"/>
      <c r="T40" s="14"/>
    </row>
    <row r="41" ht="21.75" customHeight="1">
      <c r="A41" s="85">
        <f t="shared" si="2"/>
        <v>37</v>
      </c>
      <c r="B41" s="132">
        <v>46051.0</v>
      </c>
      <c r="C41" s="79">
        <v>7.2510875E7</v>
      </c>
      <c r="D41" s="80" t="s">
        <v>668</v>
      </c>
      <c r="E41" s="79" t="s">
        <v>669</v>
      </c>
      <c r="F41" s="79" t="s">
        <v>670</v>
      </c>
      <c r="G41" s="79" t="s">
        <v>671</v>
      </c>
      <c r="H41" s="81"/>
      <c r="I41" s="79" t="s">
        <v>104</v>
      </c>
      <c r="J41" s="79">
        <v>220.0</v>
      </c>
      <c r="K41" s="79"/>
      <c r="L41" s="79" t="s">
        <v>80</v>
      </c>
      <c r="M41" s="79" t="s">
        <v>98</v>
      </c>
      <c r="N41" s="82">
        <v>220.0</v>
      </c>
      <c r="O41" s="82"/>
      <c r="P41" s="82" t="s">
        <v>44</v>
      </c>
      <c r="Q41" s="83">
        <f t="shared" si="1"/>
        <v>220</v>
      </c>
      <c r="R41" s="121"/>
      <c r="S41" s="62"/>
      <c r="T41" s="14"/>
    </row>
    <row r="42" ht="21.75" customHeight="1">
      <c r="A42" s="85">
        <f t="shared" si="2"/>
        <v>38</v>
      </c>
      <c r="B42" s="78">
        <v>46051.0</v>
      </c>
      <c r="C42" s="79">
        <v>4.3154748E7</v>
      </c>
      <c r="D42" s="80" t="s">
        <v>672</v>
      </c>
      <c r="E42" s="79" t="s">
        <v>673</v>
      </c>
      <c r="F42" s="79" t="s">
        <v>135</v>
      </c>
      <c r="G42" s="79" t="s">
        <v>674</v>
      </c>
      <c r="H42" s="81" t="s">
        <v>79</v>
      </c>
      <c r="I42" s="79"/>
      <c r="J42" s="79">
        <v>180.0</v>
      </c>
      <c r="K42" s="79">
        <v>180.0</v>
      </c>
      <c r="L42" s="79" t="s">
        <v>93</v>
      </c>
      <c r="M42" s="79" t="s">
        <v>98</v>
      </c>
      <c r="N42" s="82">
        <v>180.0</v>
      </c>
      <c r="O42" s="82">
        <v>180.0</v>
      </c>
      <c r="P42" s="82" t="s">
        <v>50</v>
      </c>
      <c r="Q42" s="83">
        <f t="shared" si="1"/>
        <v>360</v>
      </c>
      <c r="R42" s="121"/>
      <c r="S42" s="62"/>
      <c r="T42" s="14"/>
    </row>
    <row r="43" ht="21.75" customHeight="1">
      <c r="A43" s="85">
        <f t="shared" si="2"/>
        <v>39</v>
      </c>
      <c r="B43" s="88">
        <v>46378.0</v>
      </c>
      <c r="C43" s="79">
        <v>2908730.0</v>
      </c>
      <c r="D43" s="80" t="s">
        <v>675</v>
      </c>
      <c r="E43" s="79"/>
      <c r="F43" s="79"/>
      <c r="G43" s="79"/>
      <c r="H43" s="81"/>
      <c r="I43" s="79" t="s">
        <v>104</v>
      </c>
      <c r="J43" s="79">
        <v>220.0</v>
      </c>
      <c r="K43" s="79"/>
      <c r="L43" s="79" t="s">
        <v>80</v>
      </c>
      <c r="M43" s="79" t="s">
        <v>98</v>
      </c>
      <c r="N43" s="82">
        <v>220.0</v>
      </c>
      <c r="O43" s="82"/>
      <c r="P43" s="82" t="s">
        <v>47</v>
      </c>
      <c r="Q43" s="83">
        <f t="shared" si="1"/>
        <v>220</v>
      </c>
      <c r="R43" s="121"/>
      <c r="S43" s="62"/>
      <c r="T43" s="14"/>
    </row>
    <row r="44" ht="21.75" customHeight="1">
      <c r="A44" s="85">
        <f t="shared" si="2"/>
        <v>40</v>
      </c>
      <c r="B44" s="88">
        <v>46051.0</v>
      </c>
      <c r="C44" s="79">
        <v>4.231277E7</v>
      </c>
      <c r="D44" s="80" t="s">
        <v>676</v>
      </c>
      <c r="E44" s="79"/>
      <c r="F44" s="79"/>
      <c r="G44" s="79"/>
      <c r="H44" s="81"/>
      <c r="I44" s="79" t="s">
        <v>104</v>
      </c>
      <c r="J44" s="79">
        <v>220.0</v>
      </c>
      <c r="K44" s="79"/>
      <c r="L44" s="79" t="s">
        <v>80</v>
      </c>
      <c r="M44" s="79" t="s">
        <v>98</v>
      </c>
      <c r="N44" s="82">
        <v>220.0</v>
      </c>
      <c r="O44" s="82"/>
      <c r="P44" s="82" t="s">
        <v>47</v>
      </c>
      <c r="Q44" s="83">
        <f t="shared" si="1"/>
        <v>220</v>
      </c>
      <c r="R44" s="121"/>
      <c r="S44" s="62"/>
      <c r="T44" s="14"/>
    </row>
    <row r="45" ht="21.75" customHeight="1">
      <c r="A45" s="85">
        <f t="shared" si="2"/>
        <v>41</v>
      </c>
      <c r="B45" s="86">
        <v>46051.0</v>
      </c>
      <c r="C45" s="160" t="s">
        <v>677</v>
      </c>
      <c r="D45" s="80" t="s">
        <v>678</v>
      </c>
      <c r="E45" s="79" t="s">
        <v>679</v>
      </c>
      <c r="F45" s="79" t="s">
        <v>409</v>
      </c>
      <c r="G45" s="161" t="s">
        <v>680</v>
      </c>
      <c r="H45" s="81"/>
      <c r="I45" s="79" t="s">
        <v>79</v>
      </c>
      <c r="J45" s="79">
        <v>175.0</v>
      </c>
      <c r="K45" s="79">
        <v>175.0</v>
      </c>
      <c r="L45" s="79" t="s">
        <v>93</v>
      </c>
      <c r="M45" s="79" t="s">
        <v>98</v>
      </c>
      <c r="N45" s="82">
        <v>175.0</v>
      </c>
      <c r="O45" s="82">
        <v>175.0</v>
      </c>
      <c r="P45" s="82" t="s">
        <v>45</v>
      </c>
      <c r="Q45" s="83">
        <f t="shared" si="1"/>
        <v>350</v>
      </c>
      <c r="R45" s="84" t="s">
        <v>681</v>
      </c>
      <c r="S45" s="62"/>
      <c r="T45" s="14"/>
    </row>
    <row r="46" ht="21.75" customHeight="1">
      <c r="A46" s="85">
        <f t="shared" si="2"/>
        <v>42</v>
      </c>
      <c r="B46" s="86">
        <v>46051.0</v>
      </c>
      <c r="C46" s="160" t="s">
        <v>682</v>
      </c>
      <c r="D46" s="80" t="s">
        <v>683</v>
      </c>
      <c r="E46" s="79" t="s">
        <v>684</v>
      </c>
      <c r="F46" s="79" t="s">
        <v>409</v>
      </c>
      <c r="G46" s="79"/>
      <c r="H46" s="81"/>
      <c r="I46" s="79" t="s">
        <v>79</v>
      </c>
      <c r="J46" s="79">
        <v>175.0</v>
      </c>
      <c r="K46" s="79">
        <v>175.0</v>
      </c>
      <c r="L46" s="79" t="s">
        <v>93</v>
      </c>
      <c r="M46" s="79" t="s">
        <v>98</v>
      </c>
      <c r="N46" s="82">
        <v>175.0</v>
      </c>
      <c r="O46" s="82">
        <v>175.0</v>
      </c>
      <c r="P46" s="82" t="s">
        <v>45</v>
      </c>
      <c r="Q46" s="83">
        <f t="shared" si="1"/>
        <v>350</v>
      </c>
      <c r="R46" s="84" t="s">
        <v>681</v>
      </c>
      <c r="S46" s="62"/>
      <c r="T46" s="14"/>
    </row>
    <row r="47" ht="21.75" customHeight="1">
      <c r="A47" s="85">
        <f t="shared" si="2"/>
        <v>43</v>
      </c>
      <c r="B47" s="88">
        <v>46052.0</v>
      </c>
      <c r="C47" s="79"/>
      <c r="D47" s="80" t="s">
        <v>685</v>
      </c>
      <c r="E47" s="79"/>
      <c r="F47" s="79" t="s">
        <v>135</v>
      </c>
      <c r="G47" s="79"/>
      <c r="H47" s="81"/>
      <c r="I47" s="79" t="s">
        <v>104</v>
      </c>
      <c r="J47" s="79">
        <v>190.0</v>
      </c>
      <c r="K47" s="79"/>
      <c r="L47" s="79" t="s">
        <v>80</v>
      </c>
      <c r="M47" s="79" t="s">
        <v>98</v>
      </c>
      <c r="N47" s="82">
        <v>190.0</v>
      </c>
      <c r="O47" s="82"/>
      <c r="P47" s="82" t="s">
        <v>47</v>
      </c>
      <c r="Q47" s="83">
        <f t="shared" si="1"/>
        <v>190</v>
      </c>
      <c r="R47" s="121"/>
      <c r="S47" s="62"/>
      <c r="T47" s="14"/>
    </row>
    <row r="48" ht="21.75" customHeight="1">
      <c r="A48" s="85">
        <f t="shared" si="2"/>
        <v>44</v>
      </c>
      <c r="B48" s="88">
        <v>46052.0</v>
      </c>
      <c r="C48" s="79"/>
      <c r="D48" s="80" t="s">
        <v>686</v>
      </c>
      <c r="E48" s="79"/>
      <c r="F48" s="79" t="s">
        <v>135</v>
      </c>
      <c r="G48" s="79"/>
      <c r="H48" s="81"/>
      <c r="I48" s="79" t="s">
        <v>104</v>
      </c>
      <c r="J48" s="79">
        <v>190.0</v>
      </c>
      <c r="K48" s="79"/>
      <c r="L48" s="79" t="s">
        <v>80</v>
      </c>
      <c r="M48" s="79" t="s">
        <v>98</v>
      </c>
      <c r="N48" s="82">
        <v>190.0</v>
      </c>
      <c r="O48" s="82"/>
      <c r="P48" s="82" t="s">
        <v>47</v>
      </c>
      <c r="Q48" s="83">
        <f t="shared" si="1"/>
        <v>190</v>
      </c>
      <c r="R48" s="121"/>
      <c r="S48" s="62"/>
      <c r="T48" s="14"/>
    </row>
    <row r="49" ht="21.75" customHeight="1">
      <c r="A49" s="85">
        <f t="shared" si="2"/>
        <v>45</v>
      </c>
      <c r="B49" s="78">
        <v>46052.0</v>
      </c>
      <c r="C49" s="79">
        <v>6.0758869E7</v>
      </c>
      <c r="D49" s="80" t="s">
        <v>687</v>
      </c>
      <c r="E49" s="79" t="s">
        <v>688</v>
      </c>
      <c r="F49" s="79" t="s">
        <v>460</v>
      </c>
      <c r="G49" s="79" t="s">
        <v>689</v>
      </c>
      <c r="H49" s="81"/>
      <c r="I49" s="79" t="s">
        <v>79</v>
      </c>
      <c r="J49" s="79">
        <v>25.0</v>
      </c>
      <c r="K49" s="79">
        <v>155.0</v>
      </c>
      <c r="L49" s="79" t="s">
        <v>93</v>
      </c>
      <c r="M49" s="79" t="s">
        <v>98</v>
      </c>
      <c r="N49" s="82">
        <v>25.0</v>
      </c>
      <c r="O49" s="82">
        <v>155.0</v>
      </c>
      <c r="P49" s="82" t="s">
        <v>50</v>
      </c>
      <c r="Q49" s="83">
        <f t="shared" si="1"/>
        <v>180</v>
      </c>
      <c r="R49" s="121"/>
      <c r="S49" s="62"/>
      <c r="T49" s="14"/>
    </row>
    <row r="50" ht="21.75" customHeight="1">
      <c r="A50" s="85">
        <f t="shared" si="2"/>
        <v>46</v>
      </c>
      <c r="B50" s="78">
        <v>46052.0</v>
      </c>
      <c r="C50" s="79">
        <v>1.003869E7</v>
      </c>
      <c r="D50" s="80" t="s">
        <v>690</v>
      </c>
      <c r="E50" s="79" t="s">
        <v>691</v>
      </c>
      <c r="F50" s="79" t="s">
        <v>460</v>
      </c>
      <c r="G50" s="79" t="s">
        <v>689</v>
      </c>
      <c r="H50" s="81"/>
      <c r="I50" s="79" t="s">
        <v>79</v>
      </c>
      <c r="J50" s="79">
        <v>25.0</v>
      </c>
      <c r="K50" s="79">
        <v>155.0</v>
      </c>
      <c r="L50" s="79" t="s">
        <v>93</v>
      </c>
      <c r="M50" s="79" t="s">
        <v>278</v>
      </c>
      <c r="N50" s="82">
        <v>25.0</v>
      </c>
      <c r="O50" s="82">
        <v>155.0</v>
      </c>
      <c r="P50" s="82" t="s">
        <v>50</v>
      </c>
      <c r="Q50" s="83">
        <f t="shared" si="1"/>
        <v>180</v>
      </c>
      <c r="R50" s="121"/>
      <c r="S50" s="62"/>
      <c r="T50" s="14"/>
    </row>
    <row r="51" ht="21.75" customHeight="1">
      <c r="A51" s="85">
        <f t="shared" si="2"/>
        <v>47</v>
      </c>
      <c r="B51" s="193">
        <v>46052.0</v>
      </c>
      <c r="C51" s="79">
        <v>9980577.0</v>
      </c>
      <c r="D51" s="80" t="s">
        <v>692</v>
      </c>
      <c r="E51" s="79" t="s">
        <v>693</v>
      </c>
      <c r="F51" s="79" t="s">
        <v>694</v>
      </c>
      <c r="G51" s="79" t="s">
        <v>695</v>
      </c>
      <c r="H51" s="81"/>
      <c r="I51" s="79" t="s">
        <v>79</v>
      </c>
      <c r="J51" s="79">
        <v>200.0</v>
      </c>
      <c r="K51" s="79"/>
      <c r="L51" s="79" t="s">
        <v>80</v>
      </c>
      <c r="M51" s="79" t="s">
        <v>98</v>
      </c>
      <c r="N51" s="82">
        <v>200.0</v>
      </c>
      <c r="O51" s="82"/>
      <c r="P51" s="82" t="s">
        <v>43</v>
      </c>
      <c r="Q51" s="83">
        <f t="shared" si="1"/>
        <v>200</v>
      </c>
      <c r="R51" s="121"/>
      <c r="S51" s="62"/>
      <c r="T51" s="14"/>
    </row>
    <row r="52" ht="21.75" customHeight="1">
      <c r="A52" s="85">
        <f t="shared" si="2"/>
        <v>48</v>
      </c>
      <c r="B52" s="94">
        <v>46052.0</v>
      </c>
      <c r="C52" s="79" t="s">
        <v>696</v>
      </c>
      <c r="D52" s="127" t="s">
        <v>697</v>
      </c>
      <c r="E52" s="79" t="s">
        <v>698</v>
      </c>
      <c r="F52" s="79" t="s">
        <v>699</v>
      </c>
      <c r="G52" s="79" t="s">
        <v>700</v>
      </c>
      <c r="H52" s="81"/>
      <c r="I52" s="79" t="s">
        <v>79</v>
      </c>
      <c r="J52" s="79">
        <v>85.0</v>
      </c>
      <c r="K52" s="79">
        <v>85.0</v>
      </c>
      <c r="L52" s="79" t="s">
        <v>93</v>
      </c>
      <c r="M52" s="79" t="s">
        <v>98</v>
      </c>
      <c r="N52" s="82">
        <v>85.0</v>
      </c>
      <c r="O52" s="82">
        <v>85.0</v>
      </c>
      <c r="P52" s="82" t="s">
        <v>48</v>
      </c>
      <c r="Q52" s="83">
        <f t="shared" si="1"/>
        <v>170</v>
      </c>
      <c r="R52" s="121"/>
      <c r="S52" s="62"/>
      <c r="T52" s="14"/>
    </row>
    <row r="53" ht="21.75" customHeight="1">
      <c r="A53" s="85">
        <f t="shared" si="2"/>
        <v>49</v>
      </c>
      <c r="B53" s="94">
        <v>46052.0</v>
      </c>
      <c r="C53" s="194">
        <v>4.0585729E7</v>
      </c>
      <c r="D53" s="127" t="s">
        <v>701</v>
      </c>
      <c r="E53" s="79"/>
      <c r="F53" s="79" t="s">
        <v>699</v>
      </c>
      <c r="G53" s="79" t="s">
        <v>702</v>
      </c>
      <c r="H53" s="81"/>
      <c r="I53" s="79" t="s">
        <v>79</v>
      </c>
      <c r="J53" s="79">
        <v>85.0</v>
      </c>
      <c r="K53" s="79">
        <v>85.0</v>
      </c>
      <c r="L53" s="79" t="s">
        <v>93</v>
      </c>
      <c r="M53" s="79" t="s">
        <v>98</v>
      </c>
      <c r="N53" s="82">
        <v>85.0</v>
      </c>
      <c r="O53" s="82">
        <v>85.0</v>
      </c>
      <c r="P53" s="82" t="s">
        <v>48</v>
      </c>
      <c r="Q53" s="83">
        <f t="shared" si="1"/>
        <v>170</v>
      </c>
      <c r="R53" s="121"/>
      <c r="S53" s="62"/>
      <c r="T53" s="14"/>
    </row>
    <row r="54" ht="21.75" customHeight="1">
      <c r="A54" s="85">
        <f t="shared" si="2"/>
        <v>50</v>
      </c>
      <c r="B54" s="94">
        <v>46052.0</v>
      </c>
      <c r="C54" s="194">
        <v>7.720482E7</v>
      </c>
      <c r="D54" s="127" t="s">
        <v>703</v>
      </c>
      <c r="E54" s="79"/>
      <c r="F54" s="79" t="s">
        <v>699</v>
      </c>
      <c r="G54" s="79" t="s">
        <v>704</v>
      </c>
      <c r="H54" s="81"/>
      <c r="I54" s="79" t="s">
        <v>79</v>
      </c>
      <c r="J54" s="79">
        <v>85.0</v>
      </c>
      <c r="K54" s="79">
        <v>85.0</v>
      </c>
      <c r="L54" s="79" t="s">
        <v>93</v>
      </c>
      <c r="M54" s="79" t="s">
        <v>98</v>
      </c>
      <c r="N54" s="82">
        <v>85.0</v>
      </c>
      <c r="O54" s="82">
        <v>85.0</v>
      </c>
      <c r="P54" s="82" t="s">
        <v>48</v>
      </c>
      <c r="Q54" s="83">
        <f t="shared" si="1"/>
        <v>170</v>
      </c>
      <c r="R54" s="121"/>
      <c r="S54" s="62"/>
      <c r="T54" s="14"/>
    </row>
    <row r="55" ht="21.75" customHeight="1">
      <c r="A55" s="85">
        <f t="shared" si="2"/>
        <v>51</v>
      </c>
      <c r="B55" s="86">
        <v>46052.0</v>
      </c>
      <c r="C55" s="79"/>
      <c r="D55" s="127" t="s">
        <v>705</v>
      </c>
      <c r="E55" s="79"/>
      <c r="F55" s="79" t="s">
        <v>71</v>
      </c>
      <c r="G55" s="79" t="s">
        <v>706</v>
      </c>
      <c r="H55" s="81" t="s">
        <v>79</v>
      </c>
      <c r="I55" s="79"/>
      <c r="J55" s="79">
        <v>50.0</v>
      </c>
      <c r="K55" s="79">
        <v>125.0</v>
      </c>
      <c r="L55" s="79" t="s">
        <v>93</v>
      </c>
      <c r="M55" s="79" t="s">
        <v>98</v>
      </c>
      <c r="N55" s="82">
        <v>50.0</v>
      </c>
      <c r="O55" s="82">
        <v>125.0</v>
      </c>
      <c r="P55" s="82" t="s">
        <v>45</v>
      </c>
      <c r="Q55" s="83">
        <f t="shared" si="1"/>
        <v>175</v>
      </c>
      <c r="R55" s="84" t="s">
        <v>707</v>
      </c>
      <c r="S55" s="62"/>
      <c r="T55" s="14"/>
    </row>
    <row r="56" ht="21.75" customHeight="1">
      <c r="A56" s="85">
        <f t="shared" si="2"/>
        <v>52</v>
      </c>
      <c r="B56" s="86">
        <v>46052.0</v>
      </c>
      <c r="C56" s="79"/>
      <c r="D56" s="80" t="s">
        <v>708</v>
      </c>
      <c r="E56" s="79"/>
      <c r="F56" s="79"/>
      <c r="G56" s="79" t="s">
        <v>706</v>
      </c>
      <c r="H56" s="81" t="s">
        <v>79</v>
      </c>
      <c r="I56" s="79"/>
      <c r="J56" s="79">
        <v>50.0</v>
      </c>
      <c r="K56" s="79">
        <v>125.0</v>
      </c>
      <c r="L56" s="79" t="s">
        <v>93</v>
      </c>
      <c r="M56" s="79" t="s">
        <v>98</v>
      </c>
      <c r="N56" s="82">
        <v>50.0</v>
      </c>
      <c r="O56" s="82">
        <v>125.0</v>
      </c>
      <c r="P56" s="82" t="s">
        <v>45</v>
      </c>
      <c r="Q56" s="83">
        <f t="shared" si="1"/>
        <v>175</v>
      </c>
      <c r="R56" s="84" t="s">
        <v>707</v>
      </c>
      <c r="S56" s="62"/>
      <c r="T56" s="14"/>
    </row>
    <row r="57" ht="21.75" customHeight="1">
      <c r="A57" s="85">
        <f t="shared" si="2"/>
        <v>53</v>
      </c>
      <c r="B57" s="88">
        <v>46052.0</v>
      </c>
      <c r="C57" s="79">
        <v>7.2186264E7</v>
      </c>
      <c r="D57" s="80" t="s">
        <v>709</v>
      </c>
      <c r="E57" s="79"/>
      <c r="F57" s="79"/>
      <c r="G57" s="79"/>
      <c r="H57" s="81" t="s">
        <v>104</v>
      </c>
      <c r="I57" s="79"/>
      <c r="J57" s="79">
        <v>100.0</v>
      </c>
      <c r="K57" s="79">
        <v>100.0</v>
      </c>
      <c r="L57" s="79" t="s">
        <v>93</v>
      </c>
      <c r="M57" s="79" t="s">
        <v>98</v>
      </c>
      <c r="N57" s="82">
        <v>100.0</v>
      </c>
      <c r="O57" s="82">
        <v>100.0</v>
      </c>
      <c r="P57" s="82" t="s">
        <v>47</v>
      </c>
      <c r="Q57" s="83">
        <f t="shared" si="1"/>
        <v>200</v>
      </c>
      <c r="R57" s="121"/>
      <c r="S57" s="62"/>
      <c r="T57" s="14"/>
    </row>
    <row r="58" ht="21.75" customHeight="1">
      <c r="A58" s="85">
        <f t="shared" si="2"/>
        <v>54</v>
      </c>
      <c r="B58" s="78">
        <v>46052.0</v>
      </c>
      <c r="C58" s="79"/>
      <c r="D58" s="80" t="s">
        <v>710</v>
      </c>
      <c r="E58" s="79" t="s">
        <v>71</v>
      </c>
      <c r="F58" s="79" t="s">
        <v>195</v>
      </c>
      <c r="G58" s="79" t="s">
        <v>711</v>
      </c>
      <c r="H58" s="81" t="s">
        <v>79</v>
      </c>
      <c r="I58" s="79"/>
      <c r="J58" s="79">
        <v>50.0</v>
      </c>
      <c r="K58" s="79">
        <v>150.0</v>
      </c>
      <c r="L58" s="79" t="s">
        <v>93</v>
      </c>
      <c r="M58" s="79" t="s">
        <v>98</v>
      </c>
      <c r="N58" s="82">
        <v>50.0</v>
      </c>
      <c r="O58" s="82">
        <v>150.0</v>
      </c>
      <c r="P58" s="82" t="s">
        <v>50</v>
      </c>
      <c r="Q58" s="83">
        <f t="shared" si="1"/>
        <v>200</v>
      </c>
      <c r="R58" s="121"/>
      <c r="S58" s="62"/>
      <c r="T58" s="14"/>
    </row>
    <row r="59" ht="21.75" customHeight="1">
      <c r="A59" s="85">
        <f t="shared" si="2"/>
        <v>55</v>
      </c>
      <c r="B59" s="94">
        <v>46052.0</v>
      </c>
      <c r="C59" s="195">
        <v>7.596805E7</v>
      </c>
      <c r="D59" s="127" t="s">
        <v>712</v>
      </c>
      <c r="E59" s="79"/>
      <c r="F59" s="79"/>
      <c r="G59" s="79">
        <f>51986381281
</f>
        <v>51986381281</v>
      </c>
      <c r="H59" s="81"/>
      <c r="I59" s="79" t="s">
        <v>79</v>
      </c>
      <c r="J59" s="79">
        <v>90.0</v>
      </c>
      <c r="K59" s="79">
        <v>90.0</v>
      </c>
      <c r="L59" s="79" t="s">
        <v>93</v>
      </c>
      <c r="M59" s="79" t="s">
        <v>98</v>
      </c>
      <c r="N59" s="82">
        <v>90.0</v>
      </c>
      <c r="O59" s="82">
        <v>90.0</v>
      </c>
      <c r="P59" s="82" t="s">
        <v>48</v>
      </c>
      <c r="Q59" s="83">
        <f t="shared" si="1"/>
        <v>180</v>
      </c>
      <c r="R59" s="121"/>
      <c r="S59" s="62"/>
      <c r="T59" s="14"/>
    </row>
    <row r="60" ht="21.75" customHeight="1">
      <c r="A60" s="85">
        <f t="shared" si="2"/>
        <v>56</v>
      </c>
      <c r="B60" s="94">
        <v>46052.0</v>
      </c>
      <c r="C60" s="79">
        <v>7.4609696E7</v>
      </c>
      <c r="D60" s="80" t="s">
        <v>713</v>
      </c>
      <c r="E60" s="79"/>
      <c r="F60" s="79"/>
      <c r="G60" s="79">
        <f>+51986381281</f>
        <v>51986381281</v>
      </c>
      <c r="H60" s="81"/>
      <c r="I60" s="79" t="s">
        <v>79</v>
      </c>
      <c r="J60" s="79">
        <v>90.0</v>
      </c>
      <c r="K60" s="79">
        <v>90.0</v>
      </c>
      <c r="L60" s="79" t="s">
        <v>93</v>
      </c>
      <c r="M60" s="79" t="s">
        <v>98</v>
      </c>
      <c r="N60" s="82">
        <v>90.0</v>
      </c>
      <c r="O60" s="82">
        <v>90.0</v>
      </c>
      <c r="P60" s="82" t="s">
        <v>48</v>
      </c>
      <c r="Q60" s="83">
        <f t="shared" si="1"/>
        <v>180</v>
      </c>
      <c r="R60" s="121"/>
      <c r="S60" s="62"/>
      <c r="T60" s="14"/>
    </row>
    <row r="61" ht="21.75" customHeight="1">
      <c r="A61" s="85">
        <f t="shared" si="2"/>
        <v>57</v>
      </c>
      <c r="B61" s="88">
        <v>46052.0</v>
      </c>
      <c r="C61" s="79"/>
      <c r="D61" s="80" t="s">
        <v>714</v>
      </c>
      <c r="E61" s="79"/>
      <c r="F61" s="79"/>
      <c r="G61" s="79"/>
      <c r="H61" s="81"/>
      <c r="I61" s="79" t="s">
        <v>104</v>
      </c>
      <c r="J61" s="79">
        <v>160.0</v>
      </c>
      <c r="K61" s="79"/>
      <c r="L61" s="79" t="s">
        <v>80</v>
      </c>
      <c r="M61" s="79" t="s">
        <v>98</v>
      </c>
      <c r="N61" s="82">
        <v>160.0</v>
      </c>
      <c r="O61" s="82"/>
      <c r="P61" s="82" t="s">
        <v>47</v>
      </c>
      <c r="Q61" s="83">
        <f t="shared" si="1"/>
        <v>160</v>
      </c>
      <c r="R61" s="121"/>
      <c r="S61" s="62"/>
      <c r="T61" s="14"/>
    </row>
    <row r="62" ht="21.75" customHeight="1">
      <c r="A62" s="85">
        <f t="shared" si="2"/>
        <v>58</v>
      </c>
      <c r="B62" s="87">
        <v>46052.0</v>
      </c>
      <c r="C62" s="79"/>
      <c r="D62" s="80" t="s">
        <v>715</v>
      </c>
      <c r="E62" s="79"/>
      <c r="F62" s="79"/>
      <c r="G62" s="79"/>
      <c r="H62" s="81" t="s">
        <v>104</v>
      </c>
      <c r="I62" s="79"/>
      <c r="J62" s="79">
        <v>0.0</v>
      </c>
      <c r="K62" s="79"/>
      <c r="L62" s="79"/>
      <c r="M62" s="79"/>
      <c r="N62" s="82"/>
      <c r="O62" s="82"/>
      <c r="P62" s="82"/>
      <c r="Q62" s="83">
        <f t="shared" si="1"/>
        <v>0</v>
      </c>
      <c r="R62" s="84" t="s">
        <v>716</v>
      </c>
      <c r="S62" s="62"/>
      <c r="T62" s="14"/>
    </row>
    <row r="63" ht="21.75" customHeight="1">
      <c r="A63" s="85">
        <f t="shared" si="2"/>
        <v>59</v>
      </c>
      <c r="B63" s="86">
        <v>46052.0</v>
      </c>
      <c r="C63" s="79"/>
      <c r="D63" s="80" t="s">
        <v>717</v>
      </c>
      <c r="E63" s="79"/>
      <c r="F63" s="79"/>
      <c r="G63" s="79"/>
      <c r="H63" s="81" t="s">
        <v>79</v>
      </c>
      <c r="I63" s="79"/>
      <c r="J63" s="79">
        <v>125.0</v>
      </c>
      <c r="K63" s="79">
        <v>50.0</v>
      </c>
      <c r="L63" s="79" t="s">
        <v>93</v>
      </c>
      <c r="M63" s="79"/>
      <c r="N63" s="82">
        <v>125.0</v>
      </c>
      <c r="O63" s="82">
        <v>50.0</v>
      </c>
      <c r="P63" s="82" t="s">
        <v>45</v>
      </c>
      <c r="Q63" s="83">
        <f t="shared" si="1"/>
        <v>175</v>
      </c>
      <c r="R63" s="84" t="s">
        <v>707</v>
      </c>
      <c r="S63" s="62"/>
      <c r="T63" s="14"/>
    </row>
    <row r="64" ht="21.75" customHeight="1">
      <c r="A64" s="85">
        <f t="shared" si="2"/>
        <v>60</v>
      </c>
      <c r="B64" s="86">
        <v>46052.0</v>
      </c>
      <c r="C64" s="79"/>
      <c r="D64" s="80" t="s">
        <v>718</v>
      </c>
      <c r="E64" s="79"/>
      <c r="F64" s="79"/>
      <c r="G64" s="79"/>
      <c r="H64" s="81" t="s">
        <v>79</v>
      </c>
      <c r="I64" s="79"/>
      <c r="J64" s="79">
        <v>125.0</v>
      </c>
      <c r="K64" s="79">
        <v>50.0</v>
      </c>
      <c r="L64" s="79" t="s">
        <v>93</v>
      </c>
      <c r="M64" s="79"/>
      <c r="N64" s="82">
        <v>125.0</v>
      </c>
      <c r="O64" s="82">
        <v>50.0</v>
      </c>
      <c r="P64" s="82" t="s">
        <v>45</v>
      </c>
      <c r="Q64" s="83">
        <f t="shared" si="1"/>
        <v>175</v>
      </c>
      <c r="R64" s="84" t="s">
        <v>707</v>
      </c>
      <c r="S64" s="62"/>
      <c r="T64" s="14"/>
    </row>
    <row r="65" ht="21.75" customHeight="1">
      <c r="A65" s="85">
        <f t="shared" si="2"/>
        <v>61</v>
      </c>
      <c r="B65" s="196">
        <v>46053.0</v>
      </c>
      <c r="C65" s="79"/>
      <c r="D65" s="190" t="s">
        <v>719</v>
      </c>
      <c r="E65" s="79"/>
      <c r="F65" s="79"/>
      <c r="G65" s="79"/>
      <c r="H65" s="81" t="s">
        <v>79</v>
      </c>
      <c r="I65" s="79"/>
      <c r="J65" s="79">
        <v>190.0</v>
      </c>
      <c r="K65" s="79"/>
      <c r="L65" s="79" t="s">
        <v>80</v>
      </c>
      <c r="M65" s="79"/>
      <c r="N65" s="82">
        <v>190.0</v>
      </c>
      <c r="O65" s="82"/>
      <c r="P65" s="82" t="s">
        <v>46</v>
      </c>
      <c r="Q65" s="83">
        <f t="shared" si="1"/>
        <v>190</v>
      </c>
      <c r="R65" s="121"/>
      <c r="S65" s="62"/>
      <c r="T65" s="14"/>
    </row>
    <row r="66" ht="21.75" customHeight="1">
      <c r="A66" s="85">
        <f t="shared" si="2"/>
        <v>62</v>
      </c>
      <c r="B66" s="196">
        <v>46053.0</v>
      </c>
      <c r="C66" s="79"/>
      <c r="D66" s="190" t="s">
        <v>720</v>
      </c>
      <c r="E66" s="79"/>
      <c r="F66" s="79"/>
      <c r="G66" s="79"/>
      <c r="H66" s="197" t="s">
        <v>79</v>
      </c>
      <c r="I66" s="198"/>
      <c r="J66" s="79">
        <v>190.0</v>
      </c>
      <c r="K66" s="79"/>
      <c r="L66" s="79" t="s">
        <v>80</v>
      </c>
      <c r="M66" s="79"/>
      <c r="N66" s="82">
        <v>190.0</v>
      </c>
      <c r="O66" s="82"/>
      <c r="P66" s="82" t="s">
        <v>46</v>
      </c>
      <c r="Q66" s="83">
        <f t="shared" si="1"/>
        <v>190</v>
      </c>
      <c r="R66" s="121"/>
      <c r="S66" s="62"/>
      <c r="T66" s="14"/>
    </row>
    <row r="67" ht="21.75" customHeight="1">
      <c r="A67" s="85">
        <f t="shared" si="2"/>
        <v>63</v>
      </c>
      <c r="B67" s="87"/>
      <c r="C67" s="79"/>
      <c r="D67" s="80"/>
      <c r="E67" s="79"/>
      <c r="F67" s="79"/>
      <c r="G67" s="79"/>
      <c r="H67" s="81"/>
      <c r="I67" s="79"/>
      <c r="J67" s="79"/>
      <c r="K67" s="79"/>
      <c r="L67" s="79"/>
      <c r="M67" s="79"/>
      <c r="N67" s="82"/>
      <c r="O67" s="82"/>
      <c r="P67" s="82"/>
      <c r="Q67" s="83">
        <f t="shared" si="1"/>
        <v>0</v>
      </c>
      <c r="R67" s="121"/>
      <c r="S67" s="62"/>
      <c r="T67" s="14"/>
    </row>
    <row r="68" ht="21.75" customHeight="1">
      <c r="A68" s="85">
        <f t="shared" si="2"/>
        <v>64</v>
      </c>
      <c r="B68" s="87"/>
      <c r="C68" s="79"/>
      <c r="D68" s="80"/>
      <c r="E68" s="79"/>
      <c r="F68" s="79"/>
      <c r="G68" s="79"/>
      <c r="H68" s="81"/>
      <c r="I68" s="79"/>
      <c r="J68" s="79"/>
      <c r="K68" s="79"/>
      <c r="L68" s="79"/>
      <c r="M68" s="79"/>
      <c r="N68" s="82"/>
      <c r="O68" s="82"/>
      <c r="P68" s="82"/>
      <c r="Q68" s="83">
        <f t="shared" si="1"/>
        <v>0</v>
      </c>
      <c r="R68" s="121"/>
      <c r="S68" s="62"/>
      <c r="T68" s="14"/>
    </row>
    <row r="69" ht="21.75" customHeight="1">
      <c r="A69" s="85">
        <f t="shared" si="2"/>
        <v>65</v>
      </c>
      <c r="B69" s="87"/>
      <c r="C69" s="79"/>
      <c r="D69" s="80"/>
      <c r="E69" s="79"/>
      <c r="F69" s="79"/>
      <c r="G69" s="79"/>
      <c r="H69" s="81"/>
      <c r="I69" s="79"/>
      <c r="J69" s="79"/>
      <c r="K69" s="79"/>
      <c r="L69" s="79"/>
      <c r="M69" s="79"/>
      <c r="N69" s="82"/>
      <c r="O69" s="82"/>
      <c r="P69" s="82"/>
      <c r="Q69" s="83">
        <f t="shared" si="1"/>
        <v>0</v>
      </c>
      <c r="R69" s="121"/>
      <c r="S69" s="62"/>
      <c r="T69" s="14"/>
    </row>
    <row r="70" ht="21.75" customHeight="1">
      <c r="A70" s="85">
        <f t="shared" si="2"/>
        <v>66</v>
      </c>
      <c r="B70" s="87"/>
      <c r="C70" s="79"/>
      <c r="D70" s="80"/>
      <c r="E70" s="79"/>
      <c r="F70" s="79"/>
      <c r="G70" s="79"/>
      <c r="H70" s="81"/>
      <c r="I70" s="79"/>
      <c r="J70" s="79"/>
      <c r="K70" s="79"/>
      <c r="L70" s="79"/>
      <c r="M70" s="79"/>
      <c r="N70" s="82"/>
      <c r="O70" s="82"/>
      <c r="P70" s="82"/>
      <c r="Q70" s="83">
        <f t="shared" si="1"/>
        <v>0</v>
      </c>
      <c r="R70" s="121"/>
      <c r="S70" s="62"/>
      <c r="T70" s="14"/>
    </row>
    <row r="71" ht="21.75" customHeight="1">
      <c r="A71" s="85">
        <f t="shared" si="2"/>
        <v>67</v>
      </c>
      <c r="B71" s="87"/>
      <c r="C71" s="79"/>
      <c r="D71" s="80"/>
      <c r="E71" s="79"/>
      <c r="F71" s="79"/>
      <c r="G71" s="79"/>
      <c r="H71" s="81"/>
      <c r="I71" s="79"/>
      <c r="J71" s="79"/>
      <c r="K71" s="79"/>
      <c r="L71" s="79"/>
      <c r="M71" s="79"/>
      <c r="N71" s="82"/>
      <c r="O71" s="82"/>
      <c r="P71" s="82"/>
      <c r="Q71" s="83">
        <f t="shared" si="1"/>
        <v>0</v>
      </c>
      <c r="R71" s="121"/>
      <c r="S71" s="62"/>
      <c r="T71" s="14"/>
    </row>
    <row r="72" ht="21.75" customHeight="1">
      <c r="A72" s="85">
        <f t="shared" si="2"/>
        <v>68</v>
      </c>
      <c r="B72" s="87"/>
      <c r="C72" s="79"/>
      <c r="D72" s="80"/>
      <c r="E72" s="79"/>
      <c r="F72" s="79"/>
      <c r="G72" s="79"/>
      <c r="H72" s="81"/>
      <c r="I72" s="79"/>
      <c r="J72" s="79"/>
      <c r="K72" s="79"/>
      <c r="L72" s="79"/>
      <c r="M72" s="79"/>
      <c r="N72" s="82"/>
      <c r="O72" s="82"/>
      <c r="P72" s="82"/>
      <c r="Q72" s="83">
        <f t="shared" si="1"/>
        <v>0</v>
      </c>
      <c r="R72" s="84" t="s">
        <v>74</v>
      </c>
      <c r="S72" s="62"/>
      <c r="T72" s="14"/>
    </row>
    <row r="73" ht="21.75" customHeight="1">
      <c r="A73" s="95"/>
      <c r="B73" s="95"/>
      <c r="C73" s="95"/>
      <c r="D73" s="95"/>
      <c r="E73" s="95"/>
      <c r="F73" s="95"/>
      <c r="G73" s="96" t="s">
        <v>178</v>
      </c>
      <c r="H73" s="97">
        <f t="shared" ref="H73:I73" si="4">COUNTIF(H4:H72,"X")</f>
        <v>30</v>
      </c>
      <c r="I73" s="97">
        <f t="shared" si="4"/>
        <v>34</v>
      </c>
      <c r="J73" s="98">
        <f t="shared" ref="J73:K73" si="5">SUM(J4:J72)</f>
        <v>8025</v>
      </c>
      <c r="K73" s="98">
        <f t="shared" si="5"/>
        <v>3975</v>
      </c>
      <c r="L73" s="40"/>
      <c r="M73" s="95"/>
      <c r="N73" s="98">
        <f t="shared" ref="N73:O73" si="6">SUM(N4:N72)</f>
        <v>8175</v>
      </c>
      <c r="O73" s="98">
        <f t="shared" si="6"/>
        <v>3795</v>
      </c>
      <c r="P73" s="95"/>
      <c r="Q73" s="99"/>
      <c r="R73" s="95"/>
      <c r="S73" s="63"/>
      <c r="T73" s="2"/>
    </row>
    <row r="74" ht="19.5" customHeight="1">
      <c r="A74" s="2"/>
      <c r="B74" s="2"/>
      <c r="C74" s="2"/>
      <c r="D74" s="2"/>
      <c r="E74" s="2"/>
      <c r="F74" s="2"/>
      <c r="G74" s="100" t="s">
        <v>179</v>
      </c>
      <c r="H74" s="101">
        <v>34.0</v>
      </c>
      <c r="I74" s="101">
        <v>34.0</v>
      </c>
      <c r="J74" s="102">
        <f>SUM(J73:K73)</f>
        <v>12000</v>
      </c>
      <c r="K74" s="103"/>
      <c r="L74" s="2"/>
      <c r="M74" s="2"/>
      <c r="N74" s="102">
        <f>SUM(N73:O73)</f>
        <v>11970</v>
      </c>
      <c r="O74" s="103"/>
      <c r="P74" s="2"/>
      <c r="Q74" s="5"/>
      <c r="R74" s="2"/>
      <c r="S74" s="63"/>
      <c r="T74" s="2"/>
    </row>
    <row r="75" ht="19.5" customHeight="1">
      <c r="A75" s="2"/>
      <c r="B75" s="104"/>
      <c r="C75" s="2"/>
      <c r="D75" s="105"/>
      <c r="E75" s="2"/>
      <c r="F75" s="2"/>
      <c r="G75" s="106" t="s">
        <v>180</v>
      </c>
      <c r="H75" s="107">
        <f t="shared" ref="H75:I75" si="7">H74-H73</f>
        <v>4</v>
      </c>
      <c r="I75" s="107">
        <f t="shared" si="7"/>
        <v>0</v>
      </c>
      <c r="J75" s="108" t="s">
        <v>181</v>
      </c>
      <c r="K75" s="109"/>
      <c r="L75" s="2"/>
      <c r="M75" s="2"/>
      <c r="N75" s="108" t="s">
        <v>182</v>
      </c>
      <c r="O75" s="109"/>
      <c r="P75" s="104"/>
      <c r="Q75" s="5"/>
      <c r="R75" s="2"/>
      <c r="S75" s="63"/>
      <c r="T75" s="2"/>
    </row>
    <row r="76" ht="19.5" customHeight="1">
      <c r="A76" s="2"/>
      <c r="B76" s="104"/>
      <c r="C76" s="2"/>
      <c r="D76" s="105"/>
      <c r="E76" s="2"/>
      <c r="F76" s="2"/>
      <c r="G76" s="2"/>
      <c r="H76" s="110">
        <v>200.0</v>
      </c>
      <c r="I76" s="110">
        <v>200.0</v>
      </c>
      <c r="J76" s="2"/>
      <c r="K76" s="2"/>
      <c r="L76" s="2"/>
      <c r="M76" s="2"/>
      <c r="N76" s="104"/>
      <c r="O76" s="104"/>
      <c r="P76" s="104"/>
      <c r="Q76" s="5"/>
      <c r="R76" s="2"/>
      <c r="S76" s="63"/>
      <c r="T76" s="14" t="s">
        <v>68</v>
      </c>
    </row>
    <row r="77" ht="19.5" customHeight="1">
      <c r="A77" s="2"/>
      <c r="B77" s="104"/>
      <c r="C77" s="2"/>
      <c r="D77" s="105"/>
      <c r="E77" s="2"/>
      <c r="F77" s="2"/>
      <c r="G77" s="2"/>
      <c r="H77" s="111">
        <f t="shared" ref="H77:I77" si="8">H75*H76</f>
        <v>800</v>
      </c>
      <c r="I77" s="111">
        <f t="shared" si="8"/>
        <v>0</v>
      </c>
      <c r="J77" s="2"/>
      <c r="K77" s="2"/>
      <c r="L77" s="2"/>
      <c r="M77" s="2"/>
      <c r="N77" s="104"/>
      <c r="O77" s="104"/>
      <c r="P77" s="104"/>
      <c r="Q77" s="5"/>
      <c r="R77" s="2"/>
      <c r="S77" s="63"/>
      <c r="T77" s="2"/>
    </row>
    <row r="78" ht="19.5" customHeight="1">
      <c r="A78" s="2"/>
      <c r="B78" s="104"/>
      <c r="C78" s="2"/>
      <c r="D78" s="105"/>
      <c r="E78" s="2"/>
      <c r="F78" s="2"/>
      <c r="G78" s="2"/>
      <c r="H78" s="112">
        <f>H77+I77</f>
        <v>800</v>
      </c>
      <c r="I78" s="109"/>
      <c r="J78" s="2"/>
      <c r="K78" s="2"/>
      <c r="L78" s="2"/>
      <c r="M78" s="2"/>
      <c r="N78" s="104"/>
      <c r="O78" s="104"/>
      <c r="P78" s="104"/>
      <c r="Q78" s="5"/>
      <c r="R78" s="2"/>
      <c r="S78" s="63"/>
      <c r="T78" s="2"/>
    </row>
    <row r="79" ht="19.5" customHeight="1">
      <c r="A79" s="2"/>
      <c r="B79" s="104"/>
      <c r="C79" s="2"/>
      <c r="D79" s="105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5"/>
      <c r="R79" s="2"/>
      <c r="S79" s="63"/>
      <c r="T79" s="2"/>
    </row>
    <row r="80" ht="19.5" customHeight="1">
      <c r="A80" s="2"/>
      <c r="B80" s="104"/>
      <c r="C80" s="2"/>
      <c r="D80" s="105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5"/>
      <c r="R80" s="2"/>
      <c r="S80" s="63"/>
      <c r="T80" s="2"/>
    </row>
    <row r="81" ht="19.5" customHeight="1">
      <c r="A81" s="2"/>
      <c r="B81" s="104"/>
      <c r="C81" s="2"/>
      <c r="D81" s="105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5"/>
      <c r="R81" s="2"/>
      <c r="S81" s="63"/>
      <c r="T81" s="2"/>
    </row>
    <row r="82" ht="19.5" customHeight="1">
      <c r="A82" s="2"/>
      <c r="B82" s="104"/>
      <c r="C82" s="2"/>
      <c r="D82" s="105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5"/>
      <c r="R82" s="2"/>
      <c r="S82" s="63"/>
      <c r="T82" s="2"/>
    </row>
  </sheetData>
  <autoFilter ref="$A$4:$T$78"/>
  <customSheetViews>
    <customSheetView guid="{E5EE51B3-DE45-4D2E-9071-A5BED79D171F}" filter="1" showAutoFilter="1">
      <autoFilter ref="$A$2:$T$82"/>
    </customSheetView>
    <customSheetView guid="{A9B8627E-26B2-4201-803A-467C3700F329}" filter="1" showAutoFilter="1">
      <autoFilter ref="$A$2:$T$82"/>
    </customSheetView>
    <customSheetView guid="{BA335440-5B37-4C05-BCDC-9CD4D4923240}" filter="1" showAutoFilter="1">
      <autoFilter ref="$A$1:$T$82"/>
    </customSheetView>
    <customSheetView guid="{BD076BCF-39B8-44C5-BF95-7B82C910DEB0}" filter="1" showAutoFilter="1">
      <autoFilter ref="$A$4:$T$78"/>
    </customSheetView>
  </customSheetViews>
  <mergeCells count="8">
    <mergeCell ref="A2:M2"/>
    <mergeCell ref="A3:F3"/>
    <mergeCell ref="G3:J3"/>
    <mergeCell ref="J74:K74"/>
    <mergeCell ref="N74:O74"/>
    <mergeCell ref="J75:K75"/>
    <mergeCell ref="N75:O75"/>
    <mergeCell ref="H78:I78"/>
  </mergeCells>
  <conditionalFormatting sqref="M5:M72 R5:R72">
    <cfRule type="containsText" dxfId="3" priority="1" operator="containsText" text="fh">
      <formula>NOT(ISERROR(SEARCH(("fh"),(M5))))</formula>
    </cfRule>
  </conditionalFormatting>
  <conditionalFormatting sqref="L1 L4:L72 M4 N8:O14 N16:O18 L74:L77 L79:L82">
    <cfRule type="containsText" dxfId="0" priority="2" operator="containsText" text="COBR">
      <formula>NOT(ISERROR(SEARCH(("COBR"),(L1))))</formula>
    </cfRule>
  </conditionalFormatting>
  <conditionalFormatting sqref="L1 L4:L72 M4 N8:O14 N16:O18 L74:L77 L79:L82">
    <cfRule type="containsText" dxfId="1" priority="3" operator="containsText" text="INTE">
      <formula>NOT(ISERROR(SEARCH(("INTE"),(L1))))</formula>
    </cfRule>
  </conditionalFormatting>
  <conditionalFormatting sqref="L1 L4:L72 M4 J74 L74:L77 N74 L79:L82">
    <cfRule type="containsText" dxfId="2" priority="4" operator="containsText" text="DESC">
      <formula>NOT(ISERROR(SEARCH(("DESC"),(L1))))</formula>
    </cfRule>
  </conditionalFormatting>
  <dataValidations>
    <dataValidation type="list" allowBlank="1" showErrorMessage="1" sqref="M5:M72">
      <formula1>CUENTAS</formula1>
    </dataValidation>
    <dataValidation type="list" allowBlank="1" showErrorMessage="1" sqref="P5:P72">
      <formula1>VENDEDOR</formula1>
    </dataValidation>
    <dataValidation type="list" allowBlank="1" showErrorMessage="1" sqref="L5:L72">
      <formula1>SITUACION</formula1>
    </dataValidation>
  </dataValidations>
  <hyperlinks>
    <hyperlink r:id="rId1" ref="E9"/>
    <hyperlink r:id="rId2" ref="E35"/>
  </hyperlinks>
  <printOptions gridLines="1" horizontalCentered="1"/>
  <pageMargins bottom="0.6" footer="0.0" header="0.0" left="0.18446313842671508" right="0.1947110905615326" top="0.21520699483116765"/>
  <pageSetup fitToHeight="0" paperSize="9" cellComments="atEnd" orientation="landscape" pageOrder="overThenDown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13.13"/>
    <col customWidth="1" min="4" max="4" width="30.38"/>
    <col customWidth="1" min="5" max="6" width="19.5"/>
    <col customWidth="1" min="7" max="7" width="18.63"/>
    <col customWidth="1" min="8" max="9" width="9.0"/>
    <col customWidth="1" min="10" max="11" width="12.63"/>
    <col customWidth="1" min="12" max="12" width="14.38"/>
    <col customWidth="1" min="13" max="13" width="14.75"/>
    <col customWidth="1" min="14" max="15" width="12.63"/>
    <col customWidth="1" min="16" max="19" width="21.63"/>
    <col customWidth="1" min="20" max="20" width="2.25"/>
  </cols>
  <sheetData>
    <row r="1" ht="19.5" customHeight="1">
      <c r="A1" s="55"/>
      <c r="B1" s="199"/>
      <c r="C1" s="57"/>
      <c r="D1" s="139"/>
      <c r="E1" s="115"/>
      <c r="F1" s="115"/>
      <c r="G1" s="57"/>
      <c r="H1" s="57"/>
      <c r="I1" s="57"/>
      <c r="J1" s="57"/>
      <c r="K1" s="57"/>
      <c r="L1" s="57"/>
      <c r="M1" s="115"/>
      <c r="N1" s="1"/>
      <c r="O1" s="1"/>
      <c r="P1" s="1"/>
      <c r="Q1" s="116"/>
      <c r="R1" s="1"/>
      <c r="S1" s="1"/>
      <c r="T1" s="1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62"/>
      <c r="O2" s="63"/>
      <c r="P2" s="63"/>
      <c r="Q2" s="64"/>
      <c r="R2" s="63"/>
      <c r="S2" s="63"/>
      <c r="T2" s="1"/>
    </row>
    <row r="3" ht="30.75" customHeight="1">
      <c r="A3" s="117" t="s">
        <v>721</v>
      </c>
      <c r="B3" s="60"/>
      <c r="C3" s="60"/>
      <c r="D3" s="60"/>
      <c r="E3" s="60"/>
      <c r="F3" s="60"/>
      <c r="G3" s="67" t="s">
        <v>722</v>
      </c>
      <c r="H3" s="60"/>
      <c r="I3" s="60"/>
      <c r="J3" s="60"/>
      <c r="K3" s="67"/>
      <c r="L3" s="67"/>
      <c r="M3" s="68"/>
      <c r="N3" s="69"/>
      <c r="O3" s="70"/>
      <c r="P3" s="70"/>
      <c r="Q3" s="71"/>
      <c r="R3" s="70"/>
      <c r="S3" s="63"/>
      <c r="T3" s="1"/>
    </row>
    <row r="4" ht="27.0" customHeight="1">
      <c r="A4" s="72" t="s">
        <v>0</v>
      </c>
      <c r="B4" s="200" t="s">
        <v>7</v>
      </c>
      <c r="C4" s="72" t="s">
        <v>8</v>
      </c>
      <c r="D4" s="73" t="s">
        <v>9</v>
      </c>
      <c r="E4" s="72" t="s">
        <v>10</v>
      </c>
      <c r="F4" s="73" t="s">
        <v>11</v>
      </c>
      <c r="G4" s="73" t="s">
        <v>12</v>
      </c>
      <c r="H4" s="201">
        <v>46046.0</v>
      </c>
      <c r="I4" s="74"/>
      <c r="J4" s="74" t="s">
        <v>15</v>
      </c>
      <c r="K4" s="74" t="s">
        <v>16</v>
      </c>
      <c r="L4" s="74" t="s">
        <v>17</v>
      </c>
      <c r="M4" s="74" t="s">
        <v>18</v>
      </c>
      <c r="N4" s="75" t="s">
        <v>19</v>
      </c>
      <c r="O4" s="75" t="s">
        <v>20</v>
      </c>
      <c r="P4" s="75" t="s">
        <v>21</v>
      </c>
      <c r="Q4" s="76" t="s">
        <v>22</v>
      </c>
      <c r="R4" s="72" t="s">
        <v>74</v>
      </c>
      <c r="S4" s="62"/>
      <c r="T4" s="2"/>
    </row>
    <row r="5" ht="21.75" customHeight="1">
      <c r="A5" s="77">
        <v>1.0</v>
      </c>
      <c r="B5" s="86">
        <v>46026.0</v>
      </c>
      <c r="C5" s="79">
        <v>6855160.0</v>
      </c>
      <c r="D5" s="202" t="s">
        <v>723</v>
      </c>
      <c r="E5" s="79" t="s">
        <v>724</v>
      </c>
      <c r="F5" s="79" t="s">
        <v>121</v>
      </c>
      <c r="G5" s="161" t="s">
        <v>725</v>
      </c>
      <c r="H5" s="81" t="s">
        <v>79</v>
      </c>
      <c r="I5" s="79"/>
      <c r="J5" s="79">
        <v>100.0</v>
      </c>
      <c r="K5" s="79">
        <v>80.0</v>
      </c>
      <c r="L5" s="79" t="s">
        <v>93</v>
      </c>
      <c r="M5" s="79" t="s">
        <v>81</v>
      </c>
      <c r="N5" s="82">
        <v>100.0</v>
      </c>
      <c r="O5" s="82">
        <v>0.0</v>
      </c>
      <c r="P5" s="82" t="s">
        <v>45</v>
      </c>
      <c r="Q5" s="83">
        <f t="shared" ref="Q5:Q72" si="1">N5+O5</f>
        <v>100</v>
      </c>
      <c r="R5" s="84"/>
      <c r="S5" s="62"/>
      <c r="T5" s="1"/>
    </row>
    <row r="6" ht="21.75" customHeight="1">
      <c r="A6" s="85">
        <f t="shared" ref="A6:A72" si="2">A5+1</f>
        <v>2</v>
      </c>
      <c r="B6" s="86">
        <v>46026.0</v>
      </c>
      <c r="C6" s="79">
        <v>2.5430091E7</v>
      </c>
      <c r="D6" s="152" t="s">
        <v>726</v>
      </c>
      <c r="E6" s="79" t="s">
        <v>727</v>
      </c>
      <c r="F6" s="203" t="s">
        <v>226</v>
      </c>
      <c r="G6" s="79"/>
      <c r="H6" s="81" t="s">
        <v>79</v>
      </c>
      <c r="I6" s="79"/>
      <c r="J6" s="79">
        <v>100.0</v>
      </c>
      <c r="K6" s="79">
        <v>90.0</v>
      </c>
      <c r="L6" s="79" t="s">
        <v>93</v>
      </c>
      <c r="M6" s="79" t="s">
        <v>81</v>
      </c>
      <c r="N6" s="82">
        <v>100.0</v>
      </c>
      <c r="O6" s="82">
        <v>90.0</v>
      </c>
      <c r="P6" s="82" t="s">
        <v>45</v>
      </c>
      <c r="Q6" s="83">
        <f t="shared" si="1"/>
        <v>190</v>
      </c>
      <c r="R6" s="121"/>
      <c r="S6" s="62"/>
      <c r="T6" s="122"/>
    </row>
    <row r="7" ht="21.75" customHeight="1">
      <c r="A7" s="85">
        <f t="shared" si="2"/>
        <v>3</v>
      </c>
      <c r="B7" s="88">
        <v>46041.0</v>
      </c>
      <c r="C7" s="79"/>
      <c r="D7" s="80" t="s">
        <v>728</v>
      </c>
      <c r="E7" s="203"/>
      <c r="F7" s="203"/>
      <c r="G7" s="79"/>
      <c r="H7" s="81" t="s">
        <v>104</v>
      </c>
      <c r="I7" s="79"/>
      <c r="J7" s="79">
        <v>160.0</v>
      </c>
      <c r="K7" s="79"/>
      <c r="L7" s="79" t="s">
        <v>80</v>
      </c>
      <c r="M7" s="79" t="s">
        <v>81</v>
      </c>
      <c r="N7" s="82">
        <v>160.0</v>
      </c>
      <c r="O7" s="82"/>
      <c r="P7" s="82" t="s">
        <v>47</v>
      </c>
      <c r="Q7" s="83">
        <f t="shared" si="1"/>
        <v>160</v>
      </c>
      <c r="R7" s="121"/>
      <c r="S7" s="62"/>
      <c r="T7" s="122"/>
    </row>
    <row r="8" ht="21.75" customHeight="1">
      <c r="A8" s="85">
        <f t="shared" si="2"/>
        <v>4</v>
      </c>
      <c r="B8" s="88">
        <v>46042.0</v>
      </c>
      <c r="C8" s="79">
        <v>1.5983731E7</v>
      </c>
      <c r="D8" s="80" t="s">
        <v>729</v>
      </c>
      <c r="E8" s="203"/>
      <c r="F8" s="203" t="s">
        <v>730</v>
      </c>
      <c r="G8" s="79"/>
      <c r="H8" s="81" t="s">
        <v>104</v>
      </c>
      <c r="I8" s="79"/>
      <c r="J8" s="79">
        <v>190.0</v>
      </c>
      <c r="K8" s="79"/>
      <c r="L8" s="79" t="s">
        <v>80</v>
      </c>
      <c r="M8" s="79" t="s">
        <v>143</v>
      </c>
      <c r="N8" s="82">
        <v>180.99</v>
      </c>
      <c r="O8" s="82"/>
      <c r="P8" s="82" t="s">
        <v>47</v>
      </c>
      <c r="Q8" s="83">
        <f t="shared" si="1"/>
        <v>180.99</v>
      </c>
      <c r="R8" s="121"/>
      <c r="S8" s="62"/>
      <c r="T8" s="122"/>
    </row>
    <row r="9" ht="21.75" customHeight="1">
      <c r="A9" s="85">
        <f t="shared" si="2"/>
        <v>5</v>
      </c>
      <c r="B9" s="88">
        <v>46043.0</v>
      </c>
      <c r="C9" s="79">
        <v>4.6343807E7</v>
      </c>
      <c r="D9" s="80" t="s">
        <v>731</v>
      </c>
      <c r="E9" s="203"/>
      <c r="F9" s="203" t="s">
        <v>732</v>
      </c>
      <c r="G9" s="79"/>
      <c r="H9" s="81" t="s">
        <v>104</v>
      </c>
      <c r="I9" s="79"/>
      <c r="J9" s="79">
        <v>75.0</v>
      </c>
      <c r="K9" s="79">
        <v>75.0</v>
      </c>
      <c r="L9" s="79" t="s">
        <v>93</v>
      </c>
      <c r="M9" s="79" t="s">
        <v>81</v>
      </c>
      <c r="N9" s="82">
        <v>75.0</v>
      </c>
      <c r="O9" s="82">
        <v>75.0</v>
      </c>
      <c r="P9" s="82" t="s">
        <v>47</v>
      </c>
      <c r="Q9" s="83">
        <f t="shared" si="1"/>
        <v>150</v>
      </c>
      <c r="R9" s="121"/>
      <c r="S9" s="62"/>
      <c r="T9" s="122"/>
    </row>
    <row r="10" ht="21.75" customHeight="1">
      <c r="A10" s="85">
        <f t="shared" si="2"/>
        <v>6</v>
      </c>
      <c r="B10" s="88">
        <v>46043.0</v>
      </c>
      <c r="C10" s="79">
        <v>4.3705747E7</v>
      </c>
      <c r="D10" s="80" t="s">
        <v>733</v>
      </c>
      <c r="E10" s="203"/>
      <c r="F10" s="203" t="s">
        <v>732</v>
      </c>
      <c r="G10" s="79"/>
      <c r="H10" s="81" t="s">
        <v>104</v>
      </c>
      <c r="I10" s="79"/>
      <c r="J10" s="79">
        <v>75.0</v>
      </c>
      <c r="K10" s="79">
        <v>75.0</v>
      </c>
      <c r="L10" s="79" t="s">
        <v>93</v>
      </c>
      <c r="M10" s="79" t="s">
        <v>81</v>
      </c>
      <c r="N10" s="82">
        <v>75.0</v>
      </c>
      <c r="O10" s="82">
        <v>75.0</v>
      </c>
      <c r="P10" s="82" t="s">
        <v>47</v>
      </c>
      <c r="Q10" s="83">
        <f t="shared" si="1"/>
        <v>150</v>
      </c>
      <c r="R10" s="121"/>
      <c r="S10" s="62"/>
      <c r="T10" s="122"/>
    </row>
    <row r="11" ht="21.75" customHeight="1">
      <c r="A11" s="85">
        <f t="shared" si="2"/>
        <v>7</v>
      </c>
      <c r="B11" s="88">
        <v>46044.0</v>
      </c>
      <c r="C11" s="79">
        <v>4.6178506E7</v>
      </c>
      <c r="D11" s="80" t="s">
        <v>734</v>
      </c>
      <c r="E11" s="203" t="s">
        <v>735</v>
      </c>
      <c r="F11" s="203"/>
      <c r="G11" s="79"/>
      <c r="H11" s="81" t="s">
        <v>104</v>
      </c>
      <c r="I11" s="79"/>
      <c r="J11" s="79">
        <v>150.0</v>
      </c>
      <c r="K11" s="79"/>
      <c r="L11" s="79" t="s">
        <v>80</v>
      </c>
      <c r="M11" s="79" t="s">
        <v>81</v>
      </c>
      <c r="N11" s="82">
        <v>150.0</v>
      </c>
      <c r="O11" s="82"/>
      <c r="P11" s="82" t="s">
        <v>47</v>
      </c>
      <c r="Q11" s="83">
        <f t="shared" si="1"/>
        <v>150</v>
      </c>
      <c r="R11" s="121"/>
      <c r="S11" s="62"/>
      <c r="T11" s="122"/>
    </row>
    <row r="12" ht="21.75" customHeight="1">
      <c r="A12" s="85">
        <f t="shared" si="2"/>
        <v>8</v>
      </c>
      <c r="B12" s="88">
        <v>46044.0</v>
      </c>
      <c r="C12" s="130">
        <v>1.0709192308E10</v>
      </c>
      <c r="D12" s="80" t="s">
        <v>736</v>
      </c>
      <c r="E12" s="79" t="s">
        <v>737</v>
      </c>
      <c r="F12" s="203" t="s">
        <v>738</v>
      </c>
      <c r="G12" s="79"/>
      <c r="H12" s="204" t="s">
        <v>104</v>
      </c>
      <c r="I12" s="79"/>
      <c r="J12" s="79">
        <v>190.0</v>
      </c>
      <c r="K12" s="79"/>
      <c r="L12" s="79" t="s">
        <v>80</v>
      </c>
      <c r="M12" s="79" t="s">
        <v>81</v>
      </c>
      <c r="N12" s="82">
        <v>190.0</v>
      </c>
      <c r="O12" s="82"/>
      <c r="P12" s="82" t="s">
        <v>47</v>
      </c>
      <c r="Q12" s="83">
        <f t="shared" si="1"/>
        <v>190</v>
      </c>
      <c r="R12" s="121"/>
      <c r="S12" s="62"/>
      <c r="T12" s="122"/>
    </row>
    <row r="13" ht="21.75" customHeight="1">
      <c r="A13" s="85">
        <f t="shared" si="2"/>
        <v>9</v>
      </c>
      <c r="B13" s="132">
        <v>46044.0</v>
      </c>
      <c r="C13" s="79">
        <v>4.8015781E7</v>
      </c>
      <c r="D13" s="80" t="s">
        <v>739</v>
      </c>
      <c r="E13" s="203" t="s">
        <v>740</v>
      </c>
      <c r="F13" s="203" t="s">
        <v>96</v>
      </c>
      <c r="G13" s="79" t="s">
        <v>741</v>
      </c>
      <c r="H13" s="204" t="s">
        <v>104</v>
      </c>
      <c r="I13" s="79"/>
      <c r="J13" s="79">
        <v>190.0</v>
      </c>
      <c r="K13" s="79"/>
      <c r="L13" s="79" t="s">
        <v>80</v>
      </c>
      <c r="M13" s="79" t="s">
        <v>164</v>
      </c>
      <c r="N13" s="82">
        <v>190.0</v>
      </c>
      <c r="O13" s="82"/>
      <c r="P13" s="82" t="s">
        <v>44</v>
      </c>
      <c r="Q13" s="83">
        <f t="shared" si="1"/>
        <v>190</v>
      </c>
      <c r="R13" s="121"/>
      <c r="S13" s="62"/>
      <c r="T13" s="122"/>
    </row>
    <row r="14" ht="21.75" customHeight="1">
      <c r="A14" s="85">
        <f t="shared" si="2"/>
        <v>10</v>
      </c>
      <c r="B14" s="86">
        <v>46045.0</v>
      </c>
      <c r="C14" s="160" t="s">
        <v>742</v>
      </c>
      <c r="D14" s="80" t="s">
        <v>743</v>
      </c>
      <c r="E14" s="203" t="s">
        <v>744</v>
      </c>
      <c r="F14" s="203" t="s">
        <v>455</v>
      </c>
      <c r="G14" s="79" t="s">
        <v>745</v>
      </c>
      <c r="H14" s="204" t="s">
        <v>79</v>
      </c>
      <c r="I14" s="79"/>
      <c r="J14" s="79">
        <v>150.0</v>
      </c>
      <c r="K14" s="79"/>
      <c r="L14" s="79" t="s">
        <v>80</v>
      </c>
      <c r="M14" s="79" t="s">
        <v>81</v>
      </c>
      <c r="N14" s="82">
        <v>150.0</v>
      </c>
      <c r="O14" s="82"/>
      <c r="P14" s="82" t="s">
        <v>45</v>
      </c>
      <c r="Q14" s="83">
        <f t="shared" si="1"/>
        <v>150</v>
      </c>
      <c r="R14" s="121"/>
      <c r="S14" s="62"/>
      <c r="T14" s="122"/>
    </row>
    <row r="15" ht="21.75" customHeight="1">
      <c r="A15" s="85">
        <f t="shared" si="2"/>
        <v>11</v>
      </c>
      <c r="B15" s="86">
        <v>46045.0</v>
      </c>
      <c r="C15" s="79">
        <v>1.0475612E7</v>
      </c>
      <c r="D15" s="80" t="s">
        <v>746</v>
      </c>
      <c r="E15" s="205" t="s">
        <v>747</v>
      </c>
      <c r="F15" s="79" t="s">
        <v>455</v>
      </c>
      <c r="G15" s="79" t="s">
        <v>745</v>
      </c>
      <c r="H15" s="81" t="s">
        <v>79</v>
      </c>
      <c r="I15" s="79"/>
      <c r="J15" s="79">
        <v>150.0</v>
      </c>
      <c r="K15" s="79"/>
      <c r="L15" s="79" t="s">
        <v>80</v>
      </c>
      <c r="M15" s="79" t="s">
        <v>81</v>
      </c>
      <c r="N15" s="82">
        <v>150.0</v>
      </c>
      <c r="O15" s="82"/>
      <c r="P15" s="82" t="s">
        <v>45</v>
      </c>
      <c r="Q15" s="83">
        <f t="shared" si="1"/>
        <v>150</v>
      </c>
      <c r="R15" s="121"/>
      <c r="S15" s="62"/>
      <c r="T15" s="122"/>
    </row>
    <row r="16" ht="21.75" customHeight="1">
      <c r="A16" s="85">
        <f t="shared" si="2"/>
        <v>12</v>
      </c>
      <c r="B16" s="88">
        <v>46045.0</v>
      </c>
      <c r="C16" s="79"/>
      <c r="D16" s="80" t="s">
        <v>748</v>
      </c>
      <c r="E16" s="79"/>
      <c r="F16" s="79"/>
      <c r="G16" s="79"/>
      <c r="H16" s="81" t="s">
        <v>104</v>
      </c>
      <c r="I16" s="79"/>
      <c r="J16" s="79">
        <v>160.0</v>
      </c>
      <c r="K16" s="79"/>
      <c r="L16" s="79" t="s">
        <v>80</v>
      </c>
      <c r="M16" s="79" t="s">
        <v>98</v>
      </c>
      <c r="N16" s="82">
        <v>160.0</v>
      </c>
      <c r="O16" s="82"/>
      <c r="P16" s="82" t="s">
        <v>47</v>
      </c>
      <c r="Q16" s="83">
        <f t="shared" si="1"/>
        <v>160</v>
      </c>
      <c r="R16" s="121"/>
      <c r="S16" s="62"/>
      <c r="T16" s="122"/>
    </row>
    <row r="17" ht="21.75" customHeight="1">
      <c r="A17" s="85">
        <f t="shared" si="2"/>
        <v>13</v>
      </c>
      <c r="B17" s="86">
        <v>46046.0</v>
      </c>
      <c r="C17" s="160" t="s">
        <v>749</v>
      </c>
      <c r="D17" s="80" t="s">
        <v>750</v>
      </c>
      <c r="E17" s="79" t="s">
        <v>751</v>
      </c>
      <c r="F17" s="79"/>
      <c r="G17" s="79" t="s">
        <v>752</v>
      </c>
      <c r="H17" s="81" t="s">
        <v>79</v>
      </c>
      <c r="I17" s="79"/>
      <c r="J17" s="79">
        <v>190.0</v>
      </c>
      <c r="K17" s="79"/>
      <c r="L17" s="79" t="s">
        <v>80</v>
      </c>
      <c r="M17" s="79" t="s">
        <v>98</v>
      </c>
      <c r="N17" s="82">
        <v>190.0</v>
      </c>
      <c r="O17" s="82"/>
      <c r="P17" s="82" t="s">
        <v>45</v>
      </c>
      <c r="Q17" s="83">
        <f t="shared" si="1"/>
        <v>190</v>
      </c>
      <c r="R17" s="121"/>
      <c r="S17" s="62"/>
      <c r="T17" s="122"/>
    </row>
    <row r="18" ht="21.75" customHeight="1">
      <c r="A18" s="85">
        <f t="shared" si="2"/>
        <v>14</v>
      </c>
      <c r="B18" s="87"/>
      <c r="C18" s="79"/>
      <c r="D18" s="80"/>
      <c r="E18" s="79"/>
      <c r="F18" s="79"/>
      <c r="G18" s="79"/>
      <c r="H18" s="81"/>
      <c r="I18" s="79"/>
      <c r="J18" s="79"/>
      <c r="K18" s="79"/>
      <c r="L18" s="79"/>
      <c r="M18" s="79"/>
      <c r="N18" s="82"/>
      <c r="O18" s="82"/>
      <c r="P18" s="82"/>
      <c r="Q18" s="83">
        <f t="shared" si="1"/>
        <v>0</v>
      </c>
      <c r="R18" s="121"/>
      <c r="S18" s="62"/>
      <c r="T18" s="122"/>
    </row>
    <row r="19" ht="21.75" customHeight="1">
      <c r="A19" s="85">
        <f t="shared" si="2"/>
        <v>15</v>
      </c>
      <c r="B19" s="87"/>
      <c r="C19" s="79"/>
      <c r="D19" s="80"/>
      <c r="E19" s="79"/>
      <c r="F19" s="79"/>
      <c r="G19" s="79"/>
      <c r="H19" s="81"/>
      <c r="I19" s="79"/>
      <c r="J19" s="79"/>
      <c r="K19" s="79"/>
      <c r="L19" s="79"/>
      <c r="M19" s="79"/>
      <c r="N19" s="82"/>
      <c r="O19" s="82"/>
      <c r="P19" s="82"/>
      <c r="Q19" s="83">
        <f t="shared" si="1"/>
        <v>0</v>
      </c>
      <c r="R19" s="121"/>
      <c r="S19" s="62"/>
      <c r="T19" s="122"/>
    </row>
    <row r="20" ht="21.75" customHeight="1">
      <c r="A20" s="85">
        <f t="shared" si="2"/>
        <v>16</v>
      </c>
      <c r="B20" s="87"/>
      <c r="C20" s="79"/>
      <c r="D20" s="80"/>
      <c r="E20" s="79"/>
      <c r="F20" s="79"/>
      <c r="G20" s="79"/>
      <c r="H20" s="81"/>
      <c r="I20" s="79"/>
      <c r="J20" s="79"/>
      <c r="K20" s="79"/>
      <c r="L20" s="79"/>
      <c r="M20" s="79"/>
      <c r="N20" s="82"/>
      <c r="O20" s="82"/>
      <c r="P20" s="82"/>
      <c r="Q20" s="83">
        <f t="shared" si="1"/>
        <v>0</v>
      </c>
      <c r="R20" s="121"/>
      <c r="S20" s="62"/>
      <c r="T20" s="122"/>
    </row>
    <row r="21" ht="21.75" customHeight="1">
      <c r="A21" s="85">
        <f t="shared" si="2"/>
        <v>17</v>
      </c>
      <c r="B21" s="87"/>
      <c r="C21" s="79"/>
      <c r="D21" s="80"/>
      <c r="E21" s="79"/>
      <c r="F21" s="79"/>
      <c r="G21" s="79"/>
      <c r="H21" s="81"/>
      <c r="I21" s="79"/>
      <c r="J21" s="79"/>
      <c r="K21" s="79"/>
      <c r="L21" s="79"/>
      <c r="M21" s="79"/>
      <c r="N21" s="82"/>
      <c r="O21" s="82"/>
      <c r="P21" s="82"/>
      <c r="Q21" s="83">
        <f t="shared" si="1"/>
        <v>0</v>
      </c>
      <c r="R21" s="121"/>
      <c r="S21" s="62"/>
      <c r="T21" s="122"/>
    </row>
    <row r="22" ht="21.75" customHeight="1">
      <c r="A22" s="85">
        <f t="shared" si="2"/>
        <v>18</v>
      </c>
      <c r="B22" s="87"/>
      <c r="C22" s="79"/>
      <c r="D22" s="80"/>
      <c r="E22" s="79"/>
      <c r="F22" s="79"/>
      <c r="G22" s="79"/>
      <c r="H22" s="81"/>
      <c r="I22" s="79"/>
      <c r="J22" s="79"/>
      <c r="K22" s="79"/>
      <c r="L22" s="79"/>
      <c r="M22" s="79"/>
      <c r="N22" s="82"/>
      <c r="O22" s="82"/>
      <c r="P22" s="82"/>
      <c r="Q22" s="83">
        <f t="shared" si="1"/>
        <v>0</v>
      </c>
      <c r="R22" s="121"/>
      <c r="S22" s="62"/>
      <c r="T22" s="122"/>
    </row>
    <row r="23" ht="21.75" customHeight="1">
      <c r="A23" s="85">
        <f t="shared" si="2"/>
        <v>19</v>
      </c>
      <c r="B23" s="87"/>
      <c r="C23" s="79"/>
      <c r="D23" s="80"/>
      <c r="E23" s="79"/>
      <c r="F23" s="79"/>
      <c r="G23" s="79"/>
      <c r="H23" s="81"/>
      <c r="I23" s="79"/>
      <c r="J23" s="79"/>
      <c r="K23" s="79"/>
      <c r="L23" s="79"/>
      <c r="M23" s="79"/>
      <c r="N23" s="82"/>
      <c r="O23" s="82"/>
      <c r="P23" s="82"/>
      <c r="Q23" s="83">
        <f t="shared" si="1"/>
        <v>0</v>
      </c>
      <c r="R23" s="121"/>
      <c r="S23" s="62"/>
      <c r="T23" s="122"/>
    </row>
    <row r="24" ht="21.75" customHeight="1">
      <c r="A24" s="85">
        <f t="shared" si="2"/>
        <v>20</v>
      </c>
      <c r="B24" s="87"/>
      <c r="C24" s="79"/>
      <c r="D24" s="80"/>
      <c r="E24" s="79"/>
      <c r="F24" s="79"/>
      <c r="G24" s="79"/>
      <c r="H24" s="81"/>
      <c r="I24" s="79"/>
      <c r="J24" s="79"/>
      <c r="K24" s="79"/>
      <c r="L24" s="79"/>
      <c r="M24" s="79"/>
      <c r="N24" s="82"/>
      <c r="O24" s="82"/>
      <c r="P24" s="82"/>
      <c r="Q24" s="83">
        <f t="shared" si="1"/>
        <v>0</v>
      </c>
      <c r="R24" s="121"/>
      <c r="S24" s="62"/>
      <c r="T24" s="122"/>
    </row>
    <row r="25" ht="21.75" customHeight="1">
      <c r="A25" s="85">
        <f t="shared" si="2"/>
        <v>21</v>
      </c>
      <c r="B25" s="87"/>
      <c r="C25" s="79"/>
      <c r="D25" s="80"/>
      <c r="E25" s="79"/>
      <c r="F25" s="79"/>
      <c r="G25" s="79"/>
      <c r="H25" s="81"/>
      <c r="I25" s="79"/>
      <c r="J25" s="79"/>
      <c r="K25" s="79"/>
      <c r="L25" s="79"/>
      <c r="M25" s="79"/>
      <c r="N25" s="82"/>
      <c r="O25" s="82"/>
      <c r="P25" s="82"/>
      <c r="Q25" s="83">
        <f t="shared" si="1"/>
        <v>0</v>
      </c>
      <c r="R25" s="121"/>
      <c r="S25" s="62"/>
      <c r="T25" s="122"/>
    </row>
    <row r="26" ht="21.75" customHeight="1">
      <c r="A26" s="85">
        <f t="shared" si="2"/>
        <v>22</v>
      </c>
      <c r="B26" s="87"/>
      <c r="C26" s="79"/>
      <c r="D26" s="80"/>
      <c r="E26" s="79"/>
      <c r="F26" s="79"/>
      <c r="G26" s="79"/>
      <c r="H26" s="81"/>
      <c r="I26" s="79"/>
      <c r="J26" s="79"/>
      <c r="K26" s="79"/>
      <c r="L26" s="79"/>
      <c r="M26" s="79"/>
      <c r="N26" s="82"/>
      <c r="O26" s="82"/>
      <c r="P26" s="82"/>
      <c r="Q26" s="83">
        <f t="shared" si="1"/>
        <v>0</v>
      </c>
      <c r="R26" s="121"/>
      <c r="S26" s="62"/>
      <c r="T26" s="122"/>
    </row>
    <row r="27" ht="21.75" customHeight="1">
      <c r="A27" s="85">
        <f t="shared" si="2"/>
        <v>23</v>
      </c>
      <c r="B27" s="87"/>
      <c r="C27" s="79"/>
      <c r="D27" s="80"/>
      <c r="E27" s="79"/>
      <c r="F27" s="79"/>
      <c r="G27" s="79"/>
      <c r="H27" s="81"/>
      <c r="I27" s="79"/>
      <c r="J27" s="79"/>
      <c r="K27" s="79"/>
      <c r="L27" s="79"/>
      <c r="M27" s="79"/>
      <c r="N27" s="82"/>
      <c r="O27" s="82"/>
      <c r="P27" s="82"/>
      <c r="Q27" s="83">
        <f t="shared" si="1"/>
        <v>0</v>
      </c>
      <c r="R27" s="121"/>
      <c r="S27" s="62"/>
      <c r="T27" s="122"/>
    </row>
    <row r="28" ht="21.75" customHeight="1">
      <c r="A28" s="85">
        <f t="shared" si="2"/>
        <v>24</v>
      </c>
      <c r="B28" s="87"/>
      <c r="C28" s="79"/>
      <c r="D28" s="80"/>
      <c r="E28" s="79"/>
      <c r="F28" s="79"/>
      <c r="G28" s="79"/>
      <c r="H28" s="81"/>
      <c r="I28" s="79"/>
      <c r="J28" s="79"/>
      <c r="K28" s="79"/>
      <c r="L28" s="79"/>
      <c r="M28" s="79"/>
      <c r="N28" s="82"/>
      <c r="O28" s="82"/>
      <c r="P28" s="82"/>
      <c r="Q28" s="83">
        <f t="shared" si="1"/>
        <v>0</v>
      </c>
      <c r="R28" s="121"/>
      <c r="S28" s="62"/>
      <c r="T28" s="122"/>
    </row>
    <row r="29" ht="21.75" customHeight="1">
      <c r="A29" s="85">
        <f t="shared" si="2"/>
        <v>25</v>
      </c>
      <c r="B29" s="87"/>
      <c r="C29" s="79"/>
      <c r="D29" s="80"/>
      <c r="E29" s="79"/>
      <c r="F29" s="79"/>
      <c r="G29" s="79"/>
      <c r="H29" s="81"/>
      <c r="I29" s="79"/>
      <c r="J29" s="79"/>
      <c r="K29" s="79"/>
      <c r="L29" s="79"/>
      <c r="M29" s="79"/>
      <c r="N29" s="82"/>
      <c r="O29" s="82"/>
      <c r="P29" s="82"/>
      <c r="Q29" s="83">
        <f t="shared" si="1"/>
        <v>0</v>
      </c>
      <c r="R29" s="121"/>
      <c r="S29" s="62"/>
      <c r="T29" s="122"/>
    </row>
    <row r="30" ht="21.75" customHeight="1">
      <c r="A30" s="85">
        <f t="shared" si="2"/>
        <v>26</v>
      </c>
      <c r="B30" s="87"/>
      <c r="C30" s="79"/>
      <c r="D30" s="80"/>
      <c r="E30" s="79"/>
      <c r="F30" s="79"/>
      <c r="G30" s="79"/>
      <c r="H30" s="81"/>
      <c r="I30" s="79"/>
      <c r="J30" s="79"/>
      <c r="K30" s="79"/>
      <c r="L30" s="79"/>
      <c r="M30" s="79"/>
      <c r="N30" s="82"/>
      <c r="O30" s="82"/>
      <c r="P30" s="82"/>
      <c r="Q30" s="83">
        <f t="shared" si="1"/>
        <v>0</v>
      </c>
      <c r="R30" s="121"/>
      <c r="S30" s="62"/>
      <c r="T30" s="122"/>
    </row>
    <row r="31" ht="21.75" customHeight="1">
      <c r="A31" s="85">
        <f t="shared" si="2"/>
        <v>27</v>
      </c>
      <c r="B31" s="87"/>
      <c r="C31" s="79"/>
      <c r="D31" s="80"/>
      <c r="E31" s="79"/>
      <c r="F31" s="79"/>
      <c r="G31" s="79"/>
      <c r="H31" s="81"/>
      <c r="I31" s="79"/>
      <c r="J31" s="79"/>
      <c r="K31" s="79"/>
      <c r="L31" s="79"/>
      <c r="M31" s="79"/>
      <c r="N31" s="82"/>
      <c r="O31" s="82"/>
      <c r="P31" s="82"/>
      <c r="Q31" s="83">
        <f t="shared" si="1"/>
        <v>0</v>
      </c>
      <c r="R31" s="121"/>
      <c r="S31" s="62"/>
      <c r="T31" s="122"/>
    </row>
    <row r="32" ht="21.75" customHeight="1">
      <c r="A32" s="85">
        <f t="shared" si="2"/>
        <v>28</v>
      </c>
      <c r="B32" s="87"/>
      <c r="C32" s="79"/>
      <c r="D32" s="80"/>
      <c r="E32" s="79"/>
      <c r="F32" s="79"/>
      <c r="G32" s="79"/>
      <c r="H32" s="81"/>
      <c r="I32" s="79"/>
      <c r="J32" s="79"/>
      <c r="K32" s="79"/>
      <c r="L32" s="79"/>
      <c r="M32" s="79"/>
      <c r="N32" s="82"/>
      <c r="O32" s="82"/>
      <c r="P32" s="82"/>
      <c r="Q32" s="83">
        <f t="shared" si="1"/>
        <v>0</v>
      </c>
      <c r="R32" s="121"/>
      <c r="S32" s="62"/>
      <c r="T32" s="122"/>
    </row>
    <row r="33" ht="21.75" customHeight="1">
      <c r="A33" s="85">
        <f t="shared" si="2"/>
        <v>29</v>
      </c>
      <c r="B33" s="87"/>
      <c r="C33" s="79"/>
      <c r="D33" s="80"/>
      <c r="E33" s="79"/>
      <c r="F33" s="79"/>
      <c r="G33" s="79"/>
      <c r="H33" s="81"/>
      <c r="I33" s="79"/>
      <c r="J33" s="79"/>
      <c r="K33" s="79"/>
      <c r="L33" s="79"/>
      <c r="M33" s="79"/>
      <c r="N33" s="82"/>
      <c r="O33" s="82"/>
      <c r="P33" s="82"/>
      <c r="Q33" s="83">
        <f t="shared" si="1"/>
        <v>0</v>
      </c>
      <c r="R33" s="121"/>
      <c r="S33" s="62"/>
      <c r="T33" s="122"/>
    </row>
    <row r="34" ht="21.75" customHeight="1">
      <c r="A34" s="85">
        <f t="shared" si="2"/>
        <v>30</v>
      </c>
      <c r="B34" s="87"/>
      <c r="C34" s="79"/>
      <c r="D34" s="80"/>
      <c r="E34" s="79"/>
      <c r="F34" s="79"/>
      <c r="G34" s="79"/>
      <c r="H34" s="81"/>
      <c r="I34" s="79"/>
      <c r="J34" s="79"/>
      <c r="K34" s="79"/>
      <c r="L34" s="79"/>
      <c r="M34" s="79"/>
      <c r="N34" s="82"/>
      <c r="O34" s="82"/>
      <c r="P34" s="82"/>
      <c r="Q34" s="83">
        <f t="shared" si="1"/>
        <v>0</v>
      </c>
      <c r="R34" s="121"/>
      <c r="S34" s="62"/>
      <c r="T34" s="122"/>
    </row>
    <row r="35" ht="21.75" customHeight="1">
      <c r="A35" s="85">
        <f t="shared" si="2"/>
        <v>31</v>
      </c>
      <c r="B35" s="87"/>
      <c r="C35" s="79"/>
      <c r="D35" s="80"/>
      <c r="E35" s="79"/>
      <c r="F35" s="79"/>
      <c r="G35" s="79"/>
      <c r="H35" s="81"/>
      <c r="I35" s="79"/>
      <c r="J35" s="79"/>
      <c r="K35" s="79"/>
      <c r="L35" s="79"/>
      <c r="M35" s="79"/>
      <c r="N35" s="82"/>
      <c r="O35" s="82"/>
      <c r="P35" s="82"/>
      <c r="Q35" s="83">
        <f t="shared" si="1"/>
        <v>0</v>
      </c>
      <c r="R35" s="121"/>
      <c r="S35" s="62"/>
      <c r="T35" s="122"/>
    </row>
    <row r="36" ht="21.75" customHeight="1">
      <c r="A36" s="85">
        <f t="shared" si="2"/>
        <v>32</v>
      </c>
      <c r="B36" s="87"/>
      <c r="C36" s="79"/>
      <c r="D36" s="80"/>
      <c r="E36" s="79"/>
      <c r="F36" s="79"/>
      <c r="G36" s="79"/>
      <c r="H36" s="81"/>
      <c r="I36" s="79"/>
      <c r="J36" s="79"/>
      <c r="K36" s="79"/>
      <c r="L36" s="79"/>
      <c r="M36" s="79"/>
      <c r="N36" s="82"/>
      <c r="O36" s="82"/>
      <c r="P36" s="82"/>
      <c r="Q36" s="83">
        <f t="shared" si="1"/>
        <v>0</v>
      </c>
      <c r="R36" s="121"/>
      <c r="S36" s="62"/>
      <c r="T36" s="122"/>
    </row>
    <row r="37" ht="21.75" customHeight="1">
      <c r="A37" s="85">
        <f t="shared" si="2"/>
        <v>33</v>
      </c>
      <c r="B37" s="87"/>
      <c r="C37" s="79"/>
      <c r="D37" s="80"/>
      <c r="E37" s="79"/>
      <c r="F37" s="79"/>
      <c r="G37" s="79"/>
      <c r="H37" s="81"/>
      <c r="I37" s="79"/>
      <c r="J37" s="79"/>
      <c r="K37" s="79"/>
      <c r="L37" s="79"/>
      <c r="M37" s="79"/>
      <c r="N37" s="82"/>
      <c r="O37" s="82"/>
      <c r="P37" s="82"/>
      <c r="Q37" s="83">
        <f t="shared" si="1"/>
        <v>0</v>
      </c>
      <c r="R37" s="121"/>
      <c r="S37" s="62"/>
      <c r="T37" s="122"/>
    </row>
    <row r="38" ht="21.75" customHeight="1">
      <c r="A38" s="85">
        <f t="shared" si="2"/>
        <v>34</v>
      </c>
      <c r="B38" s="87"/>
      <c r="C38" s="79"/>
      <c r="D38" s="80"/>
      <c r="E38" s="79"/>
      <c r="F38" s="79"/>
      <c r="G38" s="79"/>
      <c r="H38" s="81"/>
      <c r="I38" s="79"/>
      <c r="J38" s="79"/>
      <c r="K38" s="79"/>
      <c r="L38" s="79"/>
      <c r="M38" s="79"/>
      <c r="N38" s="82"/>
      <c r="O38" s="82"/>
      <c r="P38" s="82"/>
      <c r="Q38" s="83">
        <f t="shared" si="1"/>
        <v>0</v>
      </c>
      <c r="R38" s="121"/>
      <c r="S38" s="62"/>
      <c r="T38" s="122"/>
    </row>
    <row r="39" ht="21.75" customHeight="1">
      <c r="A39" s="85">
        <f t="shared" si="2"/>
        <v>35</v>
      </c>
      <c r="B39" s="87"/>
      <c r="C39" s="79"/>
      <c r="D39" s="80"/>
      <c r="E39" s="79"/>
      <c r="F39" s="79"/>
      <c r="G39" s="79"/>
      <c r="H39" s="81"/>
      <c r="I39" s="79"/>
      <c r="J39" s="79"/>
      <c r="K39" s="79"/>
      <c r="L39" s="79"/>
      <c r="M39" s="79"/>
      <c r="N39" s="82"/>
      <c r="O39" s="82"/>
      <c r="P39" s="82"/>
      <c r="Q39" s="83">
        <f t="shared" si="1"/>
        <v>0</v>
      </c>
      <c r="R39" s="121"/>
      <c r="S39" s="62"/>
      <c r="T39" s="122"/>
    </row>
    <row r="40" ht="21.75" customHeight="1">
      <c r="A40" s="85">
        <f t="shared" si="2"/>
        <v>36</v>
      </c>
      <c r="B40" s="87"/>
      <c r="C40" s="79"/>
      <c r="D40" s="80"/>
      <c r="E40" s="79"/>
      <c r="F40" s="79"/>
      <c r="G40" s="79"/>
      <c r="H40" s="81"/>
      <c r="I40" s="79"/>
      <c r="J40" s="79"/>
      <c r="K40" s="79"/>
      <c r="L40" s="79"/>
      <c r="M40" s="79"/>
      <c r="N40" s="82"/>
      <c r="O40" s="82"/>
      <c r="P40" s="82"/>
      <c r="Q40" s="83">
        <f t="shared" si="1"/>
        <v>0</v>
      </c>
      <c r="R40" s="121"/>
      <c r="S40" s="62"/>
      <c r="T40" s="122"/>
    </row>
    <row r="41" ht="21.75" customHeight="1">
      <c r="A41" s="85">
        <f t="shared" si="2"/>
        <v>37</v>
      </c>
      <c r="B41" s="87"/>
      <c r="C41" s="79"/>
      <c r="D41" s="80"/>
      <c r="E41" s="79"/>
      <c r="F41" s="79"/>
      <c r="G41" s="79"/>
      <c r="H41" s="81"/>
      <c r="I41" s="79"/>
      <c r="J41" s="79"/>
      <c r="K41" s="79"/>
      <c r="L41" s="79"/>
      <c r="M41" s="79"/>
      <c r="N41" s="82"/>
      <c r="O41" s="82"/>
      <c r="P41" s="82"/>
      <c r="Q41" s="83">
        <f t="shared" si="1"/>
        <v>0</v>
      </c>
      <c r="R41" s="121"/>
      <c r="S41" s="62"/>
      <c r="T41" s="122"/>
    </row>
    <row r="42" ht="21.75" customHeight="1">
      <c r="A42" s="85">
        <f t="shared" si="2"/>
        <v>38</v>
      </c>
      <c r="B42" s="87"/>
      <c r="C42" s="79"/>
      <c r="D42" s="80"/>
      <c r="E42" s="79"/>
      <c r="F42" s="79"/>
      <c r="G42" s="79"/>
      <c r="H42" s="81"/>
      <c r="I42" s="79"/>
      <c r="J42" s="79"/>
      <c r="K42" s="79"/>
      <c r="L42" s="79"/>
      <c r="M42" s="79"/>
      <c r="N42" s="82"/>
      <c r="O42" s="82"/>
      <c r="P42" s="82"/>
      <c r="Q42" s="83">
        <f t="shared" si="1"/>
        <v>0</v>
      </c>
      <c r="R42" s="121"/>
      <c r="S42" s="62"/>
      <c r="T42" s="122"/>
    </row>
    <row r="43" ht="21.75" customHeight="1">
      <c r="A43" s="85">
        <f t="shared" si="2"/>
        <v>39</v>
      </c>
      <c r="B43" s="87"/>
      <c r="C43" s="79"/>
      <c r="D43" s="80"/>
      <c r="E43" s="79"/>
      <c r="F43" s="79"/>
      <c r="G43" s="79"/>
      <c r="H43" s="81"/>
      <c r="I43" s="79"/>
      <c r="J43" s="79"/>
      <c r="K43" s="79"/>
      <c r="L43" s="79"/>
      <c r="M43" s="79"/>
      <c r="N43" s="82"/>
      <c r="O43" s="82"/>
      <c r="P43" s="82"/>
      <c r="Q43" s="83">
        <f t="shared" si="1"/>
        <v>0</v>
      </c>
      <c r="R43" s="121"/>
      <c r="S43" s="62"/>
      <c r="T43" s="122"/>
    </row>
    <row r="44" ht="21.75" customHeight="1">
      <c r="A44" s="85">
        <f t="shared" si="2"/>
        <v>40</v>
      </c>
      <c r="B44" s="87"/>
      <c r="C44" s="79"/>
      <c r="D44" s="80"/>
      <c r="E44" s="79"/>
      <c r="F44" s="79"/>
      <c r="G44" s="79"/>
      <c r="H44" s="81"/>
      <c r="I44" s="79"/>
      <c r="J44" s="79"/>
      <c r="K44" s="79"/>
      <c r="L44" s="79"/>
      <c r="M44" s="79"/>
      <c r="N44" s="82"/>
      <c r="O44" s="82"/>
      <c r="P44" s="82"/>
      <c r="Q44" s="83">
        <f t="shared" si="1"/>
        <v>0</v>
      </c>
      <c r="R44" s="121"/>
      <c r="S44" s="62"/>
      <c r="T44" s="122"/>
    </row>
    <row r="45" ht="21.75" customHeight="1">
      <c r="A45" s="85">
        <f t="shared" si="2"/>
        <v>41</v>
      </c>
      <c r="B45" s="87"/>
      <c r="C45" s="79"/>
      <c r="D45" s="80"/>
      <c r="E45" s="79"/>
      <c r="F45" s="79"/>
      <c r="G45" s="79"/>
      <c r="H45" s="81"/>
      <c r="I45" s="79"/>
      <c r="J45" s="79"/>
      <c r="K45" s="79"/>
      <c r="L45" s="79"/>
      <c r="M45" s="79"/>
      <c r="N45" s="82"/>
      <c r="O45" s="82"/>
      <c r="P45" s="82"/>
      <c r="Q45" s="83">
        <f t="shared" si="1"/>
        <v>0</v>
      </c>
      <c r="R45" s="121"/>
      <c r="S45" s="62"/>
      <c r="T45" s="122"/>
    </row>
    <row r="46" ht="21.75" customHeight="1">
      <c r="A46" s="85">
        <f t="shared" si="2"/>
        <v>42</v>
      </c>
      <c r="B46" s="87"/>
      <c r="C46" s="79"/>
      <c r="D46" s="80"/>
      <c r="E46" s="79"/>
      <c r="F46" s="79"/>
      <c r="G46" s="79"/>
      <c r="H46" s="81"/>
      <c r="I46" s="79"/>
      <c r="J46" s="79"/>
      <c r="K46" s="79"/>
      <c r="L46" s="79"/>
      <c r="M46" s="79"/>
      <c r="N46" s="82"/>
      <c r="O46" s="82"/>
      <c r="P46" s="82"/>
      <c r="Q46" s="83">
        <f t="shared" si="1"/>
        <v>0</v>
      </c>
      <c r="R46" s="121"/>
      <c r="S46" s="62"/>
      <c r="T46" s="122"/>
    </row>
    <row r="47" ht="21.75" customHeight="1">
      <c r="A47" s="85">
        <f t="shared" si="2"/>
        <v>43</v>
      </c>
      <c r="B47" s="87"/>
      <c r="C47" s="79"/>
      <c r="D47" s="80"/>
      <c r="E47" s="79"/>
      <c r="F47" s="79"/>
      <c r="G47" s="79"/>
      <c r="H47" s="81"/>
      <c r="I47" s="79"/>
      <c r="J47" s="79"/>
      <c r="K47" s="79"/>
      <c r="L47" s="79"/>
      <c r="M47" s="79"/>
      <c r="N47" s="82"/>
      <c r="O47" s="82"/>
      <c r="P47" s="82"/>
      <c r="Q47" s="83">
        <f t="shared" si="1"/>
        <v>0</v>
      </c>
      <c r="R47" s="121"/>
      <c r="S47" s="62"/>
      <c r="T47" s="122"/>
    </row>
    <row r="48" ht="21.75" customHeight="1">
      <c r="A48" s="85">
        <f t="shared" si="2"/>
        <v>44</v>
      </c>
      <c r="B48" s="87"/>
      <c r="C48" s="79"/>
      <c r="D48" s="80"/>
      <c r="E48" s="79"/>
      <c r="F48" s="79"/>
      <c r="G48" s="79"/>
      <c r="H48" s="81"/>
      <c r="I48" s="79"/>
      <c r="J48" s="79"/>
      <c r="K48" s="79"/>
      <c r="L48" s="79"/>
      <c r="M48" s="79"/>
      <c r="N48" s="82"/>
      <c r="O48" s="82"/>
      <c r="P48" s="82"/>
      <c r="Q48" s="83">
        <f t="shared" si="1"/>
        <v>0</v>
      </c>
      <c r="R48" s="121"/>
      <c r="S48" s="62"/>
      <c r="T48" s="122"/>
    </row>
    <row r="49" ht="21.75" customHeight="1">
      <c r="A49" s="85">
        <f t="shared" si="2"/>
        <v>45</v>
      </c>
      <c r="B49" s="87"/>
      <c r="C49" s="79"/>
      <c r="D49" s="80"/>
      <c r="E49" s="79"/>
      <c r="F49" s="79"/>
      <c r="G49" s="79"/>
      <c r="H49" s="81"/>
      <c r="I49" s="79"/>
      <c r="J49" s="79"/>
      <c r="K49" s="79"/>
      <c r="L49" s="79"/>
      <c r="M49" s="79"/>
      <c r="N49" s="82"/>
      <c r="O49" s="82"/>
      <c r="P49" s="82"/>
      <c r="Q49" s="83">
        <f t="shared" si="1"/>
        <v>0</v>
      </c>
      <c r="R49" s="121"/>
      <c r="S49" s="62"/>
      <c r="T49" s="122"/>
    </row>
    <row r="50" ht="21.75" customHeight="1">
      <c r="A50" s="85">
        <f t="shared" si="2"/>
        <v>46</v>
      </c>
      <c r="B50" s="87"/>
      <c r="C50" s="79"/>
      <c r="D50" s="80"/>
      <c r="E50" s="79"/>
      <c r="F50" s="79"/>
      <c r="G50" s="79"/>
      <c r="H50" s="81"/>
      <c r="I50" s="79"/>
      <c r="J50" s="79"/>
      <c r="K50" s="79"/>
      <c r="L50" s="79"/>
      <c r="M50" s="79"/>
      <c r="N50" s="82"/>
      <c r="O50" s="82"/>
      <c r="P50" s="82"/>
      <c r="Q50" s="83">
        <f t="shared" si="1"/>
        <v>0</v>
      </c>
      <c r="R50" s="121"/>
      <c r="S50" s="62"/>
      <c r="T50" s="122"/>
    </row>
    <row r="51" ht="21.75" customHeight="1">
      <c r="A51" s="85">
        <f t="shared" si="2"/>
        <v>47</v>
      </c>
      <c r="B51" s="87"/>
      <c r="C51" s="79"/>
      <c r="D51" s="80"/>
      <c r="E51" s="79"/>
      <c r="F51" s="79"/>
      <c r="G51" s="79"/>
      <c r="H51" s="81"/>
      <c r="I51" s="79"/>
      <c r="J51" s="79"/>
      <c r="K51" s="79"/>
      <c r="L51" s="79"/>
      <c r="M51" s="79"/>
      <c r="N51" s="82"/>
      <c r="O51" s="82"/>
      <c r="P51" s="82"/>
      <c r="Q51" s="83">
        <f t="shared" si="1"/>
        <v>0</v>
      </c>
      <c r="R51" s="121"/>
      <c r="S51" s="62"/>
      <c r="T51" s="122"/>
    </row>
    <row r="52" ht="21.75" customHeight="1">
      <c r="A52" s="85">
        <f t="shared" si="2"/>
        <v>48</v>
      </c>
      <c r="B52" s="87"/>
      <c r="C52" s="79"/>
      <c r="D52" s="80"/>
      <c r="E52" s="79"/>
      <c r="F52" s="79"/>
      <c r="G52" s="79"/>
      <c r="H52" s="81"/>
      <c r="I52" s="79"/>
      <c r="J52" s="79"/>
      <c r="K52" s="79"/>
      <c r="L52" s="79"/>
      <c r="M52" s="79"/>
      <c r="N52" s="82"/>
      <c r="O52" s="82"/>
      <c r="P52" s="82"/>
      <c r="Q52" s="83">
        <f t="shared" si="1"/>
        <v>0</v>
      </c>
      <c r="R52" s="121"/>
      <c r="S52" s="62"/>
      <c r="T52" s="122"/>
    </row>
    <row r="53" ht="21.75" customHeight="1">
      <c r="A53" s="85">
        <f t="shared" si="2"/>
        <v>49</v>
      </c>
      <c r="B53" s="87"/>
      <c r="C53" s="79"/>
      <c r="D53" s="80"/>
      <c r="E53" s="79"/>
      <c r="F53" s="79"/>
      <c r="G53" s="79"/>
      <c r="H53" s="81"/>
      <c r="I53" s="79"/>
      <c r="J53" s="79"/>
      <c r="K53" s="79"/>
      <c r="L53" s="79"/>
      <c r="M53" s="79"/>
      <c r="N53" s="82"/>
      <c r="O53" s="82"/>
      <c r="P53" s="82"/>
      <c r="Q53" s="83">
        <f t="shared" si="1"/>
        <v>0</v>
      </c>
      <c r="R53" s="121"/>
      <c r="S53" s="62"/>
      <c r="T53" s="122"/>
    </row>
    <row r="54" ht="21.75" customHeight="1">
      <c r="A54" s="85">
        <f t="shared" si="2"/>
        <v>50</v>
      </c>
      <c r="B54" s="87"/>
      <c r="C54" s="79"/>
      <c r="D54" s="80"/>
      <c r="E54" s="79"/>
      <c r="F54" s="79"/>
      <c r="G54" s="79"/>
      <c r="H54" s="81"/>
      <c r="I54" s="79"/>
      <c r="J54" s="79"/>
      <c r="K54" s="79"/>
      <c r="L54" s="79"/>
      <c r="M54" s="79"/>
      <c r="N54" s="82"/>
      <c r="O54" s="82"/>
      <c r="P54" s="82"/>
      <c r="Q54" s="83">
        <f t="shared" si="1"/>
        <v>0</v>
      </c>
      <c r="R54" s="121"/>
      <c r="S54" s="62"/>
      <c r="T54" s="122"/>
    </row>
    <row r="55" ht="21.75" customHeight="1">
      <c r="A55" s="85">
        <f t="shared" si="2"/>
        <v>51</v>
      </c>
      <c r="B55" s="87"/>
      <c r="C55" s="79"/>
      <c r="D55" s="80"/>
      <c r="E55" s="79"/>
      <c r="F55" s="79"/>
      <c r="G55" s="79"/>
      <c r="H55" s="81"/>
      <c r="I55" s="79"/>
      <c r="J55" s="79"/>
      <c r="K55" s="79"/>
      <c r="L55" s="79"/>
      <c r="M55" s="79"/>
      <c r="N55" s="82"/>
      <c r="O55" s="82"/>
      <c r="P55" s="82"/>
      <c r="Q55" s="83">
        <f t="shared" si="1"/>
        <v>0</v>
      </c>
      <c r="R55" s="121"/>
      <c r="S55" s="62"/>
      <c r="T55" s="122"/>
    </row>
    <row r="56" ht="21.75" customHeight="1">
      <c r="A56" s="85">
        <f t="shared" si="2"/>
        <v>52</v>
      </c>
      <c r="B56" s="87"/>
      <c r="C56" s="79"/>
      <c r="D56" s="80"/>
      <c r="E56" s="79"/>
      <c r="F56" s="79"/>
      <c r="G56" s="79"/>
      <c r="H56" s="81"/>
      <c r="I56" s="79"/>
      <c r="J56" s="79"/>
      <c r="K56" s="79"/>
      <c r="L56" s="79"/>
      <c r="M56" s="79"/>
      <c r="N56" s="82"/>
      <c r="O56" s="82"/>
      <c r="P56" s="82"/>
      <c r="Q56" s="83">
        <f t="shared" si="1"/>
        <v>0</v>
      </c>
      <c r="R56" s="121"/>
      <c r="S56" s="62"/>
      <c r="T56" s="122"/>
    </row>
    <row r="57" ht="21.75" customHeight="1">
      <c r="A57" s="85">
        <f t="shared" si="2"/>
        <v>53</v>
      </c>
      <c r="B57" s="87"/>
      <c r="C57" s="79"/>
      <c r="D57" s="80"/>
      <c r="E57" s="79"/>
      <c r="F57" s="79"/>
      <c r="G57" s="79"/>
      <c r="H57" s="81"/>
      <c r="I57" s="79"/>
      <c r="J57" s="79"/>
      <c r="K57" s="79"/>
      <c r="L57" s="79"/>
      <c r="M57" s="79"/>
      <c r="N57" s="82"/>
      <c r="O57" s="82"/>
      <c r="P57" s="82"/>
      <c r="Q57" s="83">
        <f t="shared" si="1"/>
        <v>0</v>
      </c>
      <c r="R57" s="121"/>
      <c r="S57" s="62"/>
      <c r="T57" s="122"/>
    </row>
    <row r="58" ht="21.75" customHeight="1">
      <c r="A58" s="85">
        <f t="shared" si="2"/>
        <v>54</v>
      </c>
      <c r="B58" s="87"/>
      <c r="C58" s="79"/>
      <c r="D58" s="80"/>
      <c r="E58" s="79"/>
      <c r="F58" s="79"/>
      <c r="G58" s="79"/>
      <c r="H58" s="81"/>
      <c r="I58" s="79"/>
      <c r="J58" s="79"/>
      <c r="K58" s="79"/>
      <c r="L58" s="79"/>
      <c r="M58" s="79"/>
      <c r="N58" s="82"/>
      <c r="O58" s="82"/>
      <c r="P58" s="82"/>
      <c r="Q58" s="83">
        <f t="shared" si="1"/>
        <v>0</v>
      </c>
      <c r="R58" s="121"/>
      <c r="S58" s="62"/>
      <c r="T58" s="122"/>
    </row>
    <row r="59" ht="21.75" customHeight="1">
      <c r="A59" s="85">
        <f t="shared" si="2"/>
        <v>55</v>
      </c>
      <c r="B59" s="87"/>
      <c r="C59" s="79"/>
      <c r="D59" s="80"/>
      <c r="E59" s="79"/>
      <c r="F59" s="79"/>
      <c r="G59" s="79"/>
      <c r="H59" s="81"/>
      <c r="I59" s="79"/>
      <c r="J59" s="79"/>
      <c r="K59" s="79"/>
      <c r="L59" s="79"/>
      <c r="M59" s="79"/>
      <c r="N59" s="82"/>
      <c r="O59" s="82"/>
      <c r="P59" s="82"/>
      <c r="Q59" s="83">
        <f t="shared" si="1"/>
        <v>0</v>
      </c>
      <c r="R59" s="121"/>
      <c r="S59" s="62"/>
      <c r="T59" s="122"/>
    </row>
    <row r="60" ht="21.75" customHeight="1">
      <c r="A60" s="85">
        <f t="shared" si="2"/>
        <v>56</v>
      </c>
      <c r="B60" s="87"/>
      <c r="C60" s="79"/>
      <c r="D60" s="80"/>
      <c r="E60" s="79"/>
      <c r="F60" s="79"/>
      <c r="G60" s="79"/>
      <c r="H60" s="81"/>
      <c r="I60" s="79"/>
      <c r="J60" s="79"/>
      <c r="K60" s="79"/>
      <c r="L60" s="79"/>
      <c r="M60" s="79"/>
      <c r="N60" s="82"/>
      <c r="O60" s="82"/>
      <c r="P60" s="82"/>
      <c r="Q60" s="83">
        <f t="shared" si="1"/>
        <v>0</v>
      </c>
      <c r="R60" s="121"/>
      <c r="S60" s="62"/>
      <c r="T60" s="122"/>
    </row>
    <row r="61" ht="21.75" customHeight="1">
      <c r="A61" s="85">
        <f t="shared" si="2"/>
        <v>57</v>
      </c>
      <c r="B61" s="87"/>
      <c r="C61" s="79"/>
      <c r="D61" s="80"/>
      <c r="E61" s="79"/>
      <c r="F61" s="79"/>
      <c r="G61" s="79"/>
      <c r="H61" s="81"/>
      <c r="I61" s="79"/>
      <c r="J61" s="79"/>
      <c r="K61" s="79"/>
      <c r="L61" s="79"/>
      <c r="M61" s="79"/>
      <c r="N61" s="82"/>
      <c r="O61" s="82"/>
      <c r="P61" s="82"/>
      <c r="Q61" s="83">
        <f t="shared" si="1"/>
        <v>0</v>
      </c>
      <c r="R61" s="121"/>
      <c r="S61" s="62"/>
      <c r="T61" s="122"/>
    </row>
    <row r="62" ht="21.75" customHeight="1">
      <c r="A62" s="85">
        <f t="shared" si="2"/>
        <v>58</v>
      </c>
      <c r="B62" s="87"/>
      <c r="C62" s="79"/>
      <c r="D62" s="80"/>
      <c r="E62" s="79"/>
      <c r="F62" s="79"/>
      <c r="G62" s="79"/>
      <c r="H62" s="81"/>
      <c r="I62" s="79"/>
      <c r="J62" s="79"/>
      <c r="K62" s="79"/>
      <c r="L62" s="79"/>
      <c r="M62" s="79"/>
      <c r="N62" s="82"/>
      <c r="O62" s="82"/>
      <c r="P62" s="82"/>
      <c r="Q62" s="83">
        <f t="shared" si="1"/>
        <v>0</v>
      </c>
      <c r="R62" s="121"/>
      <c r="S62" s="62"/>
      <c r="T62" s="122"/>
    </row>
    <row r="63" ht="21.75" customHeight="1">
      <c r="A63" s="85">
        <f t="shared" si="2"/>
        <v>59</v>
      </c>
      <c r="B63" s="87"/>
      <c r="C63" s="79"/>
      <c r="D63" s="80"/>
      <c r="E63" s="79"/>
      <c r="F63" s="79"/>
      <c r="G63" s="79"/>
      <c r="H63" s="81"/>
      <c r="I63" s="79"/>
      <c r="J63" s="79"/>
      <c r="K63" s="79"/>
      <c r="L63" s="79"/>
      <c r="M63" s="79"/>
      <c r="N63" s="82"/>
      <c r="O63" s="82"/>
      <c r="P63" s="82"/>
      <c r="Q63" s="83">
        <f t="shared" si="1"/>
        <v>0</v>
      </c>
      <c r="R63" s="121"/>
      <c r="S63" s="62"/>
      <c r="T63" s="122"/>
    </row>
    <row r="64" ht="21.75" customHeight="1">
      <c r="A64" s="85">
        <f t="shared" si="2"/>
        <v>60</v>
      </c>
      <c r="B64" s="87"/>
      <c r="C64" s="79"/>
      <c r="D64" s="80"/>
      <c r="E64" s="79"/>
      <c r="F64" s="79"/>
      <c r="G64" s="79"/>
      <c r="H64" s="206"/>
      <c r="I64" s="79"/>
      <c r="J64" s="79"/>
      <c r="K64" s="79"/>
      <c r="L64" s="79"/>
      <c r="M64" s="79"/>
      <c r="N64" s="82"/>
      <c r="O64" s="82"/>
      <c r="P64" s="82"/>
      <c r="Q64" s="83">
        <f t="shared" si="1"/>
        <v>0</v>
      </c>
      <c r="R64" s="121"/>
      <c r="S64" s="62"/>
      <c r="T64" s="122"/>
    </row>
    <row r="65" ht="21.75" customHeight="1">
      <c r="A65" s="85">
        <f t="shared" si="2"/>
        <v>61</v>
      </c>
      <c r="B65" s="87"/>
      <c r="C65" s="79"/>
      <c r="D65" s="80"/>
      <c r="E65" s="79"/>
      <c r="F65" s="79"/>
      <c r="G65" s="79"/>
      <c r="H65" s="81"/>
      <c r="I65" s="79"/>
      <c r="J65" s="79"/>
      <c r="K65" s="79"/>
      <c r="L65" s="79"/>
      <c r="M65" s="79"/>
      <c r="N65" s="82"/>
      <c r="O65" s="82"/>
      <c r="P65" s="82"/>
      <c r="Q65" s="83">
        <f t="shared" si="1"/>
        <v>0</v>
      </c>
      <c r="R65" s="121"/>
      <c r="S65" s="62"/>
      <c r="T65" s="122"/>
    </row>
    <row r="66" ht="21.0" customHeight="1">
      <c r="A66" s="85">
        <f t="shared" si="2"/>
        <v>62</v>
      </c>
      <c r="B66" s="87"/>
      <c r="C66" s="79"/>
      <c r="D66" s="80"/>
      <c r="E66" s="79"/>
      <c r="F66" s="79"/>
      <c r="G66" s="79"/>
      <c r="H66" s="81"/>
      <c r="I66" s="79"/>
      <c r="J66" s="79"/>
      <c r="K66" s="79"/>
      <c r="L66" s="79"/>
      <c r="M66" s="79"/>
      <c r="N66" s="82"/>
      <c r="O66" s="82"/>
      <c r="P66" s="82"/>
      <c r="Q66" s="83">
        <f t="shared" si="1"/>
        <v>0</v>
      </c>
      <c r="R66" s="121"/>
      <c r="S66" s="62"/>
      <c r="T66" s="122"/>
    </row>
    <row r="67" ht="21.0" customHeight="1">
      <c r="A67" s="85">
        <f t="shared" si="2"/>
        <v>63</v>
      </c>
      <c r="B67" s="87"/>
      <c r="C67" s="79"/>
      <c r="D67" s="80"/>
      <c r="E67" s="79"/>
      <c r="F67" s="79"/>
      <c r="G67" s="79"/>
      <c r="H67" s="81"/>
      <c r="I67" s="79"/>
      <c r="J67" s="79"/>
      <c r="K67" s="79"/>
      <c r="L67" s="79"/>
      <c r="M67" s="79"/>
      <c r="N67" s="82"/>
      <c r="O67" s="82"/>
      <c r="P67" s="82"/>
      <c r="Q67" s="83">
        <f t="shared" si="1"/>
        <v>0</v>
      </c>
      <c r="R67" s="121"/>
      <c r="S67" s="62"/>
      <c r="T67" s="122"/>
    </row>
    <row r="68" ht="21.0" customHeight="1">
      <c r="A68" s="85">
        <f t="shared" si="2"/>
        <v>64</v>
      </c>
      <c r="B68" s="87"/>
      <c r="C68" s="79"/>
      <c r="D68" s="80"/>
      <c r="E68" s="79"/>
      <c r="F68" s="79"/>
      <c r="G68" s="79"/>
      <c r="H68" s="81"/>
      <c r="I68" s="79"/>
      <c r="J68" s="79"/>
      <c r="K68" s="79"/>
      <c r="L68" s="79"/>
      <c r="M68" s="79"/>
      <c r="N68" s="82"/>
      <c r="O68" s="82"/>
      <c r="P68" s="82"/>
      <c r="Q68" s="83">
        <f t="shared" si="1"/>
        <v>0</v>
      </c>
      <c r="R68" s="121"/>
      <c r="S68" s="62"/>
      <c r="T68" s="122"/>
    </row>
    <row r="69" ht="21.0" customHeight="1">
      <c r="A69" s="85">
        <f t="shared" si="2"/>
        <v>65</v>
      </c>
      <c r="B69" s="87"/>
      <c r="C69" s="79"/>
      <c r="D69" s="80"/>
      <c r="E69" s="79"/>
      <c r="F69" s="79"/>
      <c r="G69" s="79"/>
      <c r="H69" s="81"/>
      <c r="I69" s="79"/>
      <c r="J69" s="79"/>
      <c r="K69" s="79"/>
      <c r="L69" s="79"/>
      <c r="M69" s="79"/>
      <c r="N69" s="82"/>
      <c r="O69" s="82"/>
      <c r="P69" s="82"/>
      <c r="Q69" s="83">
        <f t="shared" si="1"/>
        <v>0</v>
      </c>
      <c r="R69" s="121"/>
      <c r="S69" s="62"/>
      <c r="T69" s="122"/>
    </row>
    <row r="70" ht="21.75" customHeight="1">
      <c r="A70" s="85">
        <f t="shared" si="2"/>
        <v>66</v>
      </c>
      <c r="B70" s="87"/>
      <c r="C70" s="79"/>
      <c r="D70" s="80"/>
      <c r="E70" s="79"/>
      <c r="F70" s="79"/>
      <c r="G70" s="79"/>
      <c r="H70" s="81"/>
      <c r="I70" s="79"/>
      <c r="J70" s="79"/>
      <c r="K70" s="79"/>
      <c r="L70" s="79"/>
      <c r="M70" s="79"/>
      <c r="N70" s="82"/>
      <c r="O70" s="82"/>
      <c r="P70" s="82"/>
      <c r="Q70" s="83">
        <f t="shared" si="1"/>
        <v>0</v>
      </c>
      <c r="R70" s="121"/>
      <c r="S70" s="62"/>
      <c r="T70" s="122"/>
    </row>
    <row r="71" ht="21.75" customHeight="1">
      <c r="A71" s="85">
        <f t="shared" si="2"/>
        <v>67</v>
      </c>
      <c r="B71" s="87"/>
      <c r="C71" s="79"/>
      <c r="D71" s="80"/>
      <c r="E71" s="79"/>
      <c r="F71" s="79"/>
      <c r="G71" s="79"/>
      <c r="H71" s="81"/>
      <c r="I71" s="79"/>
      <c r="J71" s="79"/>
      <c r="K71" s="79"/>
      <c r="L71" s="79"/>
      <c r="M71" s="79"/>
      <c r="N71" s="82"/>
      <c r="O71" s="82"/>
      <c r="P71" s="82"/>
      <c r="Q71" s="83">
        <f t="shared" si="1"/>
        <v>0</v>
      </c>
      <c r="R71" s="121"/>
      <c r="S71" s="62"/>
      <c r="T71" s="122"/>
    </row>
    <row r="72" ht="21.75" customHeight="1">
      <c r="A72" s="85">
        <f t="shared" si="2"/>
        <v>68</v>
      </c>
      <c r="B72" s="87"/>
      <c r="C72" s="79"/>
      <c r="D72" s="80"/>
      <c r="E72" s="79"/>
      <c r="F72" s="79"/>
      <c r="G72" s="79"/>
      <c r="H72" s="81"/>
      <c r="I72" s="79"/>
      <c r="J72" s="79"/>
      <c r="K72" s="79"/>
      <c r="L72" s="79"/>
      <c r="M72" s="79"/>
      <c r="N72" s="82"/>
      <c r="O72" s="82"/>
      <c r="P72" s="82"/>
      <c r="Q72" s="83">
        <f t="shared" si="1"/>
        <v>0</v>
      </c>
      <c r="R72" s="84" t="s">
        <v>74</v>
      </c>
      <c r="S72" s="62"/>
      <c r="T72" s="122"/>
    </row>
    <row r="73" ht="21.75" customHeight="1">
      <c r="A73" s="95"/>
      <c r="B73" s="207"/>
      <c r="C73" s="208"/>
      <c r="D73" s="95"/>
      <c r="E73" s="95"/>
      <c r="F73" s="95"/>
      <c r="G73" s="96" t="s">
        <v>178</v>
      </c>
      <c r="H73" s="97">
        <f t="shared" ref="H73:I73" si="3">COUNTIF(H4:H72,"X")</f>
        <v>13</v>
      </c>
      <c r="I73" s="97">
        <f t="shared" si="3"/>
        <v>0</v>
      </c>
      <c r="J73" s="98">
        <f t="shared" ref="J73:K73" si="4">SUM(J4:J72)</f>
        <v>1880</v>
      </c>
      <c r="K73" s="98">
        <f t="shared" si="4"/>
        <v>320</v>
      </c>
      <c r="L73" s="50"/>
      <c r="M73" s="134"/>
      <c r="N73" s="98">
        <f t="shared" ref="N73:O73" si="5">SUM(N4:N72)</f>
        <v>1870.99</v>
      </c>
      <c r="O73" s="98">
        <f t="shared" si="5"/>
        <v>240</v>
      </c>
      <c r="P73" s="95"/>
      <c r="Q73" s="99"/>
      <c r="R73" s="134"/>
      <c r="S73" s="63"/>
      <c r="T73" s="1"/>
    </row>
    <row r="74" ht="19.5" customHeight="1">
      <c r="A74" s="2"/>
      <c r="B74" s="24"/>
      <c r="C74" s="14"/>
      <c r="D74" s="2"/>
      <c r="E74" s="2"/>
      <c r="F74" s="2"/>
      <c r="G74" s="100" t="s">
        <v>179</v>
      </c>
      <c r="H74" s="101">
        <v>34.0</v>
      </c>
      <c r="I74" s="101">
        <v>34.0</v>
      </c>
      <c r="J74" s="102">
        <f>SUM(J73:K73)</f>
        <v>2200</v>
      </c>
      <c r="K74" s="103"/>
      <c r="L74" s="2"/>
      <c r="M74" s="1"/>
      <c r="N74" s="102">
        <f>SUM(N73:O73)</f>
        <v>2110.99</v>
      </c>
      <c r="O74" s="103"/>
      <c r="P74" s="2"/>
      <c r="Q74" s="5"/>
      <c r="R74" s="1"/>
      <c r="S74" s="63"/>
      <c r="T74" s="1"/>
    </row>
    <row r="75" ht="19.5" customHeight="1">
      <c r="A75" s="2"/>
      <c r="B75" s="24"/>
      <c r="C75" s="14"/>
      <c r="D75" s="169"/>
      <c r="E75" s="1"/>
      <c r="F75" s="1"/>
      <c r="G75" s="106" t="s">
        <v>180</v>
      </c>
      <c r="H75" s="107">
        <f t="shared" ref="H75:I75" si="6">H74-H73</f>
        <v>21</v>
      </c>
      <c r="I75" s="107">
        <f t="shared" si="6"/>
        <v>34</v>
      </c>
      <c r="J75" s="108" t="s">
        <v>181</v>
      </c>
      <c r="K75" s="109"/>
      <c r="L75" s="2"/>
      <c r="M75" s="1"/>
      <c r="N75" s="108" t="s">
        <v>182</v>
      </c>
      <c r="O75" s="109"/>
      <c r="P75" s="104"/>
      <c r="Q75" s="5"/>
      <c r="R75" s="1"/>
      <c r="S75" s="63"/>
      <c r="T75" s="1"/>
    </row>
    <row r="76" ht="19.5" customHeight="1">
      <c r="A76" s="2"/>
      <c r="B76" s="24"/>
      <c r="C76" s="14"/>
      <c r="D76" s="169"/>
      <c r="E76" s="1"/>
      <c r="F76" s="1"/>
      <c r="G76" s="2"/>
      <c r="H76" s="110">
        <v>200.0</v>
      </c>
      <c r="I76" s="110">
        <v>200.0</v>
      </c>
      <c r="J76" s="2"/>
      <c r="K76" s="2"/>
      <c r="L76" s="2"/>
      <c r="M76" s="1"/>
      <c r="N76" s="104"/>
      <c r="O76" s="104"/>
      <c r="P76" s="104"/>
      <c r="Q76" s="5"/>
      <c r="R76" s="1"/>
      <c r="S76" s="63"/>
      <c r="T76" s="122" t="s">
        <v>68</v>
      </c>
    </row>
    <row r="77" ht="19.5" customHeight="1">
      <c r="A77" s="2"/>
      <c r="B77" s="24"/>
      <c r="C77" s="2"/>
      <c r="D77" s="169"/>
      <c r="E77" s="1"/>
      <c r="F77" s="1"/>
      <c r="G77" s="2"/>
      <c r="H77" s="111">
        <f t="shared" ref="H77:I77" si="7">H75*H76</f>
        <v>4200</v>
      </c>
      <c r="I77" s="111">
        <f t="shared" si="7"/>
        <v>6800</v>
      </c>
      <c r="J77" s="2"/>
      <c r="K77" s="2"/>
      <c r="L77" s="2"/>
      <c r="M77" s="1"/>
      <c r="N77" s="104"/>
      <c r="O77" s="104"/>
      <c r="P77" s="104"/>
      <c r="Q77" s="5"/>
      <c r="R77" s="1"/>
      <c r="S77" s="63"/>
      <c r="T77" s="1"/>
    </row>
    <row r="78" ht="19.5" customHeight="1">
      <c r="A78" s="2"/>
      <c r="B78" s="24"/>
      <c r="C78" s="2"/>
      <c r="D78" s="169"/>
      <c r="E78" s="1"/>
      <c r="F78" s="1"/>
      <c r="G78" s="2"/>
      <c r="H78" s="112">
        <f>H77+I77</f>
        <v>11000</v>
      </c>
      <c r="I78" s="109"/>
      <c r="J78" s="2"/>
      <c r="K78" s="2"/>
      <c r="L78" s="2"/>
      <c r="M78" s="1"/>
      <c r="N78" s="104"/>
      <c r="O78" s="104"/>
      <c r="P78" s="104"/>
      <c r="Q78" s="5"/>
      <c r="R78" s="1"/>
      <c r="S78" s="63"/>
      <c r="T78" s="1"/>
    </row>
    <row r="79" ht="19.5" customHeight="1">
      <c r="A79" s="2"/>
      <c r="B79" s="24"/>
      <c r="C79" s="2"/>
      <c r="D79" s="169"/>
      <c r="E79" s="1"/>
      <c r="F79" s="1"/>
      <c r="G79" s="2"/>
      <c r="H79" s="2"/>
      <c r="I79" s="2"/>
      <c r="J79" s="2"/>
      <c r="K79" s="2"/>
      <c r="L79" s="2"/>
      <c r="M79" s="1"/>
      <c r="N79" s="1"/>
      <c r="O79" s="1"/>
      <c r="P79" s="1"/>
      <c r="Q79" s="116"/>
      <c r="R79" s="1"/>
      <c r="S79" s="63"/>
      <c r="T79" s="1"/>
    </row>
    <row r="80" ht="19.5" customHeight="1">
      <c r="A80" s="2"/>
      <c r="B80" s="24"/>
      <c r="C80" s="2"/>
      <c r="D80" s="169"/>
      <c r="E80" s="1"/>
      <c r="F80" s="1"/>
      <c r="G80" s="2"/>
      <c r="H80" s="2"/>
      <c r="I80" s="2"/>
      <c r="J80" s="2"/>
      <c r="K80" s="2"/>
      <c r="L80" s="2"/>
      <c r="M80" s="1"/>
      <c r="N80" s="1"/>
      <c r="O80" s="1"/>
      <c r="P80" s="1"/>
      <c r="Q80" s="116"/>
      <c r="R80" s="1"/>
      <c r="S80" s="63"/>
      <c r="T80" s="1"/>
    </row>
    <row r="81" ht="19.5" customHeight="1">
      <c r="A81" s="2"/>
      <c r="B81" s="24"/>
      <c r="C81" s="2"/>
      <c r="D81" s="169"/>
      <c r="E81" s="1"/>
      <c r="F81" s="1"/>
      <c r="G81" s="2"/>
      <c r="H81" s="2"/>
      <c r="I81" s="2"/>
      <c r="J81" s="2"/>
      <c r="K81" s="2"/>
      <c r="L81" s="2"/>
      <c r="M81" s="1"/>
      <c r="N81" s="1"/>
      <c r="O81" s="1"/>
      <c r="P81" s="1"/>
      <c r="Q81" s="116"/>
      <c r="R81" s="1"/>
      <c r="S81" s="63"/>
      <c r="T81" s="1"/>
    </row>
    <row r="82" ht="19.5" customHeight="1">
      <c r="A82" s="2"/>
      <c r="B82" s="24"/>
      <c r="C82" s="2"/>
      <c r="D82" s="169"/>
      <c r="E82" s="1"/>
      <c r="F82" s="1"/>
      <c r="G82" s="2"/>
      <c r="H82" s="2"/>
      <c r="I82" s="2"/>
      <c r="J82" s="2"/>
      <c r="K82" s="2"/>
      <c r="L82" s="2"/>
      <c r="M82" s="1"/>
      <c r="N82" s="1"/>
      <c r="O82" s="1"/>
      <c r="P82" s="1"/>
      <c r="Q82" s="116"/>
      <c r="R82" s="1"/>
      <c r="S82" s="63"/>
      <c r="T82" s="1"/>
    </row>
  </sheetData>
  <autoFilter ref="$A$4:$T$78"/>
  <customSheetViews>
    <customSheetView guid="{A9B8627E-26B2-4201-803A-467C3700F329}" filter="1" showAutoFilter="1">
      <autoFilter ref="$A$2:$T$82"/>
    </customSheetView>
    <customSheetView guid="{E5EE51B3-DE45-4D2E-9071-A5BED79D171F}" filter="1" showAutoFilter="1">
      <autoFilter ref="$A$2:$T$82"/>
    </customSheetView>
    <customSheetView guid="{BD076BCF-39B8-44C5-BF95-7B82C910DEB0}" filter="1" showAutoFilter="1">
      <autoFilter ref="$A$4:$T$78"/>
    </customSheetView>
    <customSheetView guid="{BA335440-5B37-4C05-BCDC-9CD4D4923240}" filter="1" showAutoFilter="1">
      <autoFilter ref="$A$1:$T$82"/>
    </customSheetView>
  </customSheetViews>
  <mergeCells count="8">
    <mergeCell ref="A2:M2"/>
    <mergeCell ref="A3:F3"/>
    <mergeCell ref="G3:J3"/>
    <mergeCell ref="J74:K74"/>
    <mergeCell ref="N74:O74"/>
    <mergeCell ref="J75:K75"/>
    <mergeCell ref="N75:O75"/>
    <mergeCell ref="H78:I78"/>
  </mergeCells>
  <conditionalFormatting sqref="M5:M72 R5:R72">
    <cfRule type="containsText" dxfId="3" priority="1" operator="containsText" text="fh">
      <formula>NOT(ISERROR(SEARCH(("fh"),(M5))))</formula>
    </cfRule>
  </conditionalFormatting>
  <conditionalFormatting sqref="L1 L4:L72 M4 N8:O14 N16:O18 L74:L77 L79:L82">
    <cfRule type="containsText" dxfId="0" priority="2" operator="containsText" text="COBR">
      <formula>NOT(ISERROR(SEARCH(("COBR"),(L1))))</formula>
    </cfRule>
  </conditionalFormatting>
  <conditionalFormatting sqref="L1 L4:L72 M4 N8:O14 N16:O18 L74:L77 L79:L82">
    <cfRule type="containsText" dxfId="1" priority="3" operator="containsText" text="INTE">
      <formula>NOT(ISERROR(SEARCH(("INTE"),(L1))))</formula>
    </cfRule>
  </conditionalFormatting>
  <conditionalFormatting sqref="L1 L4:L72 M4 J74 L74:L77 N74 L79:L82">
    <cfRule type="containsText" dxfId="2" priority="4" operator="containsText" text="DESC">
      <formula>NOT(ISERROR(SEARCH(("DESC"),(L1))))</formula>
    </cfRule>
  </conditionalFormatting>
  <dataValidations>
    <dataValidation type="list" allowBlank="1" showErrorMessage="1" sqref="M5:M72">
      <formula1>CUENTAS</formula1>
    </dataValidation>
    <dataValidation type="list" allowBlank="1" showErrorMessage="1" sqref="P5:P72">
      <formula1>VENDEDOR</formula1>
    </dataValidation>
    <dataValidation type="list" allowBlank="1" showErrorMessage="1" sqref="L5:L72">
      <formula1>SITUACION</formula1>
    </dataValidation>
  </dataValidations>
  <printOptions gridLines="1" horizontalCentered="1"/>
  <pageMargins bottom="0.6" footer="0.0" header="0.0" left="0.18446313842671508" right="0.1947110905615326" top="0.2152069948311676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13.13"/>
    <col customWidth="1" min="4" max="4" width="30.38"/>
    <col customWidth="1" min="5" max="6" width="19.5"/>
    <col customWidth="1" min="7" max="7" width="18.63"/>
    <col customWidth="1" min="8" max="8" width="11.75"/>
    <col customWidth="1" min="9" max="11" width="12.63"/>
    <col customWidth="1" min="12" max="12" width="14.38"/>
    <col customWidth="1" min="13" max="13" width="14.75"/>
    <col customWidth="1" min="14" max="15" width="12.63"/>
    <col customWidth="1" min="16" max="19" width="21.63"/>
    <col customWidth="1" min="20" max="20" width="2.25"/>
  </cols>
  <sheetData>
    <row r="1" ht="19.5" customHeight="1">
      <c r="A1" s="186"/>
      <c r="B1" s="209"/>
      <c r="C1" s="58"/>
      <c r="D1" s="139"/>
      <c r="E1" s="139"/>
      <c r="F1" s="139"/>
      <c r="G1" s="58"/>
      <c r="H1" s="58"/>
      <c r="I1" s="58"/>
      <c r="J1" s="58"/>
      <c r="K1" s="58"/>
      <c r="L1" s="58"/>
      <c r="M1" s="139"/>
      <c r="N1" s="169"/>
      <c r="O1" s="169"/>
      <c r="P1" s="169"/>
      <c r="Q1" s="210"/>
      <c r="R1" s="169"/>
      <c r="S1" s="169"/>
      <c r="T1" s="169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211"/>
      <c r="O2" s="212"/>
      <c r="P2" s="212"/>
      <c r="Q2" s="213"/>
      <c r="R2" s="212"/>
      <c r="S2" s="212"/>
      <c r="T2" s="169"/>
    </row>
    <row r="3" ht="30.75" customHeight="1">
      <c r="A3" s="117" t="s">
        <v>25</v>
      </c>
      <c r="B3" s="60"/>
      <c r="C3" s="60"/>
      <c r="D3" s="60"/>
      <c r="E3" s="60"/>
      <c r="F3" s="60"/>
      <c r="G3" s="67" t="s">
        <v>753</v>
      </c>
      <c r="H3" s="60"/>
      <c r="I3" s="60"/>
      <c r="J3" s="214"/>
      <c r="K3" s="214"/>
      <c r="L3" s="214"/>
      <c r="M3" s="215"/>
      <c r="N3" s="216"/>
      <c r="O3" s="217"/>
      <c r="P3" s="217"/>
      <c r="Q3" s="218"/>
      <c r="R3" s="217"/>
      <c r="S3" s="212"/>
      <c r="T3" s="169"/>
    </row>
    <row r="4" ht="27.0" customHeight="1">
      <c r="A4" s="73" t="s">
        <v>0</v>
      </c>
      <c r="B4" s="219" t="s">
        <v>7</v>
      </c>
      <c r="C4" s="73" t="s">
        <v>8</v>
      </c>
      <c r="D4" s="73" t="s">
        <v>9</v>
      </c>
      <c r="E4" s="73" t="s">
        <v>10</v>
      </c>
      <c r="F4" s="73" t="s">
        <v>11</v>
      </c>
      <c r="G4" s="73" t="s">
        <v>12</v>
      </c>
      <c r="H4" s="220">
        <v>45668.0</v>
      </c>
      <c r="I4" s="220">
        <v>45675.0</v>
      </c>
      <c r="J4" s="221" t="s">
        <v>15</v>
      </c>
      <c r="K4" s="221" t="s">
        <v>16</v>
      </c>
      <c r="L4" s="221" t="s">
        <v>17</v>
      </c>
      <c r="M4" s="221" t="s">
        <v>18</v>
      </c>
      <c r="N4" s="222" t="s">
        <v>19</v>
      </c>
      <c r="O4" s="222" t="s">
        <v>20</v>
      </c>
      <c r="P4" s="222" t="s">
        <v>21</v>
      </c>
      <c r="Q4" s="223" t="s">
        <v>22</v>
      </c>
      <c r="R4" s="73" t="s">
        <v>74</v>
      </c>
      <c r="S4" s="211"/>
      <c r="T4" s="105"/>
    </row>
    <row r="5" ht="21.75" customHeight="1">
      <c r="A5" s="224">
        <v>1.0</v>
      </c>
      <c r="B5" s="225">
        <v>46013.0</v>
      </c>
      <c r="C5" s="79">
        <v>1.0619586E7</v>
      </c>
      <c r="D5" s="128" t="s">
        <v>754</v>
      </c>
      <c r="E5" s="226" t="s">
        <v>755</v>
      </c>
      <c r="F5" s="79" t="s">
        <v>226</v>
      </c>
      <c r="G5" s="79" t="s">
        <v>756</v>
      </c>
      <c r="H5" s="81" t="s">
        <v>104</v>
      </c>
      <c r="I5" s="79"/>
      <c r="J5" s="79">
        <v>0.0</v>
      </c>
      <c r="K5" s="79">
        <v>75.0</v>
      </c>
      <c r="L5" s="79" t="s">
        <v>93</v>
      </c>
      <c r="M5" s="79" t="s">
        <v>81</v>
      </c>
      <c r="N5" s="82">
        <v>0.0</v>
      </c>
      <c r="O5" s="227"/>
      <c r="P5" s="82" t="s">
        <v>50</v>
      </c>
      <c r="Q5" s="83">
        <f t="shared" ref="Q5:Q32" si="1">N5+O5</f>
        <v>0</v>
      </c>
      <c r="R5" s="84" t="s">
        <v>342</v>
      </c>
      <c r="S5" s="211"/>
      <c r="T5" s="169"/>
    </row>
    <row r="6" ht="21.75" customHeight="1">
      <c r="A6" s="228">
        <f t="shared" ref="A6:A32" si="2">A5+1</f>
        <v>2</v>
      </c>
      <c r="B6" s="88">
        <v>46015.0</v>
      </c>
      <c r="C6" s="79"/>
      <c r="D6" s="80" t="s">
        <v>757</v>
      </c>
      <c r="E6" s="226" t="s">
        <v>758</v>
      </c>
      <c r="F6" s="79"/>
      <c r="G6" s="79"/>
      <c r="H6" s="81" t="s">
        <v>104</v>
      </c>
      <c r="I6" s="79"/>
      <c r="J6" s="79">
        <v>140.0</v>
      </c>
      <c r="K6" s="79"/>
      <c r="L6" s="79" t="s">
        <v>80</v>
      </c>
      <c r="M6" s="79" t="s">
        <v>81</v>
      </c>
      <c r="N6" s="82">
        <v>140.0</v>
      </c>
      <c r="O6" s="227"/>
      <c r="P6" s="82" t="s">
        <v>47</v>
      </c>
      <c r="Q6" s="83">
        <f t="shared" si="1"/>
        <v>140</v>
      </c>
      <c r="R6" s="229"/>
      <c r="S6" s="211"/>
      <c r="T6" s="230"/>
    </row>
    <row r="7" ht="21.75" customHeight="1">
      <c r="A7" s="228">
        <f t="shared" si="2"/>
        <v>3</v>
      </c>
      <c r="B7" s="88">
        <v>46015.0</v>
      </c>
      <c r="C7" s="79"/>
      <c r="D7" s="80" t="s">
        <v>759</v>
      </c>
      <c r="E7" s="226" t="s">
        <v>760</v>
      </c>
      <c r="F7" s="79"/>
      <c r="G7" s="79"/>
      <c r="H7" s="81" t="s">
        <v>104</v>
      </c>
      <c r="I7" s="79"/>
      <c r="J7" s="79">
        <v>140.0</v>
      </c>
      <c r="K7" s="79"/>
      <c r="L7" s="79" t="s">
        <v>80</v>
      </c>
      <c r="M7" s="79" t="s">
        <v>81</v>
      </c>
      <c r="N7" s="82">
        <v>140.0</v>
      </c>
      <c r="O7" s="227"/>
      <c r="P7" s="82" t="s">
        <v>47</v>
      </c>
      <c r="Q7" s="83">
        <f t="shared" si="1"/>
        <v>140</v>
      </c>
      <c r="R7" s="229"/>
      <c r="S7" s="211"/>
      <c r="T7" s="230"/>
    </row>
    <row r="8" ht="21.75" customHeight="1">
      <c r="A8" s="228">
        <f t="shared" si="2"/>
        <v>4</v>
      </c>
      <c r="B8" s="88">
        <v>46015.0</v>
      </c>
      <c r="C8" s="79">
        <v>7.6324543E7</v>
      </c>
      <c r="D8" s="80" t="s">
        <v>761</v>
      </c>
      <c r="E8" s="226"/>
      <c r="F8" s="79"/>
      <c r="G8" s="79"/>
      <c r="H8" s="81" t="s">
        <v>104</v>
      </c>
      <c r="I8" s="79"/>
      <c r="J8" s="79">
        <v>150.0</v>
      </c>
      <c r="K8" s="79"/>
      <c r="L8" s="79" t="s">
        <v>80</v>
      </c>
      <c r="M8" s="79" t="s">
        <v>81</v>
      </c>
      <c r="N8" s="82">
        <v>150.0</v>
      </c>
      <c r="O8" s="227"/>
      <c r="P8" s="82" t="s">
        <v>47</v>
      </c>
      <c r="Q8" s="83">
        <f t="shared" si="1"/>
        <v>150</v>
      </c>
      <c r="R8" s="229"/>
      <c r="S8" s="211"/>
      <c r="T8" s="230"/>
    </row>
    <row r="9" ht="21.75" customHeight="1">
      <c r="A9" s="228">
        <f t="shared" si="2"/>
        <v>5</v>
      </c>
      <c r="B9" s="94">
        <v>46021.0</v>
      </c>
      <c r="C9" s="79"/>
      <c r="D9" s="80" t="s">
        <v>762</v>
      </c>
      <c r="E9" s="226"/>
      <c r="F9" s="79"/>
      <c r="G9" s="79"/>
      <c r="H9" s="81" t="s">
        <v>104</v>
      </c>
      <c r="I9" s="79"/>
      <c r="J9" s="79">
        <v>150.0</v>
      </c>
      <c r="K9" s="79"/>
      <c r="L9" s="79" t="s">
        <v>80</v>
      </c>
      <c r="M9" s="79" t="s">
        <v>81</v>
      </c>
      <c r="N9" s="82">
        <v>150.0</v>
      </c>
      <c r="O9" s="227"/>
      <c r="P9" s="82" t="s">
        <v>48</v>
      </c>
      <c r="Q9" s="83">
        <f t="shared" si="1"/>
        <v>150</v>
      </c>
      <c r="R9" s="229" t="s">
        <v>763</v>
      </c>
      <c r="S9" s="211"/>
      <c r="T9" s="230"/>
    </row>
    <row r="10" ht="21.75" customHeight="1">
      <c r="A10" s="228">
        <f t="shared" si="2"/>
        <v>6</v>
      </c>
      <c r="B10" s="86">
        <v>46021.0</v>
      </c>
      <c r="C10" s="79">
        <v>4.7618556E7</v>
      </c>
      <c r="D10" s="80" t="s">
        <v>764</v>
      </c>
      <c r="E10" s="226" t="s">
        <v>765</v>
      </c>
      <c r="F10" s="79" t="s">
        <v>226</v>
      </c>
      <c r="G10" s="79">
        <v>9.62956122E8</v>
      </c>
      <c r="H10" s="81" t="s">
        <v>104</v>
      </c>
      <c r="I10" s="79"/>
      <c r="J10" s="79">
        <v>150.0</v>
      </c>
      <c r="K10" s="79"/>
      <c r="L10" s="79" t="s">
        <v>80</v>
      </c>
      <c r="M10" s="79" t="s">
        <v>143</v>
      </c>
      <c r="N10" s="82">
        <v>142.64</v>
      </c>
      <c r="O10" s="227"/>
      <c r="P10" s="82" t="s">
        <v>45</v>
      </c>
      <c r="Q10" s="83">
        <f t="shared" si="1"/>
        <v>142.64</v>
      </c>
      <c r="R10" s="229"/>
      <c r="S10" s="211"/>
      <c r="T10" s="230"/>
    </row>
    <row r="11" ht="21.75" customHeight="1">
      <c r="A11" s="228">
        <f t="shared" si="2"/>
        <v>7</v>
      </c>
      <c r="B11" s="88">
        <v>46027.0</v>
      </c>
      <c r="C11" s="79">
        <v>4.1925594E7</v>
      </c>
      <c r="D11" s="80" t="s">
        <v>766</v>
      </c>
      <c r="E11" s="226"/>
      <c r="F11" s="79"/>
      <c r="G11" s="79"/>
      <c r="H11" s="81" t="s">
        <v>104</v>
      </c>
      <c r="I11" s="79"/>
      <c r="J11" s="79">
        <v>150.0</v>
      </c>
      <c r="K11" s="79"/>
      <c r="L11" s="79" t="s">
        <v>80</v>
      </c>
      <c r="M11" s="79" t="s">
        <v>164</v>
      </c>
      <c r="N11" s="82">
        <v>150.0</v>
      </c>
      <c r="O11" s="227"/>
      <c r="P11" s="82" t="s">
        <v>47</v>
      </c>
      <c r="Q11" s="83">
        <f t="shared" si="1"/>
        <v>150</v>
      </c>
      <c r="R11" s="229"/>
      <c r="S11" s="211"/>
      <c r="T11" s="230"/>
    </row>
    <row r="12" ht="21.75" customHeight="1">
      <c r="A12" s="228">
        <f t="shared" si="2"/>
        <v>8</v>
      </c>
      <c r="B12" s="88">
        <v>46028.0</v>
      </c>
      <c r="C12" s="79"/>
      <c r="D12" s="80" t="s">
        <v>767</v>
      </c>
      <c r="E12" s="226"/>
      <c r="F12" s="79"/>
      <c r="G12" s="79"/>
      <c r="H12" s="81" t="s">
        <v>104</v>
      </c>
      <c r="I12" s="79"/>
      <c r="J12" s="79">
        <v>125.0</v>
      </c>
      <c r="K12" s="79"/>
      <c r="L12" s="79" t="s">
        <v>80</v>
      </c>
      <c r="M12" s="79" t="s">
        <v>164</v>
      </c>
      <c r="N12" s="82">
        <v>125.0</v>
      </c>
      <c r="O12" s="227"/>
      <c r="P12" s="82" t="s">
        <v>47</v>
      </c>
      <c r="Q12" s="83">
        <f t="shared" si="1"/>
        <v>125</v>
      </c>
      <c r="R12" s="229"/>
      <c r="S12" s="211"/>
      <c r="T12" s="230"/>
    </row>
    <row r="13" ht="21.75" customHeight="1">
      <c r="A13" s="228">
        <f t="shared" si="2"/>
        <v>9</v>
      </c>
      <c r="B13" s="88">
        <v>46028.0</v>
      </c>
      <c r="C13" s="79"/>
      <c r="D13" s="80" t="s">
        <v>768</v>
      </c>
      <c r="E13" s="226"/>
      <c r="F13" s="79"/>
      <c r="G13" s="79"/>
      <c r="H13" s="81" t="s">
        <v>104</v>
      </c>
      <c r="I13" s="79"/>
      <c r="J13" s="79">
        <v>125.0</v>
      </c>
      <c r="K13" s="79"/>
      <c r="L13" s="79" t="s">
        <v>80</v>
      </c>
      <c r="M13" s="79" t="s">
        <v>164</v>
      </c>
      <c r="N13" s="82">
        <v>125.0</v>
      </c>
      <c r="O13" s="227"/>
      <c r="P13" s="82" t="s">
        <v>47</v>
      </c>
      <c r="Q13" s="83">
        <f t="shared" si="1"/>
        <v>125</v>
      </c>
      <c r="R13" s="229"/>
      <c r="S13" s="211"/>
      <c r="T13" s="230"/>
    </row>
    <row r="14" ht="21.75" customHeight="1">
      <c r="A14" s="228">
        <f t="shared" si="2"/>
        <v>10</v>
      </c>
      <c r="B14" s="132">
        <v>6686137.0</v>
      </c>
      <c r="C14" s="79">
        <v>4.2492557E7</v>
      </c>
      <c r="D14" s="80" t="s">
        <v>769</v>
      </c>
      <c r="E14" s="226" t="s">
        <v>770</v>
      </c>
      <c r="F14" s="79" t="s">
        <v>771</v>
      </c>
      <c r="G14" s="79">
        <v>9.44646368E8</v>
      </c>
      <c r="H14" s="81" t="s">
        <v>104</v>
      </c>
      <c r="I14" s="79"/>
      <c r="J14" s="79">
        <v>150.0</v>
      </c>
      <c r="K14" s="79"/>
      <c r="L14" s="79" t="s">
        <v>80</v>
      </c>
      <c r="M14" s="79" t="s">
        <v>81</v>
      </c>
      <c r="N14" s="82">
        <v>150.0</v>
      </c>
      <c r="O14" s="227"/>
      <c r="P14" s="82" t="s">
        <v>44</v>
      </c>
      <c r="Q14" s="83">
        <f t="shared" si="1"/>
        <v>150</v>
      </c>
      <c r="R14" s="229"/>
      <c r="S14" s="211"/>
      <c r="T14" s="230"/>
    </row>
    <row r="15" ht="21.75" customHeight="1">
      <c r="A15" s="228">
        <f t="shared" si="2"/>
        <v>11</v>
      </c>
      <c r="B15" s="88">
        <v>46029.0</v>
      </c>
      <c r="C15" s="79">
        <v>3.0422127E7</v>
      </c>
      <c r="D15" s="80" t="s">
        <v>772</v>
      </c>
      <c r="E15" s="226"/>
      <c r="F15" s="79"/>
      <c r="G15" s="79"/>
      <c r="H15" s="81" t="s">
        <v>104</v>
      </c>
      <c r="I15" s="79"/>
      <c r="J15" s="79">
        <v>140.0</v>
      </c>
      <c r="K15" s="79"/>
      <c r="L15" s="79" t="s">
        <v>80</v>
      </c>
      <c r="M15" s="79" t="s">
        <v>81</v>
      </c>
      <c r="N15" s="82">
        <v>140.0</v>
      </c>
      <c r="O15" s="227"/>
      <c r="P15" s="82" t="s">
        <v>47</v>
      </c>
      <c r="Q15" s="83">
        <f t="shared" si="1"/>
        <v>140</v>
      </c>
      <c r="R15" s="229"/>
      <c r="S15" s="211"/>
      <c r="T15" s="230"/>
    </row>
    <row r="16" ht="21.75" customHeight="1">
      <c r="A16" s="228">
        <f t="shared" si="2"/>
        <v>12</v>
      </c>
      <c r="B16" s="132">
        <v>46029.0</v>
      </c>
      <c r="C16" s="79">
        <v>4.024928E7</v>
      </c>
      <c r="D16" s="80" t="s">
        <v>773</v>
      </c>
      <c r="E16" s="226" t="s">
        <v>774</v>
      </c>
      <c r="F16" s="79" t="s">
        <v>232</v>
      </c>
      <c r="G16" s="79" t="s">
        <v>775</v>
      </c>
      <c r="H16" s="81" t="s">
        <v>104</v>
      </c>
      <c r="I16" s="79"/>
      <c r="J16" s="79">
        <v>140.0</v>
      </c>
      <c r="K16" s="79"/>
      <c r="L16" s="79" t="s">
        <v>80</v>
      </c>
      <c r="M16" s="79" t="s">
        <v>81</v>
      </c>
      <c r="N16" s="82">
        <v>140.0</v>
      </c>
      <c r="O16" s="227"/>
      <c r="P16" s="82" t="s">
        <v>44</v>
      </c>
      <c r="Q16" s="83">
        <f t="shared" si="1"/>
        <v>140</v>
      </c>
      <c r="R16" s="229"/>
      <c r="S16" s="211"/>
      <c r="T16" s="230"/>
    </row>
    <row r="17" ht="21.75" customHeight="1">
      <c r="A17" s="228">
        <f t="shared" si="2"/>
        <v>13</v>
      </c>
      <c r="B17" s="132">
        <v>46029.0</v>
      </c>
      <c r="C17" s="79">
        <v>7.143427E7</v>
      </c>
      <c r="D17" s="80" t="s">
        <v>776</v>
      </c>
      <c r="E17" s="226" t="s">
        <v>774</v>
      </c>
      <c r="F17" s="79" t="s">
        <v>232</v>
      </c>
      <c r="G17" s="79" t="s">
        <v>775</v>
      </c>
      <c r="H17" s="81" t="s">
        <v>104</v>
      </c>
      <c r="I17" s="79"/>
      <c r="J17" s="79">
        <v>140.0</v>
      </c>
      <c r="K17" s="79"/>
      <c r="L17" s="79" t="s">
        <v>80</v>
      </c>
      <c r="M17" s="79" t="s">
        <v>81</v>
      </c>
      <c r="N17" s="82">
        <v>140.0</v>
      </c>
      <c r="O17" s="227"/>
      <c r="P17" s="82" t="s">
        <v>44</v>
      </c>
      <c r="Q17" s="83">
        <f t="shared" si="1"/>
        <v>140</v>
      </c>
      <c r="R17" s="229"/>
      <c r="S17" s="211"/>
      <c r="T17" s="230"/>
    </row>
    <row r="18" ht="21.75" customHeight="1">
      <c r="A18" s="228">
        <f t="shared" si="2"/>
        <v>14</v>
      </c>
      <c r="B18" s="86">
        <v>46028.0</v>
      </c>
      <c r="C18" s="79" t="s">
        <v>777</v>
      </c>
      <c r="D18" s="80" t="s">
        <v>778</v>
      </c>
      <c r="E18" s="226"/>
      <c r="F18" s="79" t="s">
        <v>141</v>
      </c>
      <c r="G18" s="161" t="s">
        <v>779</v>
      </c>
      <c r="H18" s="81" t="s">
        <v>79</v>
      </c>
      <c r="I18" s="79"/>
      <c r="J18" s="79">
        <v>50.0</v>
      </c>
      <c r="K18" s="79">
        <v>100.0</v>
      </c>
      <c r="L18" s="79" t="s">
        <v>93</v>
      </c>
      <c r="M18" s="79" t="s">
        <v>81</v>
      </c>
      <c r="N18" s="82">
        <v>50.0</v>
      </c>
      <c r="O18" s="227">
        <v>100.0</v>
      </c>
      <c r="P18" s="82" t="s">
        <v>45</v>
      </c>
      <c r="Q18" s="83">
        <f t="shared" si="1"/>
        <v>150</v>
      </c>
      <c r="R18" s="229"/>
      <c r="S18" s="211"/>
      <c r="T18" s="230"/>
    </row>
    <row r="19" ht="21.75" customHeight="1">
      <c r="A19" s="228">
        <f t="shared" si="2"/>
        <v>15</v>
      </c>
      <c r="B19" s="86">
        <v>46028.0</v>
      </c>
      <c r="C19" s="160" t="s">
        <v>780</v>
      </c>
      <c r="D19" s="152" t="s">
        <v>781</v>
      </c>
      <c r="E19" s="226"/>
      <c r="F19" s="79" t="s">
        <v>409</v>
      </c>
      <c r="G19" s="161" t="s">
        <v>360</v>
      </c>
      <c r="H19" s="81" t="s">
        <v>79</v>
      </c>
      <c r="I19" s="79"/>
      <c r="J19" s="79">
        <v>80.0</v>
      </c>
      <c r="K19" s="79">
        <v>80.0</v>
      </c>
      <c r="L19" s="79" t="s">
        <v>93</v>
      </c>
      <c r="M19" s="79" t="s">
        <v>81</v>
      </c>
      <c r="N19" s="82">
        <v>80.0</v>
      </c>
      <c r="O19" s="227">
        <v>80.0</v>
      </c>
      <c r="P19" s="82" t="s">
        <v>45</v>
      </c>
      <c r="Q19" s="83">
        <f t="shared" si="1"/>
        <v>160</v>
      </c>
      <c r="R19" s="229"/>
      <c r="S19" s="211"/>
      <c r="T19" s="230"/>
    </row>
    <row r="20" ht="21.75" customHeight="1">
      <c r="A20" s="228">
        <f t="shared" si="2"/>
        <v>16</v>
      </c>
      <c r="B20" s="78">
        <v>46029.0</v>
      </c>
      <c r="C20" s="89">
        <v>4.5484567E7</v>
      </c>
      <c r="D20" s="152" t="s">
        <v>782</v>
      </c>
      <c r="E20" s="131" t="s">
        <v>783</v>
      </c>
      <c r="F20" s="79" t="s">
        <v>96</v>
      </c>
      <c r="G20" s="79" t="s">
        <v>784</v>
      </c>
      <c r="H20" s="81" t="s">
        <v>79</v>
      </c>
      <c r="I20" s="79"/>
      <c r="J20" s="79">
        <v>125.0</v>
      </c>
      <c r="K20" s="79"/>
      <c r="L20" s="79" t="s">
        <v>80</v>
      </c>
      <c r="M20" s="79" t="s">
        <v>174</v>
      </c>
      <c r="N20" s="82">
        <v>125.0</v>
      </c>
      <c r="O20" s="227"/>
      <c r="P20" s="82" t="s">
        <v>50</v>
      </c>
      <c r="Q20" s="83">
        <f t="shared" si="1"/>
        <v>125</v>
      </c>
      <c r="R20" s="229"/>
      <c r="S20" s="211"/>
      <c r="T20" s="230"/>
    </row>
    <row r="21" ht="21.75" customHeight="1">
      <c r="A21" s="228">
        <f t="shared" si="2"/>
        <v>17</v>
      </c>
      <c r="B21" s="78">
        <v>46029.0</v>
      </c>
      <c r="C21" s="79">
        <v>4.6988012E7</v>
      </c>
      <c r="D21" s="127" t="s">
        <v>785</v>
      </c>
      <c r="E21" s="226" t="s">
        <v>786</v>
      </c>
      <c r="F21" s="79" t="s">
        <v>96</v>
      </c>
      <c r="G21" s="79" t="s">
        <v>784</v>
      </c>
      <c r="H21" s="81" t="s">
        <v>79</v>
      </c>
      <c r="I21" s="79"/>
      <c r="J21" s="79">
        <v>125.0</v>
      </c>
      <c r="K21" s="79"/>
      <c r="L21" s="79" t="s">
        <v>80</v>
      </c>
      <c r="M21" s="79" t="s">
        <v>174</v>
      </c>
      <c r="N21" s="82">
        <v>125.0</v>
      </c>
      <c r="O21" s="227"/>
      <c r="P21" s="82" t="s">
        <v>50</v>
      </c>
      <c r="Q21" s="83">
        <f t="shared" si="1"/>
        <v>125</v>
      </c>
      <c r="R21" s="229"/>
      <c r="S21" s="211"/>
      <c r="T21" s="230"/>
    </row>
    <row r="22" ht="21.75" customHeight="1">
      <c r="A22" s="228">
        <f t="shared" si="2"/>
        <v>18</v>
      </c>
      <c r="B22" s="78">
        <v>46029.0</v>
      </c>
      <c r="C22" s="89">
        <v>7.3563073E7</v>
      </c>
      <c r="D22" s="80" t="s">
        <v>787</v>
      </c>
      <c r="E22" s="131" t="s">
        <v>788</v>
      </c>
      <c r="F22" s="79" t="s">
        <v>121</v>
      </c>
      <c r="G22" s="79" t="s">
        <v>366</v>
      </c>
      <c r="H22" s="81" t="s">
        <v>79</v>
      </c>
      <c r="I22" s="79"/>
      <c r="J22" s="79">
        <v>150.0</v>
      </c>
      <c r="K22" s="79"/>
      <c r="L22" s="79" t="s">
        <v>80</v>
      </c>
      <c r="M22" s="79" t="s">
        <v>81</v>
      </c>
      <c r="N22" s="82">
        <v>150.0</v>
      </c>
      <c r="O22" s="227"/>
      <c r="P22" s="82" t="s">
        <v>50</v>
      </c>
      <c r="Q22" s="83">
        <f t="shared" si="1"/>
        <v>150</v>
      </c>
      <c r="R22" s="229"/>
      <c r="S22" s="211"/>
      <c r="T22" s="230"/>
    </row>
    <row r="23" ht="21.75" customHeight="1">
      <c r="A23" s="228">
        <f t="shared" si="2"/>
        <v>19</v>
      </c>
      <c r="B23" s="86">
        <v>46028.0</v>
      </c>
      <c r="C23" s="151">
        <v>4.8550749E7</v>
      </c>
      <c r="D23" s="151" t="s">
        <v>789</v>
      </c>
      <c r="E23" s="168" t="s">
        <v>790</v>
      </c>
      <c r="F23" s="168" t="s">
        <v>451</v>
      </c>
      <c r="G23" s="79"/>
      <c r="H23" s="81" t="s">
        <v>79</v>
      </c>
      <c r="I23" s="79"/>
      <c r="J23" s="79">
        <v>50.0</v>
      </c>
      <c r="K23" s="79">
        <v>100.0</v>
      </c>
      <c r="L23" s="79" t="s">
        <v>93</v>
      </c>
      <c r="M23" s="79" t="s">
        <v>81</v>
      </c>
      <c r="N23" s="82">
        <v>50.0</v>
      </c>
      <c r="O23" s="227">
        <v>100.0</v>
      </c>
      <c r="P23" s="82" t="s">
        <v>45</v>
      </c>
      <c r="Q23" s="83">
        <f t="shared" si="1"/>
        <v>150</v>
      </c>
      <c r="R23" s="229"/>
      <c r="S23" s="211"/>
      <c r="T23" s="230"/>
    </row>
    <row r="24" ht="21.75" customHeight="1">
      <c r="A24" s="228">
        <f t="shared" si="2"/>
        <v>20</v>
      </c>
      <c r="B24" s="86">
        <v>46031.0</v>
      </c>
      <c r="C24" s="79">
        <v>4.191408E7</v>
      </c>
      <c r="D24" s="80" t="s">
        <v>791</v>
      </c>
      <c r="E24" s="79"/>
      <c r="F24" s="79" t="s">
        <v>172</v>
      </c>
      <c r="G24" s="79" t="s">
        <v>792</v>
      </c>
      <c r="H24" s="81" t="s">
        <v>79</v>
      </c>
      <c r="I24" s="79"/>
      <c r="J24" s="79">
        <v>50.0</v>
      </c>
      <c r="K24" s="79">
        <v>90.0</v>
      </c>
      <c r="L24" s="79" t="s">
        <v>93</v>
      </c>
      <c r="M24" s="79" t="s">
        <v>81</v>
      </c>
      <c r="N24" s="82">
        <v>50.0</v>
      </c>
      <c r="O24" s="227">
        <v>90.0</v>
      </c>
      <c r="P24" s="82" t="s">
        <v>45</v>
      </c>
      <c r="Q24" s="83">
        <f t="shared" si="1"/>
        <v>140</v>
      </c>
      <c r="R24" s="229"/>
      <c r="S24" s="211"/>
      <c r="T24" s="230"/>
    </row>
    <row r="25" ht="21.75" customHeight="1">
      <c r="A25" s="228">
        <f t="shared" si="2"/>
        <v>21</v>
      </c>
      <c r="B25" s="86">
        <v>46031.0</v>
      </c>
      <c r="C25" s="89">
        <v>4.7915079E7</v>
      </c>
      <c r="D25" s="231" t="s">
        <v>793</v>
      </c>
      <c r="E25" s="226" t="s">
        <v>794</v>
      </c>
      <c r="F25" s="79" t="s">
        <v>795</v>
      </c>
      <c r="G25" s="79" t="s">
        <v>796</v>
      </c>
      <c r="H25" s="81" t="s">
        <v>79</v>
      </c>
      <c r="I25" s="79"/>
      <c r="J25" s="79">
        <v>100.0</v>
      </c>
      <c r="K25" s="79">
        <v>350.0</v>
      </c>
      <c r="L25" s="79" t="s">
        <v>93</v>
      </c>
      <c r="M25" s="79" t="s">
        <v>81</v>
      </c>
      <c r="N25" s="82">
        <v>100.0</v>
      </c>
      <c r="O25" s="227">
        <v>0.0</v>
      </c>
      <c r="P25" s="82" t="s">
        <v>45</v>
      </c>
      <c r="Q25" s="83">
        <f t="shared" si="1"/>
        <v>100</v>
      </c>
      <c r="R25" s="229"/>
      <c r="S25" s="211"/>
      <c r="T25" s="230"/>
    </row>
    <row r="26" ht="21.75" customHeight="1">
      <c r="A26" s="228">
        <f t="shared" si="2"/>
        <v>22</v>
      </c>
      <c r="B26" s="88">
        <v>46031.0</v>
      </c>
      <c r="C26" s="79"/>
      <c r="D26" s="80" t="s">
        <v>797</v>
      </c>
      <c r="E26" s="226"/>
      <c r="F26" s="79"/>
      <c r="G26" s="79" t="s">
        <v>71</v>
      </c>
      <c r="H26" s="81" t="s">
        <v>104</v>
      </c>
      <c r="I26" s="79"/>
      <c r="J26" s="79">
        <v>125.0</v>
      </c>
      <c r="K26" s="79"/>
      <c r="L26" s="79" t="s">
        <v>80</v>
      </c>
      <c r="M26" s="79" t="s">
        <v>81</v>
      </c>
      <c r="N26" s="82">
        <v>125.0</v>
      </c>
      <c r="O26" s="227"/>
      <c r="P26" s="82" t="s">
        <v>47</v>
      </c>
      <c r="Q26" s="83">
        <f t="shared" si="1"/>
        <v>125</v>
      </c>
      <c r="R26" s="229"/>
      <c r="S26" s="211"/>
      <c r="T26" s="230"/>
    </row>
    <row r="27" ht="21.75" customHeight="1">
      <c r="A27" s="228">
        <f t="shared" si="2"/>
        <v>23</v>
      </c>
      <c r="B27" s="88">
        <v>46031.0</v>
      </c>
      <c r="C27" s="79"/>
      <c r="D27" s="90" t="s">
        <v>798</v>
      </c>
      <c r="E27" s="226"/>
      <c r="F27" s="79"/>
      <c r="G27" s="79"/>
      <c r="H27" s="81" t="s">
        <v>104</v>
      </c>
      <c r="I27" s="79"/>
      <c r="J27" s="79">
        <v>125.0</v>
      </c>
      <c r="K27" s="79"/>
      <c r="L27" s="79" t="s">
        <v>80</v>
      </c>
      <c r="M27" s="79" t="s">
        <v>81</v>
      </c>
      <c r="N27" s="82">
        <v>125.0</v>
      </c>
      <c r="O27" s="227"/>
      <c r="P27" s="82" t="s">
        <v>47</v>
      </c>
      <c r="Q27" s="83">
        <f t="shared" si="1"/>
        <v>125</v>
      </c>
      <c r="R27" s="229"/>
      <c r="S27" s="211"/>
      <c r="T27" s="230"/>
    </row>
    <row r="28" ht="21.75" customHeight="1">
      <c r="A28" s="228">
        <f t="shared" si="2"/>
        <v>24</v>
      </c>
      <c r="B28" s="88">
        <v>46031.0</v>
      </c>
      <c r="C28" s="79"/>
      <c r="D28" s="80" t="s">
        <v>799</v>
      </c>
      <c r="E28" s="226"/>
      <c r="F28" s="79"/>
      <c r="G28" s="79"/>
      <c r="H28" s="81" t="s">
        <v>104</v>
      </c>
      <c r="I28" s="79"/>
      <c r="J28" s="79">
        <v>150.0</v>
      </c>
      <c r="K28" s="79"/>
      <c r="L28" s="79" t="s">
        <v>80</v>
      </c>
      <c r="M28" s="79" t="s">
        <v>800</v>
      </c>
      <c r="N28" s="82">
        <v>150.0</v>
      </c>
      <c r="O28" s="227"/>
      <c r="P28" s="82" t="s">
        <v>47</v>
      </c>
      <c r="Q28" s="83">
        <f t="shared" si="1"/>
        <v>150</v>
      </c>
      <c r="R28" s="229"/>
      <c r="S28" s="211"/>
      <c r="T28" s="230"/>
    </row>
    <row r="29" ht="21.75" customHeight="1">
      <c r="A29" s="228">
        <f t="shared" si="2"/>
        <v>25</v>
      </c>
      <c r="B29" s="87"/>
      <c r="C29" s="79"/>
      <c r="D29" s="80"/>
      <c r="E29" s="226"/>
      <c r="F29" s="79"/>
      <c r="G29" s="79"/>
      <c r="H29" s="81"/>
      <c r="I29" s="79"/>
      <c r="J29" s="79"/>
      <c r="K29" s="79"/>
      <c r="L29" s="79"/>
      <c r="M29" s="79"/>
      <c r="N29" s="82"/>
      <c r="O29" s="227"/>
      <c r="P29" s="82"/>
      <c r="Q29" s="83">
        <f t="shared" si="1"/>
        <v>0</v>
      </c>
      <c r="R29" s="229"/>
      <c r="S29" s="211"/>
      <c r="T29" s="230"/>
    </row>
    <row r="30" ht="21.75" customHeight="1">
      <c r="A30" s="228">
        <f t="shared" si="2"/>
        <v>26</v>
      </c>
      <c r="B30" s="87"/>
      <c r="C30" s="79"/>
      <c r="D30" s="232"/>
      <c r="E30" s="226"/>
      <c r="F30" s="79"/>
      <c r="G30" s="79"/>
      <c r="H30" s="81"/>
      <c r="I30" s="79"/>
      <c r="J30" s="79"/>
      <c r="K30" s="79"/>
      <c r="L30" s="79"/>
      <c r="M30" s="79"/>
      <c r="N30" s="82"/>
      <c r="O30" s="227"/>
      <c r="P30" s="82"/>
      <c r="Q30" s="83">
        <f t="shared" si="1"/>
        <v>0</v>
      </c>
      <c r="R30" s="229"/>
      <c r="S30" s="211"/>
      <c r="T30" s="230"/>
    </row>
    <row r="31" ht="21.75" customHeight="1">
      <c r="A31" s="228">
        <f t="shared" si="2"/>
        <v>27</v>
      </c>
      <c r="B31" s="87"/>
      <c r="C31" s="79"/>
      <c r="D31" s="232"/>
      <c r="E31" s="226"/>
      <c r="F31" s="79"/>
      <c r="G31" s="79"/>
      <c r="H31" s="81"/>
      <c r="I31" s="79"/>
      <c r="J31" s="79"/>
      <c r="K31" s="79"/>
      <c r="L31" s="79"/>
      <c r="M31" s="79"/>
      <c r="N31" s="82"/>
      <c r="O31" s="227"/>
      <c r="P31" s="82"/>
      <c r="Q31" s="83">
        <f t="shared" si="1"/>
        <v>0</v>
      </c>
      <c r="R31" s="229"/>
      <c r="S31" s="211"/>
      <c r="T31" s="230"/>
    </row>
    <row r="32" ht="21.75" customHeight="1">
      <c r="A32" s="228">
        <f t="shared" si="2"/>
        <v>28</v>
      </c>
      <c r="B32" s="87"/>
      <c r="C32" s="79"/>
      <c r="D32" s="232"/>
      <c r="E32" s="226"/>
      <c r="F32" s="79"/>
      <c r="G32" s="79"/>
      <c r="H32" s="81"/>
      <c r="I32" s="79"/>
      <c r="J32" s="79"/>
      <c r="K32" s="79"/>
      <c r="L32" s="79"/>
      <c r="M32" s="79"/>
      <c r="N32" s="82"/>
      <c r="O32" s="227"/>
      <c r="P32" s="82"/>
      <c r="Q32" s="83">
        <f t="shared" si="1"/>
        <v>0</v>
      </c>
      <c r="R32" s="84" t="s">
        <v>74</v>
      </c>
      <c r="S32" s="211"/>
      <c r="T32" s="230"/>
    </row>
    <row r="33" ht="21.75" customHeight="1">
      <c r="A33" s="233" t="s">
        <v>104</v>
      </c>
      <c r="B33" s="87"/>
      <c r="C33" s="79"/>
      <c r="D33" s="232"/>
      <c r="E33" s="226"/>
      <c r="F33" s="79"/>
      <c r="G33" s="79"/>
      <c r="H33" s="81"/>
      <c r="I33" s="79"/>
      <c r="J33" s="79"/>
      <c r="K33" s="79"/>
      <c r="L33" s="79"/>
      <c r="M33" s="79"/>
      <c r="N33" s="82"/>
      <c r="O33" s="227"/>
      <c r="P33" s="82"/>
      <c r="Q33" s="83"/>
      <c r="R33" s="229"/>
      <c r="S33" s="211"/>
      <c r="T33" s="230"/>
    </row>
    <row r="34" ht="21.75" customHeight="1">
      <c r="A34" s="233" t="s">
        <v>104</v>
      </c>
      <c r="B34" s="87"/>
      <c r="C34" s="79"/>
      <c r="D34" s="232"/>
      <c r="E34" s="226"/>
      <c r="F34" s="79"/>
      <c r="G34" s="79"/>
      <c r="H34" s="81"/>
      <c r="I34" s="79"/>
      <c r="J34" s="79"/>
      <c r="K34" s="79"/>
      <c r="L34" s="79"/>
      <c r="M34" s="79"/>
      <c r="N34" s="82"/>
      <c r="O34" s="227"/>
      <c r="P34" s="82"/>
      <c r="Q34" s="83"/>
      <c r="R34" s="229"/>
      <c r="S34" s="211"/>
      <c r="T34" s="230"/>
    </row>
    <row r="35" ht="21.75" customHeight="1">
      <c r="A35" s="233" t="s">
        <v>104</v>
      </c>
      <c r="B35" s="87"/>
      <c r="C35" s="79"/>
      <c r="D35" s="232"/>
      <c r="E35" s="226"/>
      <c r="F35" s="79"/>
      <c r="G35" s="79"/>
      <c r="H35" s="81"/>
      <c r="I35" s="79"/>
      <c r="J35" s="79"/>
      <c r="K35" s="79"/>
      <c r="L35" s="79"/>
      <c r="M35" s="79"/>
      <c r="N35" s="82"/>
      <c r="O35" s="227"/>
      <c r="P35" s="82"/>
      <c r="Q35" s="83"/>
      <c r="R35" s="229"/>
      <c r="S35" s="211"/>
      <c r="T35" s="230"/>
    </row>
    <row r="36" ht="21.75" customHeight="1">
      <c r="A36" s="234">
        <v>1.0</v>
      </c>
      <c r="B36" s="88">
        <v>46034.0</v>
      </c>
      <c r="C36" s="79" t="s">
        <v>801</v>
      </c>
      <c r="D36" s="80" t="s">
        <v>802</v>
      </c>
      <c r="E36" s="226"/>
      <c r="F36" s="79"/>
      <c r="G36" s="79"/>
      <c r="H36" s="81"/>
      <c r="I36" s="79" t="s">
        <v>104</v>
      </c>
      <c r="J36" s="79">
        <v>150.0</v>
      </c>
      <c r="K36" s="79"/>
      <c r="L36" s="79" t="s">
        <v>80</v>
      </c>
      <c r="M36" s="79" t="s">
        <v>81</v>
      </c>
      <c r="N36" s="82">
        <v>150.0</v>
      </c>
      <c r="O36" s="227"/>
      <c r="P36" s="82" t="s">
        <v>47</v>
      </c>
      <c r="Q36" s="83">
        <f t="shared" ref="Q36:Q63" si="3">N36+O36</f>
        <v>150</v>
      </c>
      <c r="R36" s="84" t="s">
        <v>74</v>
      </c>
      <c r="S36" s="211"/>
      <c r="T36" s="230"/>
    </row>
    <row r="37" ht="21.75" customHeight="1">
      <c r="A37" s="235">
        <f t="shared" ref="A37:A63" si="4">A36+1</f>
        <v>2</v>
      </c>
      <c r="B37" s="86">
        <v>46034.0</v>
      </c>
      <c r="C37" s="79">
        <v>4.7915079E7</v>
      </c>
      <c r="D37" s="128" t="s">
        <v>803</v>
      </c>
      <c r="E37" s="79" t="s">
        <v>794</v>
      </c>
      <c r="F37" s="79" t="s">
        <v>804</v>
      </c>
      <c r="G37" s="79" t="s">
        <v>796</v>
      </c>
      <c r="H37" s="81"/>
      <c r="I37" s="79" t="s">
        <v>79</v>
      </c>
      <c r="J37" s="79"/>
      <c r="K37" s="79"/>
      <c r="L37" s="79"/>
      <c r="M37" s="79"/>
      <c r="N37" s="82">
        <v>0.0</v>
      </c>
      <c r="O37" s="227"/>
      <c r="P37" s="82" t="s">
        <v>45</v>
      </c>
      <c r="Q37" s="83">
        <f t="shared" si="3"/>
        <v>0</v>
      </c>
      <c r="R37" s="229"/>
      <c r="S37" s="211"/>
      <c r="T37" s="230"/>
    </row>
    <row r="38" ht="21.75" customHeight="1">
      <c r="A38" s="235">
        <f t="shared" si="4"/>
        <v>3</v>
      </c>
      <c r="B38" s="86">
        <v>46034.0</v>
      </c>
      <c r="C38" s="79">
        <v>4.1151304E7</v>
      </c>
      <c r="D38" s="80" t="s">
        <v>805</v>
      </c>
      <c r="E38" s="226" t="s">
        <v>806</v>
      </c>
      <c r="F38" s="79" t="s">
        <v>807</v>
      </c>
      <c r="G38" s="155">
        <v>9.83849673E8</v>
      </c>
      <c r="H38" s="81"/>
      <c r="I38" s="79" t="s">
        <v>79</v>
      </c>
      <c r="J38" s="79">
        <v>140.0</v>
      </c>
      <c r="K38" s="79"/>
      <c r="L38" s="79" t="s">
        <v>80</v>
      </c>
      <c r="M38" s="79" t="s">
        <v>81</v>
      </c>
      <c r="N38" s="82">
        <v>140.0</v>
      </c>
      <c r="O38" s="227"/>
      <c r="P38" s="82" t="s">
        <v>45</v>
      </c>
      <c r="Q38" s="83">
        <f t="shared" si="3"/>
        <v>140</v>
      </c>
      <c r="R38" s="229"/>
      <c r="S38" s="211"/>
      <c r="T38" s="230"/>
    </row>
    <row r="39" ht="21.75" customHeight="1">
      <c r="A39" s="235">
        <f t="shared" si="4"/>
        <v>4</v>
      </c>
      <c r="B39" s="86">
        <v>46034.0</v>
      </c>
      <c r="C39" s="79">
        <v>4.3903012E7</v>
      </c>
      <c r="D39" s="80" t="s">
        <v>808</v>
      </c>
      <c r="E39" s="226" t="s">
        <v>809</v>
      </c>
      <c r="F39" s="79" t="s">
        <v>807</v>
      </c>
      <c r="G39" s="155">
        <v>9.83849673E8</v>
      </c>
      <c r="H39" s="81"/>
      <c r="I39" s="79" t="s">
        <v>79</v>
      </c>
      <c r="J39" s="79">
        <v>140.0</v>
      </c>
      <c r="K39" s="79"/>
      <c r="L39" s="79" t="s">
        <v>80</v>
      </c>
      <c r="M39" s="79" t="s">
        <v>81</v>
      </c>
      <c r="N39" s="82">
        <v>140.0</v>
      </c>
      <c r="O39" s="227"/>
      <c r="P39" s="82" t="s">
        <v>45</v>
      </c>
      <c r="Q39" s="83">
        <f t="shared" si="3"/>
        <v>140</v>
      </c>
      <c r="R39" s="229"/>
      <c r="S39" s="211"/>
      <c r="T39" s="230"/>
    </row>
    <row r="40" ht="21.75" customHeight="1">
      <c r="A40" s="235">
        <f t="shared" si="4"/>
        <v>5</v>
      </c>
      <c r="B40" s="86">
        <v>46034.0</v>
      </c>
      <c r="C40" s="79">
        <v>4.233362E7</v>
      </c>
      <c r="D40" s="80" t="s">
        <v>810</v>
      </c>
      <c r="E40" s="236" t="s">
        <v>811</v>
      </c>
      <c r="F40" s="79" t="s">
        <v>807</v>
      </c>
      <c r="G40" s="155">
        <v>9.83849673E8</v>
      </c>
      <c r="H40" s="81"/>
      <c r="I40" s="79" t="s">
        <v>79</v>
      </c>
      <c r="J40" s="79">
        <v>140.0</v>
      </c>
      <c r="K40" s="79"/>
      <c r="L40" s="79" t="s">
        <v>80</v>
      </c>
      <c r="M40" s="79" t="s">
        <v>81</v>
      </c>
      <c r="N40" s="82">
        <v>140.0</v>
      </c>
      <c r="O40" s="227"/>
      <c r="P40" s="82" t="s">
        <v>45</v>
      </c>
      <c r="Q40" s="83">
        <f t="shared" si="3"/>
        <v>140</v>
      </c>
      <c r="R40" s="229"/>
      <c r="S40" s="211"/>
      <c r="T40" s="230"/>
    </row>
    <row r="41" ht="21.75" customHeight="1">
      <c r="A41" s="235">
        <f t="shared" si="4"/>
        <v>6</v>
      </c>
      <c r="B41" s="86">
        <v>46035.0</v>
      </c>
      <c r="C41" s="160" t="s">
        <v>812</v>
      </c>
      <c r="D41" s="80" t="s">
        <v>813</v>
      </c>
      <c r="E41" s="226"/>
      <c r="F41" s="79" t="s">
        <v>814</v>
      </c>
      <c r="G41" s="79" t="s">
        <v>815</v>
      </c>
      <c r="H41" s="81"/>
      <c r="I41" s="79" t="s">
        <v>79</v>
      </c>
      <c r="J41" s="79">
        <v>150.0</v>
      </c>
      <c r="K41" s="79"/>
      <c r="L41" s="79" t="s">
        <v>80</v>
      </c>
      <c r="M41" s="79" t="s">
        <v>174</v>
      </c>
      <c r="N41" s="82">
        <v>150.0</v>
      </c>
      <c r="O41" s="227"/>
      <c r="P41" s="82" t="s">
        <v>45</v>
      </c>
      <c r="Q41" s="83">
        <f t="shared" si="3"/>
        <v>150</v>
      </c>
      <c r="R41" s="229"/>
      <c r="S41" s="211"/>
      <c r="T41" s="230"/>
    </row>
    <row r="42" ht="21.75" customHeight="1">
      <c r="A42" s="237">
        <f t="shared" si="4"/>
        <v>7</v>
      </c>
      <c r="B42" s="86">
        <v>46036.0</v>
      </c>
      <c r="C42" s="79">
        <v>1.5607314737E10</v>
      </c>
      <c r="D42" s="80" t="s">
        <v>816</v>
      </c>
      <c r="E42" s="226" t="s">
        <v>817</v>
      </c>
      <c r="F42" s="79" t="s">
        <v>272</v>
      </c>
      <c r="G42" s="79" t="s">
        <v>818</v>
      </c>
      <c r="H42" s="81"/>
      <c r="I42" s="79" t="s">
        <v>79</v>
      </c>
      <c r="J42" s="79">
        <v>62.5</v>
      </c>
      <c r="K42" s="79">
        <v>62.5</v>
      </c>
      <c r="L42" s="79" t="s">
        <v>93</v>
      </c>
      <c r="M42" s="79" t="s">
        <v>81</v>
      </c>
      <c r="N42" s="82">
        <v>62.5</v>
      </c>
      <c r="O42" s="227">
        <v>62.5</v>
      </c>
      <c r="P42" s="82" t="s">
        <v>45</v>
      </c>
      <c r="Q42" s="83">
        <f t="shared" si="3"/>
        <v>125</v>
      </c>
      <c r="R42" s="229"/>
      <c r="S42" s="211"/>
      <c r="T42" s="230"/>
    </row>
    <row r="43" ht="21.75" customHeight="1">
      <c r="A43" s="237">
        <f t="shared" si="4"/>
        <v>8</v>
      </c>
      <c r="B43" s="86">
        <v>46036.0</v>
      </c>
      <c r="C43" s="160" t="s">
        <v>819</v>
      </c>
      <c r="D43" s="80" t="s">
        <v>820</v>
      </c>
      <c r="E43" s="226" t="s">
        <v>821</v>
      </c>
      <c r="F43" s="79" t="s">
        <v>272</v>
      </c>
      <c r="G43" s="79"/>
      <c r="H43" s="81"/>
      <c r="I43" s="79" t="s">
        <v>79</v>
      </c>
      <c r="J43" s="79">
        <v>62.5</v>
      </c>
      <c r="K43" s="79">
        <v>62.5</v>
      </c>
      <c r="L43" s="79" t="s">
        <v>93</v>
      </c>
      <c r="M43" s="79" t="s">
        <v>81</v>
      </c>
      <c r="N43" s="82">
        <v>62.5</v>
      </c>
      <c r="O43" s="227">
        <v>62.5</v>
      </c>
      <c r="P43" s="82" t="s">
        <v>45</v>
      </c>
      <c r="Q43" s="83">
        <f t="shared" si="3"/>
        <v>125</v>
      </c>
      <c r="R43" s="229"/>
      <c r="S43" s="211"/>
      <c r="T43" s="230"/>
    </row>
    <row r="44" ht="21.75" customHeight="1">
      <c r="A44" s="235">
        <f t="shared" si="4"/>
        <v>9</v>
      </c>
      <c r="B44" s="86">
        <v>46036.0</v>
      </c>
      <c r="C44" s="79">
        <v>7.2901811E7</v>
      </c>
      <c r="D44" s="80" t="s">
        <v>822</v>
      </c>
      <c r="E44" s="226" t="s">
        <v>823</v>
      </c>
      <c r="F44" s="79" t="s">
        <v>272</v>
      </c>
      <c r="G44" s="79">
        <v>9.23894374E8</v>
      </c>
      <c r="H44" s="81"/>
      <c r="I44" s="79" t="s">
        <v>79</v>
      </c>
      <c r="J44" s="79">
        <v>140.0</v>
      </c>
      <c r="K44" s="79"/>
      <c r="L44" s="79" t="s">
        <v>80</v>
      </c>
      <c r="M44" s="79" t="s">
        <v>81</v>
      </c>
      <c r="N44" s="82">
        <v>140.0</v>
      </c>
      <c r="O44" s="227"/>
      <c r="P44" s="82" t="s">
        <v>45</v>
      </c>
      <c r="Q44" s="83">
        <f t="shared" si="3"/>
        <v>140</v>
      </c>
      <c r="R44" s="229"/>
      <c r="S44" s="211"/>
      <c r="T44" s="230"/>
    </row>
    <row r="45" ht="21.75" customHeight="1">
      <c r="A45" s="235">
        <f t="shared" si="4"/>
        <v>10</v>
      </c>
      <c r="B45" s="225">
        <v>46013.0</v>
      </c>
      <c r="C45" s="79">
        <v>1.0619586E7</v>
      </c>
      <c r="D45" s="80" t="s">
        <v>754</v>
      </c>
      <c r="E45" s="226" t="s">
        <v>755</v>
      </c>
      <c r="F45" s="79" t="s">
        <v>226</v>
      </c>
      <c r="G45" s="79" t="s">
        <v>756</v>
      </c>
      <c r="H45" s="81"/>
      <c r="I45" s="79" t="s">
        <v>79</v>
      </c>
      <c r="J45" s="79">
        <v>0.0</v>
      </c>
      <c r="K45" s="79">
        <v>75.0</v>
      </c>
      <c r="L45" s="79" t="s">
        <v>93</v>
      </c>
      <c r="M45" s="79" t="s">
        <v>81</v>
      </c>
      <c r="N45" s="82">
        <v>0.0</v>
      </c>
      <c r="O45" s="227">
        <v>75.0</v>
      </c>
      <c r="P45" s="82" t="s">
        <v>50</v>
      </c>
      <c r="Q45" s="83">
        <f t="shared" si="3"/>
        <v>75</v>
      </c>
      <c r="R45" s="229" t="s">
        <v>824</v>
      </c>
      <c r="S45" s="211"/>
      <c r="T45" s="230"/>
    </row>
    <row r="46" ht="21.75" customHeight="1">
      <c r="A46" s="235">
        <f t="shared" si="4"/>
        <v>11</v>
      </c>
      <c r="B46" s="86">
        <v>46036.0</v>
      </c>
      <c r="C46" s="79">
        <v>2.8316449E7</v>
      </c>
      <c r="D46" s="128" t="s">
        <v>825</v>
      </c>
      <c r="E46" s="226"/>
      <c r="F46" s="79" t="s">
        <v>409</v>
      </c>
      <c r="G46" s="79" t="s">
        <v>826</v>
      </c>
      <c r="H46" s="81"/>
      <c r="I46" s="79" t="s">
        <v>79</v>
      </c>
      <c r="J46" s="79">
        <v>50.0</v>
      </c>
      <c r="K46" s="79">
        <v>90.0</v>
      </c>
      <c r="L46" s="79" t="s">
        <v>93</v>
      </c>
      <c r="M46" s="79" t="s">
        <v>81</v>
      </c>
      <c r="N46" s="82">
        <v>50.0</v>
      </c>
      <c r="O46" s="227">
        <v>0.0</v>
      </c>
      <c r="P46" s="82" t="s">
        <v>45</v>
      </c>
      <c r="Q46" s="83">
        <f t="shared" si="3"/>
        <v>50</v>
      </c>
      <c r="R46" s="229"/>
      <c r="S46" s="211"/>
      <c r="T46" s="230"/>
    </row>
    <row r="47" ht="21.75" customHeight="1">
      <c r="A47" s="235">
        <f t="shared" si="4"/>
        <v>12</v>
      </c>
      <c r="B47" s="132">
        <v>46036.0</v>
      </c>
      <c r="C47" s="238">
        <v>7.6601657E7</v>
      </c>
      <c r="D47" s="149" t="s">
        <v>492</v>
      </c>
      <c r="E47" s="179" t="s">
        <v>827</v>
      </c>
      <c r="F47" s="158" t="s">
        <v>494</v>
      </c>
      <c r="G47" s="79"/>
      <c r="H47" s="81"/>
      <c r="I47" s="79" t="s">
        <v>104</v>
      </c>
      <c r="J47" s="79">
        <v>150.0</v>
      </c>
      <c r="K47" s="79"/>
      <c r="L47" s="79"/>
      <c r="M47" s="79"/>
      <c r="N47" s="82">
        <v>150.0</v>
      </c>
      <c r="O47" s="227"/>
      <c r="P47" s="82" t="s">
        <v>44</v>
      </c>
      <c r="Q47" s="83">
        <f t="shared" si="3"/>
        <v>150</v>
      </c>
      <c r="R47" s="229"/>
      <c r="S47" s="211"/>
      <c r="T47" s="230"/>
    </row>
    <row r="48" ht="21.75" customHeight="1">
      <c r="A48" s="235">
        <f t="shared" si="4"/>
        <v>13</v>
      </c>
      <c r="B48" s="78">
        <v>46038.0</v>
      </c>
      <c r="C48" s="151">
        <v>7.6799413E7</v>
      </c>
      <c r="D48" s="151" t="s">
        <v>503</v>
      </c>
      <c r="E48" s="168" t="s">
        <v>504</v>
      </c>
      <c r="F48" s="168" t="s">
        <v>141</v>
      </c>
      <c r="G48" s="154" t="s">
        <v>505</v>
      </c>
      <c r="H48" s="81"/>
      <c r="I48" s="79" t="s">
        <v>79</v>
      </c>
      <c r="J48" s="79">
        <v>0.0</v>
      </c>
      <c r="K48" s="79"/>
      <c r="L48" s="79"/>
      <c r="M48" s="79"/>
      <c r="N48" s="82">
        <v>0.0</v>
      </c>
      <c r="O48" s="227"/>
      <c r="P48" s="82" t="s">
        <v>50</v>
      </c>
      <c r="Q48" s="83">
        <f t="shared" si="3"/>
        <v>0</v>
      </c>
      <c r="R48" s="229" t="s">
        <v>506</v>
      </c>
      <c r="S48" s="211"/>
      <c r="T48" s="230"/>
    </row>
    <row r="49" ht="21.75" customHeight="1">
      <c r="A49" s="235">
        <f t="shared" si="4"/>
        <v>14</v>
      </c>
      <c r="B49" s="88">
        <v>46038.0</v>
      </c>
      <c r="C49" s="79"/>
      <c r="D49" s="80" t="s">
        <v>828</v>
      </c>
      <c r="E49" s="226"/>
      <c r="F49" s="79"/>
      <c r="G49" s="79"/>
      <c r="H49" s="81"/>
      <c r="I49" s="79" t="s">
        <v>104</v>
      </c>
      <c r="J49" s="79">
        <v>70.0</v>
      </c>
      <c r="K49" s="79">
        <v>70.0</v>
      </c>
      <c r="L49" s="79" t="s">
        <v>93</v>
      </c>
      <c r="M49" s="79" t="s">
        <v>81</v>
      </c>
      <c r="N49" s="82">
        <v>70.0</v>
      </c>
      <c r="O49" s="227">
        <v>70.0</v>
      </c>
      <c r="P49" s="82" t="s">
        <v>47</v>
      </c>
      <c r="Q49" s="83">
        <f t="shared" si="3"/>
        <v>140</v>
      </c>
      <c r="R49" s="229"/>
      <c r="S49" s="211"/>
      <c r="T49" s="230"/>
    </row>
    <row r="50" ht="21.75" customHeight="1">
      <c r="A50" s="235">
        <f t="shared" si="4"/>
        <v>15</v>
      </c>
      <c r="B50" s="88">
        <v>46038.0</v>
      </c>
      <c r="C50" s="79"/>
      <c r="D50" s="128" t="s">
        <v>829</v>
      </c>
      <c r="E50" s="226"/>
      <c r="F50" s="79"/>
      <c r="G50" s="79"/>
      <c r="H50" s="81"/>
      <c r="I50" s="79" t="s">
        <v>104</v>
      </c>
      <c r="J50" s="79">
        <v>75.0</v>
      </c>
      <c r="K50" s="79">
        <v>75.0</v>
      </c>
      <c r="L50" s="79" t="s">
        <v>93</v>
      </c>
      <c r="M50" s="79" t="s">
        <v>81</v>
      </c>
      <c r="N50" s="82">
        <v>75.0</v>
      </c>
      <c r="O50" s="227">
        <v>0.0</v>
      </c>
      <c r="P50" s="82" t="s">
        <v>47</v>
      </c>
      <c r="Q50" s="83">
        <f t="shared" si="3"/>
        <v>75</v>
      </c>
      <c r="R50" s="229"/>
      <c r="S50" s="211"/>
      <c r="T50" s="230"/>
    </row>
    <row r="51" ht="21.75" customHeight="1">
      <c r="A51" s="235">
        <f t="shared" si="4"/>
        <v>16</v>
      </c>
      <c r="B51" s="88">
        <v>46038.0</v>
      </c>
      <c r="C51" s="79"/>
      <c r="D51" s="80" t="s">
        <v>830</v>
      </c>
      <c r="E51" s="226"/>
      <c r="F51" s="79"/>
      <c r="G51" s="79"/>
      <c r="H51" s="81"/>
      <c r="I51" s="79" t="s">
        <v>104</v>
      </c>
      <c r="J51" s="79">
        <v>140.0</v>
      </c>
      <c r="K51" s="79"/>
      <c r="L51" s="79" t="s">
        <v>80</v>
      </c>
      <c r="M51" s="79" t="s">
        <v>81</v>
      </c>
      <c r="N51" s="82">
        <v>140.0</v>
      </c>
      <c r="O51" s="227"/>
      <c r="P51" s="82" t="s">
        <v>47</v>
      </c>
      <c r="Q51" s="83">
        <f t="shared" si="3"/>
        <v>140</v>
      </c>
      <c r="R51" s="229"/>
      <c r="S51" s="211"/>
      <c r="T51" s="230"/>
    </row>
    <row r="52" ht="21.75" customHeight="1">
      <c r="A52" s="235">
        <f t="shared" si="4"/>
        <v>17</v>
      </c>
      <c r="B52" s="87"/>
      <c r="C52" s="79"/>
      <c r="D52" s="80"/>
      <c r="E52" s="226"/>
      <c r="F52" s="79"/>
      <c r="G52" s="79"/>
      <c r="H52" s="81"/>
      <c r="I52" s="79"/>
      <c r="J52" s="79"/>
      <c r="K52" s="79"/>
      <c r="L52" s="79"/>
      <c r="M52" s="79"/>
      <c r="N52" s="82"/>
      <c r="O52" s="227"/>
      <c r="P52" s="82"/>
      <c r="Q52" s="83">
        <f t="shared" si="3"/>
        <v>0</v>
      </c>
      <c r="R52" s="229"/>
      <c r="S52" s="211"/>
      <c r="T52" s="230"/>
    </row>
    <row r="53" ht="21.75" customHeight="1">
      <c r="A53" s="235">
        <f t="shared" si="4"/>
        <v>18</v>
      </c>
      <c r="B53" s="87"/>
      <c r="C53" s="79"/>
      <c r="D53" s="232"/>
      <c r="E53" s="226"/>
      <c r="F53" s="79"/>
      <c r="G53" s="79"/>
      <c r="H53" s="81"/>
      <c r="I53" s="79"/>
      <c r="J53" s="79"/>
      <c r="K53" s="79"/>
      <c r="L53" s="79"/>
      <c r="M53" s="79"/>
      <c r="N53" s="82"/>
      <c r="O53" s="227"/>
      <c r="P53" s="82"/>
      <c r="Q53" s="83">
        <f t="shared" si="3"/>
        <v>0</v>
      </c>
      <c r="R53" s="229"/>
      <c r="S53" s="211"/>
      <c r="T53" s="230"/>
    </row>
    <row r="54" ht="21.75" customHeight="1">
      <c r="A54" s="235">
        <f t="shared" si="4"/>
        <v>19</v>
      </c>
      <c r="B54" s="87"/>
      <c r="C54" s="79"/>
      <c r="D54" s="232"/>
      <c r="E54" s="226"/>
      <c r="F54" s="79"/>
      <c r="G54" s="79"/>
      <c r="H54" s="81"/>
      <c r="I54" s="79"/>
      <c r="J54" s="79"/>
      <c r="K54" s="79"/>
      <c r="L54" s="79"/>
      <c r="M54" s="79"/>
      <c r="N54" s="82"/>
      <c r="O54" s="227"/>
      <c r="P54" s="82"/>
      <c r="Q54" s="83">
        <f t="shared" si="3"/>
        <v>0</v>
      </c>
      <c r="R54" s="229"/>
      <c r="S54" s="211"/>
      <c r="T54" s="230"/>
    </row>
    <row r="55" ht="21.75" customHeight="1">
      <c r="A55" s="235">
        <f t="shared" si="4"/>
        <v>20</v>
      </c>
      <c r="B55" s="87"/>
      <c r="C55" s="79"/>
      <c r="D55" s="232"/>
      <c r="E55" s="226"/>
      <c r="F55" s="79"/>
      <c r="G55" s="79"/>
      <c r="H55" s="81"/>
      <c r="I55" s="79"/>
      <c r="J55" s="79"/>
      <c r="K55" s="79"/>
      <c r="L55" s="79"/>
      <c r="M55" s="79"/>
      <c r="N55" s="82"/>
      <c r="O55" s="227"/>
      <c r="P55" s="82"/>
      <c r="Q55" s="83">
        <f t="shared" si="3"/>
        <v>0</v>
      </c>
      <c r="R55" s="229"/>
      <c r="S55" s="211"/>
      <c r="T55" s="230"/>
    </row>
    <row r="56" ht="21.75" customHeight="1">
      <c r="A56" s="235">
        <f t="shared" si="4"/>
        <v>21</v>
      </c>
      <c r="B56" s="87"/>
      <c r="C56" s="79"/>
      <c r="D56" s="232"/>
      <c r="E56" s="226"/>
      <c r="F56" s="79"/>
      <c r="G56" s="79"/>
      <c r="H56" s="81"/>
      <c r="I56" s="79"/>
      <c r="J56" s="79"/>
      <c r="K56" s="79"/>
      <c r="L56" s="79"/>
      <c r="M56" s="79"/>
      <c r="N56" s="82"/>
      <c r="O56" s="227"/>
      <c r="P56" s="82"/>
      <c r="Q56" s="83">
        <f t="shared" si="3"/>
        <v>0</v>
      </c>
      <c r="R56" s="229"/>
      <c r="S56" s="211"/>
      <c r="T56" s="230"/>
    </row>
    <row r="57" ht="21.75" customHeight="1">
      <c r="A57" s="235">
        <f t="shared" si="4"/>
        <v>22</v>
      </c>
      <c r="B57" s="87"/>
      <c r="C57" s="79"/>
      <c r="D57" s="232"/>
      <c r="E57" s="226"/>
      <c r="F57" s="79"/>
      <c r="G57" s="79"/>
      <c r="H57" s="81"/>
      <c r="I57" s="79"/>
      <c r="J57" s="79"/>
      <c r="K57" s="79"/>
      <c r="L57" s="79"/>
      <c r="M57" s="79"/>
      <c r="N57" s="82"/>
      <c r="O57" s="227"/>
      <c r="P57" s="82"/>
      <c r="Q57" s="83">
        <f t="shared" si="3"/>
        <v>0</v>
      </c>
      <c r="R57" s="229"/>
      <c r="S57" s="211"/>
      <c r="T57" s="230"/>
    </row>
    <row r="58" ht="21.75" customHeight="1">
      <c r="A58" s="235">
        <f t="shared" si="4"/>
        <v>23</v>
      </c>
      <c r="B58" s="87"/>
      <c r="C58" s="79"/>
      <c r="D58" s="232"/>
      <c r="E58" s="226"/>
      <c r="F58" s="79"/>
      <c r="G58" s="79"/>
      <c r="H58" s="81"/>
      <c r="I58" s="79"/>
      <c r="J58" s="79"/>
      <c r="K58" s="79"/>
      <c r="L58" s="79"/>
      <c r="M58" s="79"/>
      <c r="N58" s="82"/>
      <c r="O58" s="227"/>
      <c r="P58" s="82"/>
      <c r="Q58" s="83">
        <f t="shared" si="3"/>
        <v>0</v>
      </c>
      <c r="R58" s="229"/>
      <c r="S58" s="211"/>
      <c r="T58" s="230"/>
    </row>
    <row r="59" ht="21.75" customHeight="1">
      <c r="A59" s="235">
        <f t="shared" si="4"/>
        <v>24</v>
      </c>
      <c r="B59" s="87"/>
      <c r="C59" s="79"/>
      <c r="D59" s="232"/>
      <c r="E59" s="226"/>
      <c r="F59" s="79"/>
      <c r="G59" s="79"/>
      <c r="H59" s="81"/>
      <c r="I59" s="79"/>
      <c r="J59" s="79"/>
      <c r="K59" s="79"/>
      <c r="L59" s="79"/>
      <c r="M59" s="79"/>
      <c r="N59" s="82"/>
      <c r="O59" s="227"/>
      <c r="P59" s="82"/>
      <c r="Q59" s="83">
        <f t="shared" si="3"/>
        <v>0</v>
      </c>
      <c r="R59" s="229"/>
      <c r="S59" s="211"/>
      <c r="T59" s="230"/>
    </row>
    <row r="60" ht="21.75" customHeight="1">
      <c r="A60" s="235">
        <f t="shared" si="4"/>
        <v>25</v>
      </c>
      <c r="B60" s="87"/>
      <c r="C60" s="79"/>
      <c r="D60" s="232"/>
      <c r="E60" s="226"/>
      <c r="F60" s="79"/>
      <c r="G60" s="79"/>
      <c r="H60" s="81"/>
      <c r="I60" s="239"/>
      <c r="J60" s="79"/>
      <c r="K60" s="79"/>
      <c r="L60" s="79"/>
      <c r="M60" s="79"/>
      <c r="N60" s="82"/>
      <c r="O60" s="227"/>
      <c r="P60" s="82"/>
      <c r="Q60" s="83">
        <f t="shared" si="3"/>
        <v>0</v>
      </c>
      <c r="R60" s="229"/>
      <c r="S60" s="211"/>
      <c r="T60" s="230"/>
    </row>
    <row r="61" ht="21.75" customHeight="1">
      <c r="A61" s="235">
        <f t="shared" si="4"/>
        <v>26</v>
      </c>
      <c r="B61" s="87"/>
      <c r="C61" s="79"/>
      <c r="D61" s="232"/>
      <c r="E61" s="226"/>
      <c r="F61" s="79"/>
      <c r="G61" s="79"/>
      <c r="H61" s="81"/>
      <c r="I61" s="79"/>
      <c r="J61" s="79"/>
      <c r="K61" s="79"/>
      <c r="L61" s="79"/>
      <c r="M61" s="79"/>
      <c r="N61" s="82"/>
      <c r="O61" s="227"/>
      <c r="P61" s="82"/>
      <c r="Q61" s="83">
        <f t="shared" si="3"/>
        <v>0</v>
      </c>
      <c r="R61" s="229"/>
      <c r="S61" s="211"/>
      <c r="T61" s="230"/>
    </row>
    <row r="62" ht="21.75" customHeight="1">
      <c r="A62" s="235">
        <f t="shared" si="4"/>
        <v>27</v>
      </c>
      <c r="B62" s="87"/>
      <c r="C62" s="79"/>
      <c r="D62" s="232"/>
      <c r="E62" s="226"/>
      <c r="F62" s="79"/>
      <c r="G62" s="79"/>
      <c r="H62" s="81"/>
      <c r="I62" s="79"/>
      <c r="J62" s="79"/>
      <c r="K62" s="79"/>
      <c r="L62" s="79"/>
      <c r="M62" s="79"/>
      <c r="N62" s="82"/>
      <c r="O62" s="227"/>
      <c r="P62" s="82"/>
      <c r="Q62" s="83">
        <f t="shared" si="3"/>
        <v>0</v>
      </c>
      <c r="R62" s="229"/>
      <c r="S62" s="211"/>
      <c r="T62" s="230"/>
    </row>
    <row r="63" ht="21.75" customHeight="1">
      <c r="A63" s="235">
        <f t="shared" si="4"/>
        <v>28</v>
      </c>
      <c r="B63" s="87"/>
      <c r="C63" s="79"/>
      <c r="D63" s="232"/>
      <c r="E63" s="226"/>
      <c r="F63" s="79"/>
      <c r="G63" s="79"/>
      <c r="H63" s="81"/>
      <c r="I63" s="79"/>
      <c r="J63" s="79"/>
      <c r="K63" s="79"/>
      <c r="L63" s="79"/>
      <c r="M63" s="79"/>
      <c r="N63" s="82"/>
      <c r="O63" s="227"/>
      <c r="P63" s="82"/>
      <c r="Q63" s="83">
        <f t="shared" si="3"/>
        <v>0</v>
      </c>
      <c r="R63" s="84" t="s">
        <v>74</v>
      </c>
      <c r="S63" s="211"/>
      <c r="T63" s="230"/>
    </row>
    <row r="64" ht="21.75" customHeight="1">
      <c r="A64" s="233" t="s">
        <v>104</v>
      </c>
      <c r="B64" s="87"/>
      <c r="C64" s="151"/>
      <c r="D64" s="240"/>
      <c r="E64" s="168"/>
      <c r="F64" s="241"/>
      <c r="G64" s="154"/>
      <c r="H64" s="242"/>
      <c r="I64" s="243"/>
      <c r="J64" s="242"/>
      <c r="K64" s="242"/>
      <c r="L64" s="154"/>
      <c r="M64" s="154"/>
      <c r="N64" s="244"/>
      <c r="O64" s="244"/>
      <c r="P64" s="245"/>
      <c r="Q64" s="246"/>
      <c r="R64" s="229"/>
      <c r="S64" s="211"/>
      <c r="T64" s="230"/>
    </row>
    <row r="65" ht="21.75" customHeight="1">
      <c r="A65" s="233" t="s">
        <v>104</v>
      </c>
      <c r="B65" s="87"/>
      <c r="C65" s="151"/>
      <c r="D65" s="240"/>
      <c r="E65" s="168"/>
      <c r="F65" s="241"/>
      <c r="G65" s="154"/>
      <c r="H65" s="242"/>
      <c r="I65" s="243"/>
      <c r="J65" s="242"/>
      <c r="K65" s="242"/>
      <c r="L65" s="154"/>
      <c r="M65" s="154"/>
      <c r="N65" s="244"/>
      <c r="O65" s="244"/>
      <c r="P65" s="245"/>
      <c r="Q65" s="246"/>
      <c r="R65" s="229"/>
      <c r="S65" s="211"/>
      <c r="T65" s="230"/>
    </row>
    <row r="66" ht="21.75" customHeight="1">
      <c r="A66" s="233" t="s">
        <v>104</v>
      </c>
      <c r="B66" s="87"/>
      <c r="C66" s="151"/>
      <c r="D66" s="240"/>
      <c r="E66" s="168"/>
      <c r="F66" s="241"/>
      <c r="G66" s="154"/>
      <c r="H66" s="242"/>
      <c r="I66" s="243"/>
      <c r="J66" s="242"/>
      <c r="K66" s="242"/>
      <c r="L66" s="154"/>
      <c r="M66" s="154"/>
      <c r="N66" s="244"/>
      <c r="O66" s="244"/>
      <c r="P66" s="245"/>
      <c r="Q66" s="246"/>
      <c r="R66" s="229"/>
      <c r="S66" s="211"/>
      <c r="T66" s="230"/>
    </row>
    <row r="67" ht="21.75" customHeight="1">
      <c r="A67" s="247"/>
      <c r="B67" s="248"/>
      <c r="C67" s="247"/>
      <c r="D67" s="247"/>
      <c r="E67" s="247"/>
      <c r="F67" s="247"/>
      <c r="G67" s="249" t="s">
        <v>178</v>
      </c>
      <c r="H67" s="250">
        <f t="shared" ref="H67:I67" si="5">COUNTIF(H4:H66,"X")</f>
        <v>24</v>
      </c>
      <c r="I67" s="250">
        <f t="shared" si="5"/>
        <v>16</v>
      </c>
      <c r="J67" s="251">
        <f t="shared" ref="J67:K67" si="6">SUM(J4:J66)</f>
        <v>4300</v>
      </c>
      <c r="K67" s="251">
        <f t="shared" si="6"/>
        <v>1230</v>
      </c>
      <c r="L67" s="252"/>
      <c r="M67" s="253"/>
      <c r="N67" s="251">
        <f t="shared" ref="N67:O67" si="7">SUM(N4:N66)</f>
        <v>4292.64</v>
      </c>
      <c r="O67" s="251">
        <f t="shared" si="7"/>
        <v>640</v>
      </c>
      <c r="P67" s="247"/>
      <c r="Q67" s="254"/>
      <c r="R67" s="253"/>
      <c r="S67" s="212"/>
      <c r="T67" s="169"/>
    </row>
    <row r="68" ht="19.5" customHeight="1">
      <c r="A68" s="105"/>
      <c r="B68" s="255"/>
      <c r="C68" s="105"/>
      <c r="D68" s="105"/>
      <c r="E68" s="105"/>
      <c r="F68" s="105"/>
      <c r="G68" s="256" t="s">
        <v>179</v>
      </c>
      <c r="H68" s="257">
        <v>28.0</v>
      </c>
      <c r="I68" s="257">
        <v>28.0</v>
      </c>
      <c r="J68" s="258">
        <f>SUM(J67:K67)</f>
        <v>5530</v>
      </c>
      <c r="K68" s="103"/>
      <c r="L68" s="105"/>
      <c r="M68" s="169"/>
      <c r="N68" s="258">
        <f>SUM(N67:O67)</f>
        <v>4932.64</v>
      </c>
      <c r="O68" s="103"/>
      <c r="P68" s="105"/>
      <c r="Q68" s="259"/>
      <c r="R68" s="169"/>
      <c r="S68" s="212"/>
      <c r="T68" s="169"/>
    </row>
    <row r="69" ht="19.5" customHeight="1">
      <c r="A69" s="105"/>
      <c r="B69" s="255"/>
      <c r="C69" s="105"/>
      <c r="D69" s="169"/>
      <c r="E69" s="169"/>
      <c r="F69" s="169"/>
      <c r="G69" s="260" t="s">
        <v>180</v>
      </c>
      <c r="H69" s="261">
        <f t="shared" ref="H69:I69" si="8">H68-H67</f>
        <v>4</v>
      </c>
      <c r="I69" s="261">
        <f t="shared" si="8"/>
        <v>12</v>
      </c>
      <c r="J69" s="262" t="s">
        <v>181</v>
      </c>
      <c r="K69" s="109"/>
      <c r="L69" s="105"/>
      <c r="M69" s="169"/>
      <c r="N69" s="262" t="s">
        <v>182</v>
      </c>
      <c r="O69" s="109"/>
      <c r="P69" s="263"/>
      <c r="Q69" s="259"/>
      <c r="R69" s="169"/>
      <c r="S69" s="212"/>
      <c r="T69" s="169"/>
    </row>
    <row r="70" ht="19.5" customHeight="1">
      <c r="A70" s="105"/>
      <c r="B70" s="255"/>
      <c r="C70" s="105"/>
      <c r="D70" s="169"/>
      <c r="E70" s="169"/>
      <c r="F70" s="169"/>
      <c r="G70" s="105"/>
      <c r="H70" s="264">
        <v>140.0</v>
      </c>
      <c r="I70" s="264">
        <v>140.0</v>
      </c>
      <c r="J70" s="105"/>
      <c r="K70" s="105"/>
      <c r="L70" s="105"/>
      <c r="M70" s="169"/>
      <c r="N70" s="263"/>
      <c r="O70" s="263"/>
      <c r="P70" s="263"/>
      <c r="Q70" s="259"/>
      <c r="R70" s="169"/>
      <c r="S70" s="212"/>
      <c r="T70" s="230" t="s">
        <v>68</v>
      </c>
    </row>
    <row r="71" ht="19.5" customHeight="1">
      <c r="A71" s="105"/>
      <c r="B71" s="255"/>
      <c r="C71" s="105"/>
      <c r="D71" s="169"/>
      <c r="E71" s="169"/>
      <c r="F71" s="169"/>
      <c r="G71" s="105"/>
      <c r="H71" s="265">
        <f t="shared" ref="H71:I71" si="9">H69*H70</f>
        <v>560</v>
      </c>
      <c r="I71" s="265">
        <f t="shared" si="9"/>
        <v>1680</v>
      </c>
      <c r="J71" s="105"/>
      <c r="K71" s="105"/>
      <c r="L71" s="105"/>
      <c r="M71" s="169"/>
      <c r="N71" s="263"/>
      <c r="O71" s="263"/>
      <c r="P71" s="263"/>
      <c r="Q71" s="259"/>
      <c r="R71" s="169"/>
      <c r="S71" s="212"/>
      <c r="T71" s="169"/>
    </row>
    <row r="72" ht="19.5" customHeight="1">
      <c r="A72" s="105"/>
      <c r="B72" s="255"/>
      <c r="C72" s="105"/>
      <c r="D72" s="169"/>
      <c r="E72" s="169"/>
      <c r="F72" s="169"/>
      <c r="G72" s="105"/>
      <c r="H72" s="266">
        <f>SUM(H71:I71)</f>
        <v>2240</v>
      </c>
      <c r="I72" s="109"/>
      <c r="J72" s="105"/>
      <c r="K72" s="105"/>
      <c r="L72" s="105"/>
      <c r="M72" s="169"/>
      <c r="N72" s="263"/>
      <c r="O72" s="263"/>
      <c r="P72" s="263"/>
      <c r="Q72" s="259"/>
      <c r="R72" s="169"/>
      <c r="S72" s="212"/>
      <c r="T72" s="169"/>
    </row>
    <row r="73" ht="19.5" customHeight="1">
      <c r="A73" s="105"/>
      <c r="B73" s="255"/>
      <c r="C73" s="105"/>
      <c r="D73" s="169"/>
      <c r="E73" s="169"/>
      <c r="F73" s="169"/>
      <c r="G73" s="105"/>
      <c r="H73" s="105"/>
      <c r="I73" s="105"/>
      <c r="J73" s="105"/>
      <c r="K73" s="105"/>
      <c r="L73" s="105"/>
      <c r="M73" s="169"/>
      <c r="N73" s="169"/>
      <c r="O73" s="169"/>
      <c r="P73" s="169"/>
      <c r="Q73" s="210"/>
      <c r="R73" s="169"/>
      <c r="S73" s="212"/>
      <c r="T73" s="169"/>
    </row>
    <row r="74" ht="19.5" customHeight="1">
      <c r="A74" s="105"/>
      <c r="B74" s="255"/>
      <c r="C74" s="105"/>
      <c r="D74" s="169"/>
      <c r="E74" s="169"/>
      <c r="F74" s="169"/>
      <c r="G74" s="105"/>
      <c r="H74" s="105"/>
      <c r="I74" s="105"/>
      <c r="J74" s="105"/>
      <c r="K74" s="105"/>
      <c r="L74" s="105"/>
      <c r="M74" s="169"/>
      <c r="N74" s="169"/>
      <c r="O74" s="169"/>
      <c r="P74" s="169"/>
      <c r="Q74" s="210"/>
      <c r="R74" s="169"/>
      <c r="S74" s="212"/>
      <c r="T74" s="169"/>
    </row>
    <row r="75" ht="19.5" customHeight="1">
      <c r="A75" s="105"/>
      <c r="B75" s="255"/>
      <c r="C75" s="105"/>
      <c r="D75" s="169"/>
      <c r="E75" s="169"/>
      <c r="F75" s="169"/>
      <c r="G75" s="105"/>
      <c r="H75" s="105"/>
      <c r="I75" s="105"/>
      <c r="J75" s="105"/>
      <c r="K75" s="105"/>
      <c r="L75" s="105"/>
      <c r="M75" s="169"/>
      <c r="N75" s="169"/>
      <c r="O75" s="169"/>
      <c r="P75" s="169"/>
      <c r="Q75" s="210"/>
      <c r="R75" s="169"/>
      <c r="S75" s="212"/>
      <c r="T75" s="169"/>
    </row>
    <row r="76" ht="19.5" customHeight="1">
      <c r="A76" s="105"/>
      <c r="B76" s="255"/>
      <c r="C76" s="105"/>
      <c r="D76" s="169"/>
      <c r="E76" s="169"/>
      <c r="F76" s="169"/>
      <c r="G76" s="105"/>
      <c r="H76" s="105"/>
      <c r="I76" s="105"/>
      <c r="J76" s="105"/>
      <c r="K76" s="105"/>
      <c r="L76" s="105"/>
      <c r="M76" s="169"/>
      <c r="N76" s="169"/>
      <c r="O76" s="169"/>
      <c r="P76" s="169"/>
      <c r="Q76" s="210"/>
      <c r="R76" s="169"/>
      <c r="S76" s="212"/>
      <c r="T76" s="169"/>
    </row>
  </sheetData>
  <autoFilter ref="$A$4:$T$35"/>
  <customSheetViews>
    <customSheetView guid="{BD076BCF-39B8-44C5-BF95-7B82C910DEB0}" filter="1" showAutoFilter="1">
      <autoFilter ref="$A$4:$T$72"/>
    </customSheetView>
    <customSheetView guid="{E5EE51B3-DE45-4D2E-9071-A5BED79D171F}" filter="1" showAutoFilter="1">
      <autoFilter ref="$A$2:$T$76"/>
    </customSheetView>
    <customSheetView guid="{BA335440-5B37-4C05-BCDC-9CD4D4923240}" filter="1" showAutoFilter="1">
      <autoFilter ref="$A$1:$T$76"/>
    </customSheetView>
    <customSheetView guid="{A9B8627E-26B2-4201-803A-467C3700F329}" filter="1" showAutoFilter="1">
      <autoFilter ref="$A$2:$T$76"/>
    </customSheetView>
  </customSheetViews>
  <mergeCells count="8">
    <mergeCell ref="A2:M2"/>
    <mergeCell ref="A3:F3"/>
    <mergeCell ref="G3:I3"/>
    <mergeCell ref="J68:K68"/>
    <mergeCell ref="N68:O68"/>
    <mergeCell ref="J69:K69"/>
    <mergeCell ref="N69:O69"/>
    <mergeCell ref="H72:I72"/>
  </mergeCells>
  <conditionalFormatting sqref="M5:M66 R5:R66">
    <cfRule type="containsText" dxfId="3" priority="1" operator="containsText" text="fh">
      <formula>NOT(ISERROR(SEARCH(("fh"),(M5))))</formula>
    </cfRule>
  </conditionalFormatting>
  <conditionalFormatting sqref="L1 L4:L66 M4 N5:O63 L68:L71 L73:L76">
    <cfRule type="containsText" dxfId="0" priority="2" operator="containsText" text="COBR">
      <formula>NOT(ISERROR(SEARCH(("COBR"),(L1))))</formula>
    </cfRule>
  </conditionalFormatting>
  <conditionalFormatting sqref="L1 L4:L66 M4 N5:O63 L68:L71 L73:L76">
    <cfRule type="containsText" dxfId="1" priority="3" operator="containsText" text="INTE">
      <formula>NOT(ISERROR(SEARCH(("INTE"),(L1))))</formula>
    </cfRule>
  </conditionalFormatting>
  <conditionalFormatting sqref="L1 L4:L66 M4 J68 L68:L71 N68 L73:L76">
    <cfRule type="containsText" dxfId="2" priority="4" operator="containsText" text="DESC">
      <formula>NOT(ISERROR(SEARCH(("DESC"),(L1))))</formula>
    </cfRule>
  </conditionalFormatting>
  <dataValidations>
    <dataValidation type="list" allowBlank="1" showErrorMessage="1" sqref="M5:M66">
      <formula1>CUENTAS</formula1>
    </dataValidation>
    <dataValidation type="list" allowBlank="1" showErrorMessage="1" sqref="P5:P66">
      <formula1>VENDEDOR</formula1>
    </dataValidation>
    <dataValidation type="list" allowBlank="1" showErrorMessage="1" sqref="L5:L66">
      <formula1>SITUACION</formula1>
    </dataValidation>
  </dataValidations>
  <hyperlinks>
    <hyperlink r:id="rId1" ref="E20"/>
    <hyperlink r:id="rId2" ref="E22"/>
    <hyperlink r:id="rId3" ref="E40"/>
    <hyperlink r:id="rId4" ref="E47"/>
  </hyperlinks>
  <printOptions gridLines="1" horizontalCentered="1"/>
  <pageMargins bottom="0.6" footer="0.0" header="0.0" left="0.18446313842671508" right="0.1947110905615326" top="0.21520699483116765"/>
  <pageSetup fitToHeight="0" paperSize="9" cellComments="atEnd" orientation="landscape" pageOrder="overThenDown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13.13"/>
    <col customWidth="1" min="4" max="4" width="30.38"/>
    <col customWidth="1" min="5" max="6" width="19.5"/>
    <col customWidth="1" min="7" max="7" width="18.63"/>
    <col customWidth="1" min="8" max="8" width="11.75"/>
    <col customWidth="1" min="9" max="9" width="10.63"/>
    <col customWidth="1" min="10" max="11" width="12.63"/>
    <col customWidth="1" min="12" max="12" width="14.38"/>
    <col customWidth="1" min="13" max="13" width="14.75"/>
    <col customWidth="1" min="14" max="15" width="12.63"/>
    <col customWidth="1" min="16" max="19" width="21.63"/>
    <col customWidth="1" min="20" max="20" width="2.25"/>
  </cols>
  <sheetData>
    <row r="1" ht="19.5" customHeight="1">
      <c r="A1" s="55"/>
      <c r="B1" s="56"/>
      <c r="C1" s="57"/>
      <c r="D1" s="139"/>
      <c r="E1" s="115"/>
      <c r="F1" s="115"/>
      <c r="G1" s="57"/>
      <c r="H1" s="57"/>
      <c r="I1" s="57"/>
      <c r="J1" s="57"/>
      <c r="K1" s="57"/>
      <c r="L1" s="57"/>
      <c r="M1" s="115"/>
      <c r="N1" s="1"/>
      <c r="O1" s="1"/>
      <c r="P1" s="1"/>
      <c r="Q1" s="116"/>
      <c r="R1" s="1"/>
      <c r="S1" s="1"/>
      <c r="T1" s="1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62"/>
      <c r="O2" s="63"/>
      <c r="P2" s="63"/>
      <c r="Q2" s="64"/>
      <c r="R2" s="63"/>
      <c r="S2" s="63"/>
      <c r="T2" s="1"/>
    </row>
    <row r="3" ht="30.75" customHeight="1">
      <c r="A3" s="117" t="s">
        <v>25</v>
      </c>
      <c r="B3" s="60"/>
      <c r="C3" s="60"/>
      <c r="D3" s="60"/>
      <c r="E3" s="60"/>
      <c r="F3" s="60"/>
      <c r="G3" s="67" t="s">
        <v>25</v>
      </c>
      <c r="H3" s="60"/>
      <c r="I3" s="60"/>
      <c r="J3" s="60"/>
      <c r="K3" s="67"/>
      <c r="L3" s="67"/>
      <c r="M3" s="68"/>
      <c r="N3" s="69"/>
      <c r="O3" s="70"/>
      <c r="P3" s="70"/>
      <c r="Q3" s="71"/>
      <c r="R3" s="70"/>
      <c r="S3" s="63"/>
      <c r="T3" s="1"/>
    </row>
    <row r="4" ht="27.0" customHeight="1">
      <c r="A4" s="73" t="s">
        <v>0</v>
      </c>
      <c r="B4" s="219" t="s">
        <v>7</v>
      </c>
      <c r="C4" s="73" t="s">
        <v>8</v>
      </c>
      <c r="D4" s="73" t="s">
        <v>9</v>
      </c>
      <c r="E4" s="73" t="s">
        <v>10</v>
      </c>
      <c r="F4" s="73" t="s">
        <v>11</v>
      </c>
      <c r="G4" s="73" t="s">
        <v>12</v>
      </c>
      <c r="H4" s="220">
        <v>46046.0</v>
      </c>
      <c r="I4" s="220"/>
      <c r="J4" s="221" t="s">
        <v>15</v>
      </c>
      <c r="K4" s="221" t="s">
        <v>16</v>
      </c>
      <c r="L4" s="221" t="s">
        <v>17</v>
      </c>
      <c r="M4" s="221" t="s">
        <v>18</v>
      </c>
      <c r="N4" s="222" t="s">
        <v>19</v>
      </c>
      <c r="O4" s="222" t="s">
        <v>20</v>
      </c>
      <c r="P4" s="222" t="s">
        <v>21</v>
      </c>
      <c r="Q4" s="223" t="s">
        <v>22</v>
      </c>
      <c r="R4" s="73" t="s">
        <v>74</v>
      </c>
      <c r="S4" s="62"/>
      <c r="T4" s="2"/>
    </row>
    <row r="5" ht="21.75" customHeight="1">
      <c r="A5" s="224">
        <v>1.0</v>
      </c>
      <c r="B5" s="86">
        <v>46027.0</v>
      </c>
      <c r="C5" s="151">
        <v>4.6123466E7</v>
      </c>
      <c r="D5" s="267" t="s">
        <v>358</v>
      </c>
      <c r="E5" s="153" t="s">
        <v>359</v>
      </c>
      <c r="F5" s="154" t="s">
        <v>226</v>
      </c>
      <c r="G5" s="155" t="s">
        <v>360</v>
      </c>
      <c r="H5" s="81" t="s">
        <v>79</v>
      </c>
      <c r="I5" s="79"/>
      <c r="J5" s="79">
        <v>0.0</v>
      </c>
      <c r="K5" s="79"/>
      <c r="L5" s="79" t="s">
        <v>80</v>
      </c>
      <c r="M5" s="79" t="s">
        <v>81</v>
      </c>
      <c r="N5" s="82">
        <v>0.0</v>
      </c>
      <c r="O5" s="227"/>
      <c r="P5" s="82" t="s">
        <v>45</v>
      </c>
      <c r="Q5" s="83">
        <f t="shared" ref="Q5:Q32" si="1">N5+O5</f>
        <v>0</v>
      </c>
      <c r="R5" s="84"/>
      <c r="S5" s="62"/>
      <c r="T5" s="1"/>
    </row>
    <row r="6" ht="21.75" customHeight="1">
      <c r="A6" s="228">
        <f t="shared" ref="A6:A12" si="2">A5+1</f>
        <v>2</v>
      </c>
      <c r="B6" s="167">
        <v>46036.0</v>
      </c>
      <c r="C6" s="79">
        <v>2.2314008E7</v>
      </c>
      <c r="D6" s="232" t="s">
        <v>434</v>
      </c>
      <c r="E6" s="226"/>
      <c r="F6" s="79"/>
      <c r="G6" s="79"/>
      <c r="H6" s="81" t="s">
        <v>104</v>
      </c>
      <c r="I6" s="79"/>
      <c r="J6" s="79">
        <v>0.0</v>
      </c>
      <c r="K6" s="79"/>
      <c r="L6" s="79"/>
      <c r="M6" s="79"/>
      <c r="N6" s="82">
        <v>0.0</v>
      </c>
      <c r="O6" s="227"/>
      <c r="P6" s="82" t="s">
        <v>47</v>
      </c>
      <c r="Q6" s="83">
        <f t="shared" si="1"/>
        <v>0</v>
      </c>
      <c r="R6" s="229"/>
      <c r="S6" s="62"/>
      <c r="T6" s="122"/>
    </row>
    <row r="7" ht="21.75" customHeight="1">
      <c r="A7" s="228">
        <f t="shared" si="2"/>
        <v>3</v>
      </c>
      <c r="B7" s="86">
        <v>46037.0</v>
      </c>
      <c r="C7" s="79">
        <v>1.0421776631E10</v>
      </c>
      <c r="D7" s="232" t="s">
        <v>831</v>
      </c>
      <c r="E7" s="226" t="s">
        <v>832</v>
      </c>
      <c r="F7" s="79" t="s">
        <v>833</v>
      </c>
      <c r="G7" s="155" t="s">
        <v>834</v>
      </c>
      <c r="H7" s="81" t="s">
        <v>79</v>
      </c>
      <c r="I7" s="79"/>
      <c r="J7" s="79">
        <v>150.0</v>
      </c>
      <c r="K7" s="79">
        <v>0.0</v>
      </c>
      <c r="L7" s="79" t="s">
        <v>80</v>
      </c>
      <c r="M7" s="79" t="s">
        <v>81</v>
      </c>
      <c r="N7" s="82">
        <v>150.0</v>
      </c>
      <c r="O7" s="227"/>
      <c r="P7" s="82" t="s">
        <v>45</v>
      </c>
      <c r="Q7" s="83">
        <f t="shared" si="1"/>
        <v>150</v>
      </c>
      <c r="R7" s="229"/>
      <c r="S7" s="62"/>
      <c r="T7" s="122"/>
    </row>
    <row r="8" ht="21.75" customHeight="1">
      <c r="A8" s="228">
        <f t="shared" si="2"/>
        <v>4</v>
      </c>
      <c r="B8" s="88">
        <v>46042.0</v>
      </c>
      <c r="C8" s="79">
        <v>7.1523029E7</v>
      </c>
      <c r="D8" s="232" t="s">
        <v>150</v>
      </c>
      <c r="E8" s="226"/>
      <c r="F8" s="79"/>
      <c r="G8" s="79"/>
      <c r="H8" s="81" t="s">
        <v>104</v>
      </c>
      <c r="I8" s="79"/>
      <c r="J8" s="79">
        <v>130.0</v>
      </c>
      <c r="K8" s="79"/>
      <c r="L8" s="79" t="s">
        <v>80</v>
      </c>
      <c r="M8" s="79" t="s">
        <v>81</v>
      </c>
      <c r="N8" s="82">
        <v>130.0</v>
      </c>
      <c r="O8" s="227"/>
      <c r="P8" s="82" t="s">
        <v>47</v>
      </c>
      <c r="Q8" s="83">
        <f t="shared" si="1"/>
        <v>130</v>
      </c>
      <c r="R8" s="229"/>
      <c r="S8" s="62"/>
      <c r="T8" s="122"/>
    </row>
    <row r="9" ht="21.75" customHeight="1">
      <c r="A9" s="228">
        <f t="shared" si="2"/>
        <v>5</v>
      </c>
      <c r="B9" s="86">
        <v>46042.0</v>
      </c>
      <c r="C9" s="79">
        <v>4.017154E7</v>
      </c>
      <c r="D9" s="153" t="s">
        <v>835</v>
      </c>
      <c r="E9" s="226" t="s">
        <v>836</v>
      </c>
      <c r="F9" s="79" t="s">
        <v>190</v>
      </c>
      <c r="G9" s="79" t="s">
        <v>837</v>
      </c>
      <c r="H9" s="81" t="s">
        <v>79</v>
      </c>
      <c r="I9" s="79"/>
      <c r="J9" s="79">
        <v>140.0</v>
      </c>
      <c r="K9" s="79"/>
      <c r="L9" s="79" t="s">
        <v>80</v>
      </c>
      <c r="M9" s="79" t="s">
        <v>81</v>
      </c>
      <c r="N9" s="82">
        <v>140.0</v>
      </c>
      <c r="O9" s="227"/>
      <c r="P9" s="82" t="s">
        <v>45</v>
      </c>
      <c r="Q9" s="83">
        <f t="shared" si="1"/>
        <v>140</v>
      </c>
      <c r="R9" s="229"/>
      <c r="S9" s="62"/>
      <c r="T9" s="122"/>
    </row>
    <row r="10" ht="21.75" customHeight="1">
      <c r="A10" s="228">
        <f t="shared" si="2"/>
        <v>6</v>
      </c>
      <c r="B10" s="86">
        <v>46043.0</v>
      </c>
      <c r="C10" s="79">
        <v>2.0613656058E10</v>
      </c>
      <c r="D10" s="232" t="s">
        <v>838</v>
      </c>
      <c r="E10" s="226" t="s">
        <v>839</v>
      </c>
      <c r="F10" s="79" t="s">
        <v>617</v>
      </c>
      <c r="G10" s="79" t="s">
        <v>840</v>
      </c>
      <c r="H10" s="81" t="s">
        <v>79</v>
      </c>
      <c r="I10" s="79"/>
      <c r="J10" s="79">
        <v>62.5</v>
      </c>
      <c r="K10" s="79">
        <v>62.5</v>
      </c>
      <c r="L10" s="79" t="s">
        <v>93</v>
      </c>
      <c r="M10" s="79" t="s">
        <v>81</v>
      </c>
      <c r="N10" s="82">
        <v>62.5</v>
      </c>
      <c r="O10" s="227">
        <v>62.5</v>
      </c>
      <c r="P10" s="82" t="s">
        <v>45</v>
      </c>
      <c r="Q10" s="83">
        <f t="shared" si="1"/>
        <v>125</v>
      </c>
      <c r="R10" s="229"/>
      <c r="S10" s="62"/>
      <c r="T10" s="122"/>
    </row>
    <row r="11" ht="21.75" customHeight="1">
      <c r="A11" s="228">
        <f t="shared" si="2"/>
        <v>7</v>
      </c>
      <c r="B11" s="86">
        <v>46043.0</v>
      </c>
      <c r="C11" s="79">
        <v>2.0613656058E10</v>
      </c>
      <c r="D11" s="232" t="s">
        <v>841</v>
      </c>
      <c r="E11" s="226" t="s">
        <v>839</v>
      </c>
      <c r="F11" s="79" t="s">
        <v>617</v>
      </c>
      <c r="G11" s="79" t="s">
        <v>840</v>
      </c>
      <c r="H11" s="81" t="s">
        <v>79</v>
      </c>
      <c r="I11" s="79"/>
      <c r="J11" s="79">
        <v>62.5</v>
      </c>
      <c r="K11" s="79">
        <v>62.5</v>
      </c>
      <c r="L11" s="79" t="s">
        <v>93</v>
      </c>
      <c r="M11" s="79" t="s">
        <v>81</v>
      </c>
      <c r="N11" s="82">
        <v>62.5</v>
      </c>
      <c r="O11" s="227">
        <v>62.5</v>
      </c>
      <c r="P11" s="82" t="s">
        <v>45</v>
      </c>
      <c r="Q11" s="83">
        <f t="shared" si="1"/>
        <v>125</v>
      </c>
      <c r="R11" s="229"/>
      <c r="S11" s="62"/>
      <c r="T11" s="122"/>
    </row>
    <row r="12" ht="21.75" customHeight="1">
      <c r="A12" s="228">
        <f t="shared" si="2"/>
        <v>8</v>
      </c>
      <c r="B12" s="86">
        <v>46043.0</v>
      </c>
      <c r="C12" s="79">
        <v>7.0954105E7</v>
      </c>
      <c r="D12" s="232" t="s">
        <v>842</v>
      </c>
      <c r="E12" s="226" t="s">
        <v>843</v>
      </c>
      <c r="F12" s="79" t="s">
        <v>96</v>
      </c>
      <c r="G12" s="155" t="s">
        <v>844</v>
      </c>
      <c r="H12" s="81" t="s">
        <v>79</v>
      </c>
      <c r="I12" s="79"/>
      <c r="J12" s="79">
        <v>80.0</v>
      </c>
      <c r="K12" s="79">
        <v>70.0</v>
      </c>
      <c r="L12" s="79" t="s">
        <v>93</v>
      </c>
      <c r="M12" s="79" t="s">
        <v>81</v>
      </c>
      <c r="N12" s="82">
        <v>80.0</v>
      </c>
      <c r="O12" s="227">
        <v>70.0</v>
      </c>
      <c r="P12" s="82" t="s">
        <v>45</v>
      </c>
      <c r="Q12" s="83">
        <f t="shared" si="1"/>
        <v>150</v>
      </c>
      <c r="R12" s="229"/>
      <c r="S12" s="62"/>
      <c r="T12" s="122"/>
    </row>
    <row r="13" ht="21.75" customHeight="1">
      <c r="A13" s="228">
        <f>A17+1</f>
        <v>10</v>
      </c>
      <c r="B13" s="78">
        <v>46045.0</v>
      </c>
      <c r="C13" s="79">
        <v>4475965.0</v>
      </c>
      <c r="D13" s="232" t="s">
        <v>845</v>
      </c>
      <c r="E13" s="226" t="s">
        <v>846</v>
      </c>
      <c r="F13" s="79" t="s">
        <v>226</v>
      </c>
      <c r="G13" s="79" t="s">
        <v>847</v>
      </c>
      <c r="H13" s="81" t="s">
        <v>79</v>
      </c>
      <c r="I13" s="79"/>
      <c r="J13" s="79">
        <v>62.5</v>
      </c>
      <c r="K13" s="79">
        <v>62.5</v>
      </c>
      <c r="L13" s="79" t="s">
        <v>93</v>
      </c>
      <c r="M13" s="79" t="s">
        <v>174</v>
      </c>
      <c r="N13" s="82">
        <v>62.5</v>
      </c>
      <c r="O13" s="227">
        <v>62.5</v>
      </c>
      <c r="P13" s="82" t="s">
        <v>50</v>
      </c>
      <c r="Q13" s="83">
        <f t="shared" si="1"/>
        <v>125</v>
      </c>
      <c r="R13" s="229"/>
      <c r="S13" s="62"/>
      <c r="T13" s="122"/>
    </row>
    <row r="14" ht="21.75" customHeight="1">
      <c r="A14" s="228">
        <f t="shared" ref="A14:A16" si="3">A13+1</f>
        <v>11</v>
      </c>
      <c r="B14" s="78">
        <v>46045.0</v>
      </c>
      <c r="C14" s="79">
        <v>4.6210391E7</v>
      </c>
      <c r="D14" s="232" t="s">
        <v>848</v>
      </c>
      <c r="E14" s="226" t="s">
        <v>849</v>
      </c>
      <c r="F14" s="79" t="s">
        <v>226</v>
      </c>
      <c r="G14" s="79" t="s">
        <v>847</v>
      </c>
      <c r="H14" s="81" t="s">
        <v>79</v>
      </c>
      <c r="I14" s="79"/>
      <c r="J14" s="79">
        <v>62.5</v>
      </c>
      <c r="K14" s="79">
        <v>62.5</v>
      </c>
      <c r="L14" s="79" t="s">
        <v>93</v>
      </c>
      <c r="M14" s="79" t="s">
        <v>174</v>
      </c>
      <c r="N14" s="82">
        <v>62.5</v>
      </c>
      <c r="O14" s="227">
        <v>62.5</v>
      </c>
      <c r="P14" s="82" t="s">
        <v>50</v>
      </c>
      <c r="Q14" s="83">
        <f t="shared" si="1"/>
        <v>125</v>
      </c>
      <c r="R14" s="229"/>
      <c r="S14" s="62"/>
      <c r="T14" s="122"/>
    </row>
    <row r="15" ht="21.75" customHeight="1">
      <c r="A15" s="228">
        <f t="shared" si="3"/>
        <v>12</v>
      </c>
      <c r="B15" s="94">
        <v>46044.0</v>
      </c>
      <c r="C15" s="79">
        <v>7.4471041E7</v>
      </c>
      <c r="D15" s="232" t="s">
        <v>850</v>
      </c>
      <c r="E15" s="226" t="s">
        <v>851</v>
      </c>
      <c r="F15" s="79" t="s">
        <v>804</v>
      </c>
      <c r="G15" s="79">
        <v>9.4480755E8</v>
      </c>
      <c r="H15" s="81" t="s">
        <v>104</v>
      </c>
      <c r="I15" s="79"/>
      <c r="J15" s="79">
        <v>140.0</v>
      </c>
      <c r="K15" s="79"/>
      <c r="L15" s="79" t="s">
        <v>80</v>
      </c>
      <c r="M15" s="79" t="s">
        <v>81</v>
      </c>
      <c r="N15" s="82">
        <v>140.0</v>
      </c>
      <c r="O15" s="227"/>
      <c r="P15" s="82" t="s">
        <v>48</v>
      </c>
      <c r="Q15" s="83">
        <f t="shared" si="1"/>
        <v>140</v>
      </c>
      <c r="R15" s="229"/>
      <c r="S15" s="62"/>
      <c r="T15" s="122"/>
    </row>
    <row r="16" ht="21.75" customHeight="1">
      <c r="A16" s="228">
        <f t="shared" si="3"/>
        <v>13</v>
      </c>
      <c r="B16" s="94">
        <v>46044.0</v>
      </c>
      <c r="C16" s="194">
        <v>4.1062653E7</v>
      </c>
      <c r="D16" s="232" t="s">
        <v>852</v>
      </c>
      <c r="E16" s="226" t="s">
        <v>853</v>
      </c>
      <c r="F16" s="79" t="s">
        <v>804</v>
      </c>
      <c r="G16" s="79">
        <v>9.4480755E8</v>
      </c>
      <c r="H16" s="81" t="s">
        <v>104</v>
      </c>
      <c r="I16" s="79"/>
      <c r="J16" s="79">
        <v>140.0</v>
      </c>
      <c r="K16" s="79"/>
      <c r="L16" s="79" t="s">
        <v>80</v>
      </c>
      <c r="M16" s="79" t="s">
        <v>81</v>
      </c>
      <c r="N16" s="82">
        <v>140.0</v>
      </c>
      <c r="O16" s="227"/>
      <c r="P16" s="82" t="s">
        <v>48</v>
      </c>
      <c r="Q16" s="83">
        <f t="shared" si="1"/>
        <v>140</v>
      </c>
      <c r="R16" s="229"/>
      <c r="S16" s="62"/>
      <c r="T16" s="122"/>
    </row>
    <row r="17" ht="21.75" customHeight="1">
      <c r="A17" s="228">
        <f>A12+1</f>
        <v>9</v>
      </c>
      <c r="B17" s="88">
        <v>46044.0</v>
      </c>
      <c r="C17" s="79">
        <v>4.6178506E7</v>
      </c>
      <c r="D17" s="232" t="s">
        <v>734</v>
      </c>
      <c r="E17" s="226" t="s">
        <v>735</v>
      </c>
      <c r="F17" s="79"/>
      <c r="G17" s="79"/>
      <c r="H17" s="81" t="s">
        <v>104</v>
      </c>
      <c r="I17" s="79"/>
      <c r="J17" s="79">
        <v>150.0</v>
      </c>
      <c r="K17" s="79"/>
      <c r="L17" s="79" t="s">
        <v>80</v>
      </c>
      <c r="M17" s="79" t="s">
        <v>81</v>
      </c>
      <c r="N17" s="82">
        <v>150.0</v>
      </c>
      <c r="O17" s="227"/>
      <c r="P17" s="82" t="s">
        <v>47</v>
      </c>
      <c r="Q17" s="83">
        <f t="shared" si="1"/>
        <v>150</v>
      </c>
      <c r="R17" s="229"/>
      <c r="S17" s="62"/>
      <c r="T17" s="122"/>
    </row>
    <row r="18" ht="21.75" customHeight="1">
      <c r="A18" s="228">
        <f>A16+1</f>
        <v>14</v>
      </c>
      <c r="B18" s="86">
        <v>46045.0</v>
      </c>
      <c r="C18" s="194">
        <v>4.7699885E7</v>
      </c>
      <c r="D18" s="232" t="s">
        <v>854</v>
      </c>
      <c r="E18" s="226" t="s">
        <v>855</v>
      </c>
      <c r="F18" s="79" t="s">
        <v>474</v>
      </c>
      <c r="G18" s="161" t="s">
        <v>856</v>
      </c>
      <c r="H18" s="81" t="s">
        <v>79</v>
      </c>
      <c r="I18" s="79"/>
      <c r="J18" s="79">
        <v>125.0</v>
      </c>
      <c r="K18" s="79"/>
      <c r="L18" s="79" t="s">
        <v>80</v>
      </c>
      <c r="M18" s="79" t="s">
        <v>81</v>
      </c>
      <c r="N18" s="82">
        <v>125.0</v>
      </c>
      <c r="O18" s="227"/>
      <c r="P18" s="82" t="s">
        <v>45</v>
      </c>
      <c r="Q18" s="83">
        <f t="shared" si="1"/>
        <v>125</v>
      </c>
      <c r="R18" s="229"/>
      <c r="S18" s="62"/>
      <c r="T18" s="122"/>
    </row>
    <row r="19" ht="21.75" customHeight="1">
      <c r="A19" s="228">
        <f t="shared" ref="A19:A32" si="4">A18+1</f>
        <v>15</v>
      </c>
      <c r="B19" s="86">
        <v>46045.0</v>
      </c>
      <c r="C19" s="79">
        <v>4.2601788E7</v>
      </c>
      <c r="D19" s="232" t="s">
        <v>857</v>
      </c>
      <c r="E19" s="226" t="s">
        <v>858</v>
      </c>
      <c r="F19" s="79" t="s">
        <v>218</v>
      </c>
      <c r="G19" s="161" t="s">
        <v>856</v>
      </c>
      <c r="H19" s="81" t="s">
        <v>79</v>
      </c>
      <c r="I19" s="79"/>
      <c r="J19" s="79">
        <v>125.0</v>
      </c>
      <c r="K19" s="79"/>
      <c r="L19" s="79" t="s">
        <v>80</v>
      </c>
      <c r="M19" s="79" t="s">
        <v>81</v>
      </c>
      <c r="N19" s="82">
        <v>125.0</v>
      </c>
      <c r="O19" s="227"/>
      <c r="P19" s="82" t="s">
        <v>45</v>
      </c>
      <c r="Q19" s="83">
        <f t="shared" si="1"/>
        <v>125</v>
      </c>
      <c r="R19" s="229"/>
      <c r="S19" s="62"/>
      <c r="T19" s="122"/>
    </row>
    <row r="20" ht="21.75" customHeight="1">
      <c r="A20" s="228">
        <f t="shared" si="4"/>
        <v>16</v>
      </c>
      <c r="B20" s="88">
        <v>46045.0</v>
      </c>
      <c r="C20" s="79"/>
      <c r="D20" s="89" t="s">
        <v>859</v>
      </c>
      <c r="E20" s="226"/>
      <c r="F20" s="79" t="s">
        <v>860</v>
      </c>
      <c r="G20" s="79"/>
      <c r="H20" s="81" t="s">
        <v>104</v>
      </c>
      <c r="I20" s="79"/>
      <c r="J20" s="79">
        <v>50.0</v>
      </c>
      <c r="K20" s="79">
        <v>100.0</v>
      </c>
      <c r="L20" s="79" t="s">
        <v>93</v>
      </c>
      <c r="M20" s="79" t="s">
        <v>81</v>
      </c>
      <c r="N20" s="82">
        <v>50.0</v>
      </c>
      <c r="O20" s="227">
        <v>100.0</v>
      </c>
      <c r="P20" s="82" t="s">
        <v>47</v>
      </c>
      <c r="Q20" s="83">
        <f t="shared" si="1"/>
        <v>150</v>
      </c>
      <c r="R20" s="229"/>
      <c r="S20" s="62"/>
      <c r="T20" s="122"/>
    </row>
    <row r="21" ht="21.75" customHeight="1">
      <c r="A21" s="228">
        <f t="shared" si="4"/>
        <v>17</v>
      </c>
      <c r="B21" s="86">
        <v>46043.0</v>
      </c>
      <c r="C21" s="79">
        <v>1.0096401286E10</v>
      </c>
      <c r="D21" s="232" t="s">
        <v>861</v>
      </c>
      <c r="E21" s="226" t="s">
        <v>862</v>
      </c>
      <c r="F21" s="79" t="s">
        <v>121</v>
      </c>
      <c r="G21" s="79"/>
      <c r="H21" s="81" t="s">
        <v>79</v>
      </c>
      <c r="I21" s="79"/>
      <c r="J21" s="79">
        <v>62.5</v>
      </c>
      <c r="K21" s="79">
        <v>62.5</v>
      </c>
      <c r="L21" s="79" t="s">
        <v>93</v>
      </c>
      <c r="M21" s="79" t="s">
        <v>81</v>
      </c>
      <c r="N21" s="82">
        <v>62.5</v>
      </c>
      <c r="O21" s="227">
        <v>62.5</v>
      </c>
      <c r="P21" s="82" t="s">
        <v>45</v>
      </c>
      <c r="Q21" s="83">
        <f t="shared" si="1"/>
        <v>125</v>
      </c>
      <c r="R21" s="229"/>
      <c r="S21" s="62"/>
      <c r="T21" s="122"/>
    </row>
    <row r="22" ht="21.75" customHeight="1">
      <c r="A22" s="228">
        <f t="shared" si="4"/>
        <v>18</v>
      </c>
      <c r="B22" s="86">
        <v>46043.0</v>
      </c>
      <c r="C22" s="79">
        <v>9935937.0</v>
      </c>
      <c r="D22" s="232" t="s">
        <v>863</v>
      </c>
      <c r="E22" s="226" t="s">
        <v>862</v>
      </c>
      <c r="F22" s="79" t="s">
        <v>121</v>
      </c>
      <c r="G22" s="79"/>
      <c r="H22" s="81" t="s">
        <v>79</v>
      </c>
      <c r="I22" s="79"/>
      <c r="J22" s="79">
        <v>62.5</v>
      </c>
      <c r="K22" s="79">
        <v>62.5</v>
      </c>
      <c r="L22" s="79" t="s">
        <v>93</v>
      </c>
      <c r="M22" s="79" t="s">
        <v>81</v>
      </c>
      <c r="N22" s="82">
        <v>62.5</v>
      </c>
      <c r="O22" s="227">
        <v>62.5</v>
      </c>
      <c r="P22" s="82" t="s">
        <v>45</v>
      </c>
      <c r="Q22" s="83">
        <f t="shared" si="1"/>
        <v>125</v>
      </c>
      <c r="R22" s="229"/>
      <c r="S22" s="62"/>
      <c r="T22" s="122"/>
    </row>
    <row r="23" ht="21.75" customHeight="1">
      <c r="A23" s="228">
        <f t="shared" si="4"/>
        <v>19</v>
      </c>
      <c r="B23" s="87"/>
      <c r="C23" s="79"/>
      <c r="D23" s="232"/>
      <c r="E23" s="226"/>
      <c r="F23" s="79"/>
      <c r="G23" s="79"/>
      <c r="H23" s="81"/>
      <c r="I23" s="79"/>
      <c r="J23" s="79"/>
      <c r="K23" s="79"/>
      <c r="L23" s="79"/>
      <c r="M23" s="79"/>
      <c r="N23" s="82"/>
      <c r="O23" s="227"/>
      <c r="P23" s="82"/>
      <c r="Q23" s="83">
        <f t="shared" si="1"/>
        <v>0</v>
      </c>
      <c r="R23" s="229"/>
      <c r="S23" s="62"/>
      <c r="T23" s="122"/>
    </row>
    <row r="24" ht="21.75" customHeight="1">
      <c r="A24" s="228">
        <f t="shared" si="4"/>
        <v>20</v>
      </c>
      <c r="B24" s="87"/>
      <c r="C24" s="79"/>
      <c r="D24" s="232"/>
      <c r="E24" s="226"/>
      <c r="F24" s="79"/>
      <c r="G24" s="79"/>
      <c r="H24" s="81"/>
      <c r="I24" s="79"/>
      <c r="J24" s="79"/>
      <c r="K24" s="79"/>
      <c r="L24" s="79"/>
      <c r="M24" s="79"/>
      <c r="N24" s="82"/>
      <c r="O24" s="227"/>
      <c r="P24" s="82"/>
      <c r="Q24" s="83">
        <f t="shared" si="1"/>
        <v>0</v>
      </c>
      <c r="R24" s="229"/>
      <c r="S24" s="62"/>
      <c r="T24" s="122"/>
    </row>
    <row r="25" ht="21.75" customHeight="1">
      <c r="A25" s="228">
        <f t="shared" si="4"/>
        <v>21</v>
      </c>
      <c r="B25" s="87"/>
      <c r="C25" s="79"/>
      <c r="D25" s="232"/>
      <c r="E25" s="226"/>
      <c r="F25" s="79"/>
      <c r="G25" s="79"/>
      <c r="H25" s="81"/>
      <c r="I25" s="79"/>
      <c r="J25" s="79"/>
      <c r="K25" s="79"/>
      <c r="L25" s="79"/>
      <c r="M25" s="79"/>
      <c r="N25" s="82"/>
      <c r="O25" s="227"/>
      <c r="P25" s="82"/>
      <c r="Q25" s="83">
        <f t="shared" si="1"/>
        <v>0</v>
      </c>
      <c r="R25" s="229"/>
      <c r="S25" s="62"/>
      <c r="T25" s="122"/>
    </row>
    <row r="26" ht="21.75" customHeight="1">
      <c r="A26" s="228">
        <f t="shared" si="4"/>
        <v>22</v>
      </c>
      <c r="B26" s="87"/>
      <c r="C26" s="79"/>
      <c r="D26" s="232"/>
      <c r="E26" s="226"/>
      <c r="F26" s="79"/>
      <c r="G26" s="79"/>
      <c r="H26" s="81"/>
      <c r="I26" s="79"/>
      <c r="J26" s="79"/>
      <c r="K26" s="79"/>
      <c r="L26" s="79"/>
      <c r="M26" s="79"/>
      <c r="N26" s="82"/>
      <c r="O26" s="227"/>
      <c r="P26" s="82"/>
      <c r="Q26" s="83">
        <f t="shared" si="1"/>
        <v>0</v>
      </c>
      <c r="R26" s="229"/>
      <c r="S26" s="62"/>
      <c r="T26" s="122"/>
    </row>
    <row r="27" ht="21.75" customHeight="1">
      <c r="A27" s="228">
        <f t="shared" si="4"/>
        <v>23</v>
      </c>
      <c r="B27" s="87"/>
      <c r="C27" s="79"/>
      <c r="D27" s="232"/>
      <c r="E27" s="226"/>
      <c r="F27" s="79"/>
      <c r="G27" s="79"/>
      <c r="H27" s="81"/>
      <c r="I27" s="79"/>
      <c r="J27" s="79"/>
      <c r="K27" s="79"/>
      <c r="L27" s="79"/>
      <c r="M27" s="79"/>
      <c r="N27" s="82"/>
      <c r="O27" s="227"/>
      <c r="P27" s="82"/>
      <c r="Q27" s="83">
        <f t="shared" si="1"/>
        <v>0</v>
      </c>
      <c r="R27" s="229"/>
      <c r="S27" s="62"/>
      <c r="T27" s="122"/>
    </row>
    <row r="28" ht="21.75" customHeight="1">
      <c r="A28" s="228">
        <f t="shared" si="4"/>
        <v>24</v>
      </c>
      <c r="B28" s="87"/>
      <c r="C28" s="79"/>
      <c r="D28" s="232"/>
      <c r="E28" s="226"/>
      <c r="F28" s="79"/>
      <c r="G28" s="79"/>
      <c r="H28" s="81"/>
      <c r="I28" s="79"/>
      <c r="J28" s="79"/>
      <c r="K28" s="79"/>
      <c r="L28" s="79"/>
      <c r="M28" s="79"/>
      <c r="N28" s="82"/>
      <c r="O28" s="227"/>
      <c r="P28" s="82"/>
      <c r="Q28" s="83">
        <f t="shared" si="1"/>
        <v>0</v>
      </c>
      <c r="R28" s="229"/>
      <c r="S28" s="62"/>
      <c r="T28" s="122"/>
    </row>
    <row r="29" ht="21.75" customHeight="1">
      <c r="A29" s="228">
        <f t="shared" si="4"/>
        <v>25</v>
      </c>
      <c r="B29" s="87"/>
      <c r="C29" s="79"/>
      <c r="D29" s="232"/>
      <c r="E29" s="226"/>
      <c r="F29" s="79"/>
      <c r="G29" s="79"/>
      <c r="H29" s="81"/>
      <c r="I29" s="79"/>
      <c r="J29" s="79"/>
      <c r="K29" s="79"/>
      <c r="L29" s="79"/>
      <c r="M29" s="79"/>
      <c r="N29" s="82"/>
      <c r="O29" s="227"/>
      <c r="P29" s="82"/>
      <c r="Q29" s="83">
        <f t="shared" si="1"/>
        <v>0</v>
      </c>
      <c r="R29" s="229"/>
      <c r="S29" s="62"/>
      <c r="T29" s="122"/>
    </row>
    <row r="30" ht="21.75" customHeight="1">
      <c r="A30" s="228">
        <f t="shared" si="4"/>
        <v>26</v>
      </c>
      <c r="B30" s="87"/>
      <c r="C30" s="79"/>
      <c r="D30" s="232"/>
      <c r="E30" s="226"/>
      <c r="F30" s="79"/>
      <c r="G30" s="79"/>
      <c r="H30" s="81"/>
      <c r="I30" s="79"/>
      <c r="J30" s="79"/>
      <c r="K30" s="79"/>
      <c r="L30" s="79"/>
      <c r="M30" s="79"/>
      <c r="N30" s="82"/>
      <c r="O30" s="227"/>
      <c r="P30" s="82"/>
      <c r="Q30" s="83">
        <f t="shared" si="1"/>
        <v>0</v>
      </c>
      <c r="R30" s="229"/>
      <c r="S30" s="62"/>
      <c r="T30" s="122"/>
    </row>
    <row r="31" ht="21.75" customHeight="1">
      <c r="A31" s="228">
        <f t="shared" si="4"/>
        <v>27</v>
      </c>
      <c r="B31" s="87"/>
      <c r="C31" s="79"/>
      <c r="D31" s="232"/>
      <c r="E31" s="226"/>
      <c r="F31" s="79"/>
      <c r="G31" s="79"/>
      <c r="H31" s="81"/>
      <c r="I31" s="79"/>
      <c r="J31" s="79"/>
      <c r="K31" s="79"/>
      <c r="L31" s="79"/>
      <c r="M31" s="79"/>
      <c r="N31" s="82"/>
      <c r="O31" s="227"/>
      <c r="P31" s="82"/>
      <c r="Q31" s="83">
        <f t="shared" si="1"/>
        <v>0</v>
      </c>
      <c r="R31" s="229"/>
      <c r="S31" s="62"/>
      <c r="T31" s="122"/>
    </row>
    <row r="32" ht="21.75" customHeight="1">
      <c r="A32" s="228">
        <f t="shared" si="4"/>
        <v>28</v>
      </c>
      <c r="B32" s="87"/>
      <c r="C32" s="79"/>
      <c r="D32" s="232"/>
      <c r="E32" s="226"/>
      <c r="F32" s="79"/>
      <c r="G32" s="79"/>
      <c r="H32" s="81"/>
      <c r="I32" s="79"/>
      <c r="J32" s="79"/>
      <c r="K32" s="79"/>
      <c r="L32" s="79"/>
      <c r="M32" s="79"/>
      <c r="N32" s="82"/>
      <c r="O32" s="227"/>
      <c r="P32" s="82"/>
      <c r="Q32" s="83">
        <f t="shared" si="1"/>
        <v>0</v>
      </c>
      <c r="R32" s="84"/>
      <c r="S32" s="62"/>
      <c r="T32" s="122"/>
    </row>
    <row r="33" ht="21.75" customHeight="1">
      <c r="A33" s="233" t="s">
        <v>104</v>
      </c>
      <c r="B33" s="87"/>
      <c r="C33" s="79"/>
      <c r="D33" s="232"/>
      <c r="E33" s="226"/>
      <c r="F33" s="79"/>
      <c r="G33" s="79"/>
      <c r="H33" s="81"/>
      <c r="I33" s="79"/>
      <c r="J33" s="79"/>
      <c r="K33" s="79"/>
      <c r="L33" s="79"/>
      <c r="M33" s="79"/>
      <c r="N33" s="82"/>
      <c r="O33" s="227"/>
      <c r="P33" s="82"/>
      <c r="Q33" s="83"/>
      <c r="R33" s="229"/>
      <c r="S33" s="62"/>
      <c r="T33" s="122"/>
    </row>
    <row r="34" ht="21.75" customHeight="1">
      <c r="A34" s="233" t="s">
        <v>104</v>
      </c>
      <c r="B34" s="87"/>
      <c r="C34" s="79"/>
      <c r="D34" s="232"/>
      <c r="E34" s="226"/>
      <c r="F34" s="79"/>
      <c r="G34" s="79"/>
      <c r="H34" s="81"/>
      <c r="I34" s="79"/>
      <c r="J34" s="79"/>
      <c r="K34" s="79"/>
      <c r="L34" s="79"/>
      <c r="M34" s="79"/>
      <c r="N34" s="82"/>
      <c r="O34" s="227"/>
      <c r="P34" s="82"/>
      <c r="Q34" s="83"/>
      <c r="R34" s="229"/>
      <c r="S34" s="62"/>
      <c r="T34" s="122"/>
    </row>
    <row r="35" ht="21.75" customHeight="1">
      <c r="A35" s="233" t="s">
        <v>104</v>
      </c>
      <c r="B35" s="87"/>
      <c r="C35" s="79"/>
      <c r="D35" s="232"/>
      <c r="E35" s="226"/>
      <c r="F35" s="79"/>
      <c r="G35" s="79"/>
      <c r="H35" s="81"/>
      <c r="I35" s="79"/>
      <c r="J35" s="79"/>
      <c r="K35" s="79"/>
      <c r="L35" s="79"/>
      <c r="M35" s="79"/>
      <c r="N35" s="82"/>
      <c r="O35" s="227"/>
      <c r="P35" s="82"/>
      <c r="Q35" s="83"/>
      <c r="R35" s="229"/>
      <c r="S35" s="62"/>
      <c r="T35" s="122"/>
    </row>
    <row r="36" ht="21.75" customHeight="1">
      <c r="A36" s="234">
        <v>1.0</v>
      </c>
      <c r="B36" s="87"/>
      <c r="C36" s="79"/>
      <c r="D36" s="232"/>
      <c r="E36" s="226"/>
      <c r="F36" s="79"/>
      <c r="G36" s="79"/>
      <c r="H36" s="81"/>
      <c r="I36" s="79"/>
      <c r="J36" s="79"/>
      <c r="K36" s="79"/>
      <c r="L36" s="79"/>
      <c r="M36" s="79"/>
      <c r="N36" s="82"/>
      <c r="O36" s="227"/>
      <c r="P36" s="82"/>
      <c r="Q36" s="83">
        <f t="shared" ref="Q36:Q63" si="5">N36+O36</f>
        <v>0</v>
      </c>
      <c r="R36" s="84"/>
      <c r="S36" s="62"/>
      <c r="T36" s="122"/>
    </row>
    <row r="37" ht="21.75" customHeight="1">
      <c r="A37" s="235">
        <f t="shared" ref="A37:A63" si="6">A36+1</f>
        <v>2</v>
      </c>
      <c r="B37" s="87"/>
      <c r="C37" s="79"/>
      <c r="D37" s="232"/>
      <c r="E37" s="226"/>
      <c r="F37" s="79"/>
      <c r="G37" s="79"/>
      <c r="H37" s="81"/>
      <c r="I37" s="79"/>
      <c r="J37" s="79"/>
      <c r="K37" s="79"/>
      <c r="L37" s="79"/>
      <c r="M37" s="79"/>
      <c r="N37" s="82"/>
      <c r="O37" s="227"/>
      <c r="P37" s="82"/>
      <c r="Q37" s="83">
        <f t="shared" si="5"/>
        <v>0</v>
      </c>
      <c r="R37" s="229"/>
      <c r="S37" s="62"/>
      <c r="T37" s="122"/>
    </row>
    <row r="38" ht="21.75" customHeight="1">
      <c r="A38" s="235">
        <f t="shared" si="6"/>
        <v>3</v>
      </c>
      <c r="B38" s="87"/>
      <c r="C38" s="79"/>
      <c r="D38" s="232"/>
      <c r="E38" s="226"/>
      <c r="F38" s="79"/>
      <c r="G38" s="79"/>
      <c r="H38" s="81"/>
      <c r="I38" s="79"/>
      <c r="J38" s="79"/>
      <c r="K38" s="79"/>
      <c r="L38" s="79"/>
      <c r="M38" s="79"/>
      <c r="N38" s="82"/>
      <c r="O38" s="227"/>
      <c r="P38" s="82"/>
      <c r="Q38" s="83">
        <f t="shared" si="5"/>
        <v>0</v>
      </c>
      <c r="R38" s="229"/>
      <c r="S38" s="62"/>
      <c r="T38" s="122"/>
    </row>
    <row r="39" ht="21.75" customHeight="1">
      <c r="A39" s="235">
        <f t="shared" si="6"/>
        <v>4</v>
      </c>
      <c r="B39" s="87"/>
      <c r="C39" s="79"/>
      <c r="D39" s="232"/>
      <c r="E39" s="226"/>
      <c r="F39" s="79"/>
      <c r="G39" s="79"/>
      <c r="H39" s="81"/>
      <c r="I39" s="79"/>
      <c r="J39" s="79"/>
      <c r="K39" s="79"/>
      <c r="L39" s="79"/>
      <c r="M39" s="79"/>
      <c r="N39" s="82"/>
      <c r="O39" s="227"/>
      <c r="P39" s="82"/>
      <c r="Q39" s="83">
        <f t="shared" si="5"/>
        <v>0</v>
      </c>
      <c r="R39" s="229"/>
      <c r="S39" s="62"/>
      <c r="T39" s="122"/>
    </row>
    <row r="40" ht="21.75" customHeight="1">
      <c r="A40" s="235">
        <f t="shared" si="6"/>
        <v>5</v>
      </c>
      <c r="B40" s="87"/>
      <c r="C40" s="79"/>
      <c r="D40" s="232"/>
      <c r="E40" s="226"/>
      <c r="F40" s="79"/>
      <c r="G40" s="79"/>
      <c r="H40" s="81"/>
      <c r="I40" s="79"/>
      <c r="J40" s="79"/>
      <c r="K40" s="79"/>
      <c r="L40" s="79"/>
      <c r="M40" s="79"/>
      <c r="N40" s="82"/>
      <c r="O40" s="227"/>
      <c r="P40" s="82"/>
      <c r="Q40" s="83">
        <f t="shared" si="5"/>
        <v>0</v>
      </c>
      <c r="R40" s="229"/>
      <c r="S40" s="62"/>
      <c r="T40" s="122"/>
    </row>
    <row r="41" ht="21.75" customHeight="1">
      <c r="A41" s="235">
        <f t="shared" si="6"/>
        <v>6</v>
      </c>
      <c r="B41" s="87"/>
      <c r="C41" s="79"/>
      <c r="D41" s="232"/>
      <c r="E41" s="226"/>
      <c r="F41" s="79"/>
      <c r="G41" s="79"/>
      <c r="H41" s="81"/>
      <c r="I41" s="79"/>
      <c r="J41" s="79"/>
      <c r="K41" s="79"/>
      <c r="L41" s="79"/>
      <c r="M41" s="79"/>
      <c r="N41" s="82"/>
      <c r="O41" s="227"/>
      <c r="P41" s="82"/>
      <c r="Q41" s="83">
        <f t="shared" si="5"/>
        <v>0</v>
      </c>
      <c r="R41" s="229"/>
      <c r="S41" s="62"/>
      <c r="T41" s="122"/>
    </row>
    <row r="42" ht="21.75" customHeight="1">
      <c r="A42" s="237">
        <f t="shared" si="6"/>
        <v>7</v>
      </c>
      <c r="B42" s="87"/>
      <c r="C42" s="79"/>
      <c r="D42" s="232"/>
      <c r="E42" s="226"/>
      <c r="F42" s="79"/>
      <c r="G42" s="79"/>
      <c r="H42" s="81"/>
      <c r="I42" s="79"/>
      <c r="J42" s="79"/>
      <c r="K42" s="79"/>
      <c r="L42" s="79"/>
      <c r="M42" s="79"/>
      <c r="N42" s="82"/>
      <c r="O42" s="227"/>
      <c r="P42" s="82"/>
      <c r="Q42" s="83">
        <f t="shared" si="5"/>
        <v>0</v>
      </c>
      <c r="R42" s="229"/>
      <c r="S42" s="62"/>
      <c r="T42" s="122"/>
    </row>
    <row r="43" ht="21.75" customHeight="1">
      <c r="A43" s="237">
        <f t="shared" si="6"/>
        <v>8</v>
      </c>
      <c r="B43" s="87"/>
      <c r="C43" s="79"/>
      <c r="D43" s="232"/>
      <c r="E43" s="226"/>
      <c r="F43" s="79"/>
      <c r="G43" s="79"/>
      <c r="H43" s="81"/>
      <c r="I43" s="79"/>
      <c r="J43" s="79"/>
      <c r="K43" s="79"/>
      <c r="L43" s="79"/>
      <c r="M43" s="79"/>
      <c r="N43" s="82"/>
      <c r="O43" s="227"/>
      <c r="P43" s="82"/>
      <c r="Q43" s="83">
        <f t="shared" si="5"/>
        <v>0</v>
      </c>
      <c r="R43" s="229"/>
      <c r="S43" s="62"/>
      <c r="T43" s="122"/>
    </row>
    <row r="44" ht="21.75" customHeight="1">
      <c r="A44" s="235">
        <f t="shared" si="6"/>
        <v>9</v>
      </c>
      <c r="B44" s="87"/>
      <c r="C44" s="79"/>
      <c r="D44" s="232"/>
      <c r="E44" s="226"/>
      <c r="F44" s="79"/>
      <c r="G44" s="79"/>
      <c r="H44" s="81"/>
      <c r="I44" s="79"/>
      <c r="J44" s="79"/>
      <c r="K44" s="79"/>
      <c r="L44" s="79"/>
      <c r="M44" s="79"/>
      <c r="N44" s="82"/>
      <c r="O44" s="227"/>
      <c r="P44" s="82"/>
      <c r="Q44" s="83">
        <f t="shared" si="5"/>
        <v>0</v>
      </c>
      <c r="R44" s="229"/>
      <c r="S44" s="62"/>
      <c r="T44" s="122"/>
    </row>
    <row r="45" ht="21.75" customHeight="1">
      <c r="A45" s="235">
        <f t="shared" si="6"/>
        <v>10</v>
      </c>
      <c r="B45" s="87"/>
      <c r="C45" s="79"/>
      <c r="D45" s="232"/>
      <c r="E45" s="226"/>
      <c r="F45" s="79"/>
      <c r="G45" s="79"/>
      <c r="H45" s="81"/>
      <c r="I45" s="79"/>
      <c r="J45" s="79"/>
      <c r="K45" s="79"/>
      <c r="L45" s="79"/>
      <c r="M45" s="79"/>
      <c r="N45" s="82"/>
      <c r="O45" s="227"/>
      <c r="P45" s="82"/>
      <c r="Q45" s="83">
        <f t="shared" si="5"/>
        <v>0</v>
      </c>
      <c r="R45" s="229"/>
      <c r="S45" s="62"/>
      <c r="T45" s="122"/>
    </row>
    <row r="46" ht="21.75" customHeight="1">
      <c r="A46" s="235">
        <f t="shared" si="6"/>
        <v>11</v>
      </c>
      <c r="B46" s="87"/>
      <c r="C46" s="79"/>
      <c r="D46" s="232"/>
      <c r="E46" s="226"/>
      <c r="F46" s="79"/>
      <c r="G46" s="79"/>
      <c r="H46" s="81"/>
      <c r="I46" s="79"/>
      <c r="J46" s="79"/>
      <c r="K46" s="79"/>
      <c r="L46" s="79"/>
      <c r="M46" s="79"/>
      <c r="N46" s="82"/>
      <c r="O46" s="227"/>
      <c r="P46" s="82"/>
      <c r="Q46" s="83">
        <f t="shared" si="5"/>
        <v>0</v>
      </c>
      <c r="R46" s="229"/>
      <c r="S46" s="62"/>
      <c r="T46" s="122"/>
    </row>
    <row r="47" ht="21.75" customHeight="1">
      <c r="A47" s="235">
        <f t="shared" si="6"/>
        <v>12</v>
      </c>
      <c r="B47" s="87"/>
      <c r="C47" s="79"/>
      <c r="D47" s="232"/>
      <c r="E47" s="226"/>
      <c r="F47" s="79"/>
      <c r="G47" s="79"/>
      <c r="H47" s="81"/>
      <c r="I47" s="79"/>
      <c r="J47" s="79"/>
      <c r="K47" s="79"/>
      <c r="L47" s="79"/>
      <c r="M47" s="79"/>
      <c r="N47" s="82"/>
      <c r="O47" s="227"/>
      <c r="P47" s="82"/>
      <c r="Q47" s="83">
        <f t="shared" si="5"/>
        <v>0</v>
      </c>
      <c r="R47" s="229"/>
      <c r="S47" s="62"/>
      <c r="T47" s="122"/>
    </row>
    <row r="48" ht="21.75" customHeight="1">
      <c r="A48" s="235">
        <f t="shared" si="6"/>
        <v>13</v>
      </c>
      <c r="B48" s="87"/>
      <c r="C48" s="79"/>
      <c r="D48" s="232"/>
      <c r="E48" s="226"/>
      <c r="F48" s="79"/>
      <c r="G48" s="79"/>
      <c r="H48" s="81"/>
      <c r="I48" s="79"/>
      <c r="J48" s="79"/>
      <c r="K48" s="79"/>
      <c r="L48" s="79"/>
      <c r="M48" s="79"/>
      <c r="N48" s="82"/>
      <c r="O48" s="227"/>
      <c r="P48" s="82"/>
      <c r="Q48" s="83">
        <f t="shared" si="5"/>
        <v>0</v>
      </c>
      <c r="R48" s="229"/>
      <c r="S48" s="62"/>
      <c r="T48" s="122"/>
    </row>
    <row r="49" ht="21.75" customHeight="1">
      <c r="A49" s="235">
        <f t="shared" si="6"/>
        <v>14</v>
      </c>
      <c r="B49" s="87"/>
      <c r="C49" s="79"/>
      <c r="D49" s="232"/>
      <c r="E49" s="226"/>
      <c r="F49" s="79"/>
      <c r="G49" s="79"/>
      <c r="H49" s="81"/>
      <c r="I49" s="79"/>
      <c r="J49" s="79"/>
      <c r="K49" s="79"/>
      <c r="L49" s="79"/>
      <c r="M49" s="79"/>
      <c r="N49" s="82"/>
      <c r="O49" s="227"/>
      <c r="P49" s="82"/>
      <c r="Q49" s="83">
        <f t="shared" si="5"/>
        <v>0</v>
      </c>
      <c r="R49" s="229"/>
      <c r="S49" s="62"/>
      <c r="T49" s="122"/>
    </row>
    <row r="50" ht="21.75" customHeight="1">
      <c r="A50" s="235">
        <f t="shared" si="6"/>
        <v>15</v>
      </c>
      <c r="B50" s="87"/>
      <c r="C50" s="79"/>
      <c r="D50" s="232"/>
      <c r="E50" s="226"/>
      <c r="F50" s="79"/>
      <c r="G50" s="79"/>
      <c r="H50" s="81"/>
      <c r="I50" s="79"/>
      <c r="J50" s="79"/>
      <c r="K50" s="79"/>
      <c r="L50" s="79"/>
      <c r="M50" s="79"/>
      <c r="N50" s="82"/>
      <c r="O50" s="227"/>
      <c r="P50" s="82"/>
      <c r="Q50" s="83">
        <f t="shared" si="5"/>
        <v>0</v>
      </c>
      <c r="R50" s="229"/>
      <c r="S50" s="62"/>
      <c r="T50" s="122"/>
    </row>
    <row r="51" ht="21.75" customHeight="1">
      <c r="A51" s="235">
        <f t="shared" si="6"/>
        <v>16</v>
      </c>
      <c r="B51" s="87"/>
      <c r="C51" s="79"/>
      <c r="D51" s="232"/>
      <c r="E51" s="226"/>
      <c r="F51" s="79"/>
      <c r="G51" s="79"/>
      <c r="H51" s="81"/>
      <c r="I51" s="79"/>
      <c r="J51" s="79"/>
      <c r="K51" s="79"/>
      <c r="L51" s="79"/>
      <c r="M51" s="79"/>
      <c r="N51" s="82"/>
      <c r="O51" s="227"/>
      <c r="P51" s="82"/>
      <c r="Q51" s="83">
        <f t="shared" si="5"/>
        <v>0</v>
      </c>
      <c r="R51" s="229"/>
      <c r="S51" s="62"/>
      <c r="T51" s="122"/>
    </row>
    <row r="52" ht="21.75" customHeight="1">
      <c r="A52" s="235">
        <f t="shared" si="6"/>
        <v>17</v>
      </c>
      <c r="B52" s="87"/>
      <c r="C52" s="79"/>
      <c r="D52" s="232"/>
      <c r="E52" s="226"/>
      <c r="F52" s="79"/>
      <c r="G52" s="79"/>
      <c r="H52" s="81"/>
      <c r="I52" s="79"/>
      <c r="J52" s="79"/>
      <c r="K52" s="79"/>
      <c r="L52" s="79"/>
      <c r="M52" s="79"/>
      <c r="N52" s="82"/>
      <c r="O52" s="227"/>
      <c r="P52" s="82"/>
      <c r="Q52" s="83">
        <f t="shared" si="5"/>
        <v>0</v>
      </c>
      <c r="R52" s="229"/>
      <c r="S52" s="62"/>
      <c r="T52" s="122"/>
    </row>
    <row r="53" ht="21.75" customHeight="1">
      <c r="A53" s="235">
        <f t="shared" si="6"/>
        <v>18</v>
      </c>
      <c r="B53" s="87"/>
      <c r="C53" s="79"/>
      <c r="D53" s="232"/>
      <c r="E53" s="226"/>
      <c r="F53" s="79"/>
      <c r="G53" s="79"/>
      <c r="H53" s="81"/>
      <c r="I53" s="79"/>
      <c r="J53" s="79"/>
      <c r="K53" s="79"/>
      <c r="L53" s="79"/>
      <c r="M53" s="79"/>
      <c r="N53" s="82"/>
      <c r="O53" s="227"/>
      <c r="P53" s="82"/>
      <c r="Q53" s="83">
        <f t="shared" si="5"/>
        <v>0</v>
      </c>
      <c r="R53" s="229"/>
      <c r="S53" s="62"/>
      <c r="T53" s="122"/>
    </row>
    <row r="54" ht="21.75" customHeight="1">
      <c r="A54" s="235">
        <f t="shared" si="6"/>
        <v>19</v>
      </c>
      <c r="B54" s="87"/>
      <c r="C54" s="79"/>
      <c r="D54" s="232"/>
      <c r="E54" s="226"/>
      <c r="F54" s="79"/>
      <c r="G54" s="79"/>
      <c r="H54" s="81"/>
      <c r="I54" s="79"/>
      <c r="J54" s="79"/>
      <c r="K54" s="79"/>
      <c r="L54" s="79"/>
      <c r="M54" s="79"/>
      <c r="N54" s="82"/>
      <c r="O54" s="227"/>
      <c r="P54" s="82"/>
      <c r="Q54" s="83">
        <f t="shared" si="5"/>
        <v>0</v>
      </c>
      <c r="R54" s="229"/>
      <c r="S54" s="62"/>
      <c r="T54" s="122"/>
    </row>
    <row r="55" ht="21.75" customHeight="1">
      <c r="A55" s="235">
        <f t="shared" si="6"/>
        <v>20</v>
      </c>
      <c r="B55" s="87"/>
      <c r="C55" s="79"/>
      <c r="D55" s="232"/>
      <c r="E55" s="226"/>
      <c r="F55" s="79"/>
      <c r="G55" s="79"/>
      <c r="H55" s="81"/>
      <c r="I55" s="79"/>
      <c r="J55" s="79"/>
      <c r="K55" s="79"/>
      <c r="L55" s="79"/>
      <c r="M55" s="79"/>
      <c r="N55" s="82"/>
      <c r="O55" s="227"/>
      <c r="P55" s="82"/>
      <c r="Q55" s="83">
        <f t="shared" si="5"/>
        <v>0</v>
      </c>
      <c r="R55" s="229"/>
      <c r="S55" s="62"/>
      <c r="T55" s="122"/>
    </row>
    <row r="56" ht="21.75" customHeight="1">
      <c r="A56" s="235">
        <f t="shared" si="6"/>
        <v>21</v>
      </c>
      <c r="B56" s="87"/>
      <c r="C56" s="79"/>
      <c r="D56" s="232"/>
      <c r="E56" s="226"/>
      <c r="F56" s="79"/>
      <c r="G56" s="79"/>
      <c r="H56" s="81"/>
      <c r="I56" s="79"/>
      <c r="J56" s="79"/>
      <c r="K56" s="79"/>
      <c r="L56" s="79"/>
      <c r="M56" s="79"/>
      <c r="N56" s="82"/>
      <c r="O56" s="227"/>
      <c r="P56" s="82"/>
      <c r="Q56" s="83">
        <f t="shared" si="5"/>
        <v>0</v>
      </c>
      <c r="R56" s="229"/>
      <c r="S56" s="62"/>
      <c r="T56" s="122"/>
    </row>
    <row r="57" ht="21.75" customHeight="1">
      <c r="A57" s="235">
        <f t="shared" si="6"/>
        <v>22</v>
      </c>
      <c r="B57" s="87"/>
      <c r="C57" s="79"/>
      <c r="D57" s="232"/>
      <c r="E57" s="226"/>
      <c r="F57" s="79"/>
      <c r="G57" s="79"/>
      <c r="H57" s="81"/>
      <c r="I57" s="79"/>
      <c r="J57" s="79"/>
      <c r="K57" s="79"/>
      <c r="L57" s="79"/>
      <c r="M57" s="79"/>
      <c r="N57" s="82"/>
      <c r="O57" s="227"/>
      <c r="P57" s="82"/>
      <c r="Q57" s="83">
        <f t="shared" si="5"/>
        <v>0</v>
      </c>
      <c r="R57" s="229"/>
      <c r="S57" s="62"/>
      <c r="T57" s="122"/>
    </row>
    <row r="58" ht="21.75" customHeight="1">
      <c r="A58" s="235">
        <f t="shared" si="6"/>
        <v>23</v>
      </c>
      <c r="B58" s="87"/>
      <c r="C58" s="79"/>
      <c r="D58" s="232"/>
      <c r="E58" s="226"/>
      <c r="F58" s="79"/>
      <c r="G58" s="79"/>
      <c r="H58" s="268"/>
      <c r="I58" s="79"/>
      <c r="J58" s="79"/>
      <c r="K58" s="79"/>
      <c r="L58" s="79"/>
      <c r="M58" s="79"/>
      <c r="N58" s="82"/>
      <c r="O58" s="227"/>
      <c r="P58" s="82"/>
      <c r="Q58" s="83">
        <f t="shared" si="5"/>
        <v>0</v>
      </c>
      <c r="R58" s="229"/>
      <c r="S58" s="62"/>
      <c r="T58" s="122"/>
    </row>
    <row r="59" ht="21.75" customHeight="1">
      <c r="A59" s="235">
        <f t="shared" si="6"/>
        <v>24</v>
      </c>
      <c r="B59" s="87"/>
      <c r="C59" s="79"/>
      <c r="D59" s="232"/>
      <c r="E59" s="226"/>
      <c r="F59" s="79"/>
      <c r="G59" s="79"/>
      <c r="H59" s="81"/>
      <c r="I59" s="79"/>
      <c r="J59" s="79"/>
      <c r="K59" s="79"/>
      <c r="L59" s="79"/>
      <c r="M59" s="79"/>
      <c r="N59" s="82"/>
      <c r="O59" s="227"/>
      <c r="P59" s="82"/>
      <c r="Q59" s="83">
        <f t="shared" si="5"/>
        <v>0</v>
      </c>
      <c r="R59" s="229"/>
      <c r="S59" s="62"/>
      <c r="T59" s="122"/>
    </row>
    <row r="60" ht="21.75" customHeight="1">
      <c r="A60" s="235">
        <f t="shared" si="6"/>
        <v>25</v>
      </c>
      <c r="B60" s="87"/>
      <c r="C60" s="79"/>
      <c r="D60" s="232"/>
      <c r="E60" s="226"/>
      <c r="F60" s="79"/>
      <c r="G60" s="79"/>
      <c r="H60" s="81"/>
      <c r="I60" s="79"/>
      <c r="J60" s="79"/>
      <c r="K60" s="79"/>
      <c r="L60" s="79"/>
      <c r="M60" s="79"/>
      <c r="N60" s="82"/>
      <c r="O60" s="227"/>
      <c r="P60" s="82"/>
      <c r="Q60" s="83">
        <f t="shared" si="5"/>
        <v>0</v>
      </c>
      <c r="R60" s="229"/>
      <c r="S60" s="62"/>
      <c r="T60" s="122"/>
    </row>
    <row r="61" ht="21.75" customHeight="1">
      <c r="A61" s="235">
        <f t="shared" si="6"/>
        <v>26</v>
      </c>
      <c r="B61" s="87"/>
      <c r="C61" s="79"/>
      <c r="D61" s="232"/>
      <c r="E61" s="226"/>
      <c r="F61" s="79"/>
      <c r="G61" s="79"/>
      <c r="H61" s="81"/>
      <c r="I61" s="79"/>
      <c r="J61" s="79"/>
      <c r="K61" s="79"/>
      <c r="L61" s="79"/>
      <c r="M61" s="79"/>
      <c r="N61" s="82"/>
      <c r="O61" s="227"/>
      <c r="P61" s="82"/>
      <c r="Q61" s="83">
        <f t="shared" si="5"/>
        <v>0</v>
      </c>
      <c r="R61" s="229"/>
      <c r="S61" s="62"/>
      <c r="T61" s="122"/>
    </row>
    <row r="62" ht="21.75" customHeight="1">
      <c r="A62" s="235">
        <f t="shared" si="6"/>
        <v>27</v>
      </c>
      <c r="B62" s="87"/>
      <c r="C62" s="79"/>
      <c r="D62" s="232"/>
      <c r="E62" s="226"/>
      <c r="F62" s="79"/>
      <c r="G62" s="79"/>
      <c r="H62" s="81"/>
      <c r="I62" s="79"/>
      <c r="J62" s="79"/>
      <c r="K62" s="79"/>
      <c r="L62" s="79"/>
      <c r="M62" s="79"/>
      <c r="N62" s="82"/>
      <c r="O62" s="227"/>
      <c r="P62" s="82"/>
      <c r="Q62" s="83">
        <f t="shared" si="5"/>
        <v>0</v>
      </c>
      <c r="R62" s="229"/>
      <c r="S62" s="62"/>
      <c r="T62" s="122"/>
    </row>
    <row r="63" ht="21.75" customHeight="1">
      <c r="A63" s="235">
        <f t="shared" si="6"/>
        <v>28</v>
      </c>
      <c r="B63" s="87"/>
      <c r="C63" s="79"/>
      <c r="D63" s="232"/>
      <c r="E63" s="226"/>
      <c r="F63" s="79"/>
      <c r="G63" s="79"/>
      <c r="H63" s="81"/>
      <c r="I63" s="79"/>
      <c r="J63" s="79"/>
      <c r="K63" s="79"/>
      <c r="L63" s="79"/>
      <c r="M63" s="79"/>
      <c r="N63" s="82"/>
      <c r="O63" s="227"/>
      <c r="P63" s="82"/>
      <c r="Q63" s="83">
        <f t="shared" si="5"/>
        <v>0</v>
      </c>
      <c r="R63" s="84"/>
      <c r="S63" s="62"/>
      <c r="T63" s="122"/>
    </row>
    <row r="64" ht="21.75" customHeight="1">
      <c r="A64" s="233" t="s">
        <v>104</v>
      </c>
      <c r="B64" s="87"/>
      <c r="C64" s="151"/>
      <c r="D64" s="240"/>
      <c r="E64" s="168"/>
      <c r="F64" s="241"/>
      <c r="G64" s="154"/>
      <c r="H64" s="242"/>
      <c r="I64" s="243"/>
      <c r="J64" s="242"/>
      <c r="K64" s="242"/>
      <c r="L64" s="154"/>
      <c r="M64" s="154"/>
      <c r="N64" s="244"/>
      <c r="O64" s="244"/>
      <c r="P64" s="245"/>
      <c r="Q64" s="246"/>
      <c r="R64" s="229"/>
      <c r="S64" s="62"/>
      <c r="T64" s="122"/>
    </row>
    <row r="65" ht="21.75" customHeight="1">
      <c r="A65" s="233" t="s">
        <v>104</v>
      </c>
      <c r="B65" s="87"/>
      <c r="C65" s="151"/>
      <c r="D65" s="240"/>
      <c r="E65" s="168"/>
      <c r="F65" s="241"/>
      <c r="G65" s="154"/>
      <c r="H65" s="242"/>
      <c r="I65" s="243"/>
      <c r="J65" s="242"/>
      <c r="K65" s="242"/>
      <c r="L65" s="154"/>
      <c r="M65" s="154"/>
      <c r="N65" s="244"/>
      <c r="O65" s="244"/>
      <c r="P65" s="245"/>
      <c r="Q65" s="246"/>
      <c r="R65" s="229"/>
      <c r="S65" s="62"/>
      <c r="T65" s="122"/>
    </row>
    <row r="66" ht="21.75" customHeight="1">
      <c r="A66" s="233" t="s">
        <v>104</v>
      </c>
      <c r="B66" s="87"/>
      <c r="C66" s="151"/>
      <c r="D66" s="240"/>
      <c r="E66" s="168"/>
      <c r="F66" s="241"/>
      <c r="G66" s="154"/>
      <c r="H66" s="242"/>
      <c r="I66" s="243"/>
      <c r="J66" s="242"/>
      <c r="K66" s="242"/>
      <c r="L66" s="154"/>
      <c r="M66" s="154"/>
      <c r="N66" s="244"/>
      <c r="O66" s="244"/>
      <c r="P66" s="245"/>
      <c r="Q66" s="246"/>
      <c r="R66" s="229"/>
      <c r="S66" s="62"/>
      <c r="T66" s="122"/>
    </row>
    <row r="67" ht="21.75" customHeight="1">
      <c r="A67" s="95"/>
      <c r="B67" s="95"/>
      <c r="C67" s="95"/>
      <c r="D67" s="95"/>
      <c r="E67" s="95"/>
      <c r="F67" s="95"/>
      <c r="G67" s="96" t="s">
        <v>178</v>
      </c>
      <c r="H67" s="97">
        <f t="shared" ref="H67:I67" si="7">COUNTIF(H4:H66,"X")</f>
        <v>18</v>
      </c>
      <c r="I67" s="97">
        <f t="shared" si="7"/>
        <v>0</v>
      </c>
      <c r="J67" s="98">
        <f t="shared" ref="J67:K67" si="8">SUM(J4:J66)</f>
        <v>1605</v>
      </c>
      <c r="K67" s="98">
        <f t="shared" si="8"/>
        <v>545</v>
      </c>
      <c r="L67" s="50"/>
      <c r="M67" s="134"/>
      <c r="N67" s="98">
        <f t="shared" ref="N67:O67" si="9">SUM(N4:N66)</f>
        <v>1605</v>
      </c>
      <c r="O67" s="98">
        <f t="shared" si="9"/>
        <v>545</v>
      </c>
      <c r="P67" s="95"/>
      <c r="Q67" s="99"/>
      <c r="R67" s="134"/>
      <c r="S67" s="63"/>
      <c r="T67" s="1"/>
    </row>
    <row r="68" ht="19.5" customHeight="1">
      <c r="A68" s="2"/>
      <c r="B68" s="2"/>
      <c r="C68" s="2"/>
      <c r="D68" s="2"/>
      <c r="E68" s="2"/>
      <c r="F68" s="2"/>
      <c r="G68" s="100" t="s">
        <v>179</v>
      </c>
      <c r="H68" s="101">
        <v>28.0</v>
      </c>
      <c r="I68" s="101">
        <v>28.0</v>
      </c>
      <c r="J68" s="102">
        <f>SUM(J67:K67)</f>
        <v>2150</v>
      </c>
      <c r="K68" s="103"/>
      <c r="L68" s="2"/>
      <c r="M68" s="1"/>
      <c r="N68" s="102">
        <f>SUM(N67:O67)</f>
        <v>2150</v>
      </c>
      <c r="O68" s="103"/>
      <c r="P68" s="95"/>
      <c r="Q68" s="99"/>
      <c r="R68" s="1"/>
      <c r="S68" s="63"/>
      <c r="T68" s="1"/>
    </row>
    <row r="69" ht="19.5" customHeight="1">
      <c r="A69" s="2"/>
      <c r="B69" s="104"/>
      <c r="C69" s="2"/>
      <c r="D69" s="169"/>
      <c r="E69" s="1"/>
      <c r="F69" s="1"/>
      <c r="G69" s="106" t="s">
        <v>180</v>
      </c>
      <c r="H69" s="107">
        <f t="shared" ref="H69:I69" si="10">H68-H67</f>
        <v>10</v>
      </c>
      <c r="I69" s="107">
        <f t="shared" si="10"/>
        <v>28</v>
      </c>
      <c r="J69" s="108" t="s">
        <v>181</v>
      </c>
      <c r="K69" s="109"/>
      <c r="L69" s="2"/>
      <c r="M69" s="1"/>
      <c r="N69" s="108" t="s">
        <v>182</v>
      </c>
      <c r="O69" s="109"/>
      <c r="P69" s="95"/>
      <c r="Q69" s="99"/>
      <c r="R69" s="1"/>
      <c r="S69" s="63"/>
      <c r="T69" s="1"/>
    </row>
    <row r="70" ht="19.5" customHeight="1">
      <c r="A70" s="2"/>
      <c r="B70" s="104"/>
      <c r="C70" s="2"/>
      <c r="D70" s="169"/>
      <c r="E70" s="1"/>
      <c r="F70" s="1"/>
      <c r="G70" s="2"/>
      <c r="H70" s="110">
        <v>140.0</v>
      </c>
      <c r="I70" s="110">
        <v>140.0</v>
      </c>
      <c r="J70" s="2"/>
      <c r="K70" s="2"/>
      <c r="L70" s="2"/>
      <c r="M70" s="1"/>
      <c r="N70" s="104"/>
      <c r="O70" s="104"/>
      <c r="P70" s="95"/>
      <c r="Q70" s="99"/>
      <c r="R70" s="1"/>
      <c r="S70" s="63"/>
      <c r="T70" s="122" t="s">
        <v>68</v>
      </c>
    </row>
    <row r="71" ht="19.5" customHeight="1">
      <c r="A71" s="2"/>
      <c r="B71" s="104"/>
      <c r="C71" s="2"/>
      <c r="D71" s="169"/>
      <c r="E71" s="1"/>
      <c r="F71" s="1"/>
      <c r="G71" s="2"/>
      <c r="H71" s="111">
        <f t="shared" ref="H71:I71" si="11">H69*H70</f>
        <v>1400</v>
      </c>
      <c r="I71" s="111">
        <f t="shared" si="11"/>
        <v>3920</v>
      </c>
      <c r="J71" s="2"/>
      <c r="K71" s="2"/>
      <c r="L71" s="2"/>
      <c r="M71" s="1"/>
      <c r="N71" s="104"/>
      <c r="O71" s="104"/>
      <c r="P71" s="95"/>
      <c r="Q71" s="99"/>
      <c r="R71" s="1"/>
      <c r="S71" s="63"/>
      <c r="T71" s="1"/>
    </row>
    <row r="72" ht="19.5" customHeight="1">
      <c r="A72" s="2"/>
      <c r="B72" s="104"/>
      <c r="C72" s="2"/>
      <c r="D72" s="169"/>
      <c r="E72" s="1"/>
      <c r="F72" s="1"/>
      <c r="G72" s="2"/>
      <c r="H72" s="112">
        <f>H71+I71</f>
        <v>5320</v>
      </c>
      <c r="I72" s="109"/>
      <c r="J72" s="2"/>
      <c r="K72" s="2"/>
      <c r="L72" s="2"/>
      <c r="M72" s="1"/>
      <c r="N72" s="104"/>
      <c r="O72" s="104"/>
      <c r="P72" s="95"/>
      <c r="Q72" s="99"/>
      <c r="R72" s="1"/>
      <c r="S72" s="63"/>
      <c r="T72" s="1"/>
    </row>
    <row r="73" ht="19.5" customHeight="1">
      <c r="A73" s="2"/>
      <c r="B73" s="104"/>
      <c r="C73" s="2"/>
      <c r="D73" s="169"/>
      <c r="E73" s="1"/>
      <c r="F73" s="1"/>
      <c r="G73" s="2"/>
      <c r="H73" s="2"/>
      <c r="I73" s="2"/>
      <c r="J73" s="2"/>
      <c r="K73" s="2"/>
      <c r="L73" s="2"/>
      <c r="M73" s="1"/>
      <c r="N73" s="1"/>
      <c r="O73" s="1"/>
      <c r="P73" s="95"/>
      <c r="Q73" s="99"/>
      <c r="R73" s="1"/>
      <c r="S73" s="63"/>
      <c r="T73" s="1"/>
    </row>
    <row r="74" ht="19.5" customHeight="1">
      <c r="A74" s="2"/>
      <c r="B74" s="104"/>
      <c r="C74" s="2"/>
      <c r="D74" s="169"/>
      <c r="E74" s="1"/>
      <c r="F74" s="1"/>
      <c r="G74" s="2"/>
      <c r="H74" s="2"/>
      <c r="I74" s="2"/>
      <c r="J74" s="2"/>
      <c r="K74" s="2"/>
      <c r="L74" s="2"/>
      <c r="M74" s="1"/>
      <c r="N74" s="1"/>
      <c r="O74" s="1"/>
      <c r="P74" s="95"/>
      <c r="Q74" s="99"/>
      <c r="R74" s="1"/>
      <c r="S74" s="63"/>
      <c r="T74" s="1"/>
    </row>
    <row r="75" ht="19.5" customHeight="1">
      <c r="A75" s="2"/>
      <c r="B75" s="104"/>
      <c r="C75" s="2"/>
      <c r="D75" s="169"/>
      <c r="E75" s="1"/>
      <c r="F75" s="1"/>
      <c r="G75" s="2"/>
      <c r="H75" s="2"/>
      <c r="I75" s="2"/>
      <c r="J75" s="2"/>
      <c r="K75" s="2"/>
      <c r="L75" s="2"/>
      <c r="M75" s="1"/>
      <c r="N75" s="1"/>
      <c r="O75" s="1"/>
      <c r="P75" s="95"/>
      <c r="Q75" s="99"/>
      <c r="R75" s="1"/>
      <c r="S75" s="63"/>
      <c r="T75" s="1"/>
    </row>
  </sheetData>
  <autoFilter ref="$A$4:$T$75"/>
  <customSheetViews>
    <customSheetView guid="{E5EE51B3-DE45-4D2E-9071-A5BED79D171F}" filter="1" showAutoFilter="1">
      <autoFilter ref="$A$2:$T$75"/>
    </customSheetView>
    <customSheetView guid="{BD076BCF-39B8-44C5-BF95-7B82C910DEB0}" filter="1" showAutoFilter="1">
      <autoFilter ref="$A$4:$T$75"/>
    </customSheetView>
    <customSheetView guid="{BA335440-5B37-4C05-BCDC-9CD4D4923240}" filter="1" showAutoFilter="1">
      <autoFilter ref="$A$1:$T$75"/>
    </customSheetView>
    <customSheetView guid="{A9B8627E-26B2-4201-803A-467C3700F329}" filter="1" showAutoFilter="1">
      <autoFilter ref="$A$2:$T$75"/>
    </customSheetView>
  </customSheetViews>
  <mergeCells count="8">
    <mergeCell ref="A2:M2"/>
    <mergeCell ref="A3:F3"/>
    <mergeCell ref="G3:J3"/>
    <mergeCell ref="J68:K68"/>
    <mergeCell ref="N68:O68"/>
    <mergeCell ref="J69:K69"/>
    <mergeCell ref="N69:O69"/>
    <mergeCell ref="H72:I72"/>
  </mergeCells>
  <conditionalFormatting sqref="M5:M66 R5:R66">
    <cfRule type="containsText" dxfId="3" priority="1" operator="containsText" text="fh">
      <formula>NOT(ISERROR(SEARCH(("fh"),(M5))))</formula>
    </cfRule>
  </conditionalFormatting>
  <conditionalFormatting sqref="L1 L4:L66 M4 N5:O63 L68:L71 L73:L75">
    <cfRule type="containsText" dxfId="0" priority="2" operator="containsText" text="COBR">
      <formula>NOT(ISERROR(SEARCH(("COBR"),(L1))))</formula>
    </cfRule>
  </conditionalFormatting>
  <conditionalFormatting sqref="L1 L4:L66 M4 N5:O63 L68:L71 L73:L75">
    <cfRule type="containsText" dxfId="1" priority="3" operator="containsText" text="INTE">
      <formula>NOT(ISERROR(SEARCH(("INTE"),(L1))))</formula>
    </cfRule>
  </conditionalFormatting>
  <conditionalFormatting sqref="L1 L4:L66 M4 J68 L68:L71 N68 L73:L75">
    <cfRule type="containsText" dxfId="2" priority="4" operator="containsText" text="DESC">
      <formula>NOT(ISERROR(SEARCH(("DESC"),(L1))))</formula>
    </cfRule>
  </conditionalFormatting>
  <dataValidations>
    <dataValidation type="list" allowBlank="1" showErrorMessage="1" sqref="M5:M66">
      <formula1>CUENTAS</formula1>
    </dataValidation>
    <dataValidation type="list" allowBlank="1" showErrorMessage="1" sqref="P5:P66">
      <formula1>VENDEDOR</formula1>
    </dataValidation>
    <dataValidation type="list" allowBlank="1" showErrorMessage="1" sqref="L5:L66">
      <formula1>SITUACION</formula1>
    </dataValidation>
  </dataValidations>
  <printOptions gridLines="1" horizontalCentered="1"/>
  <pageMargins bottom="0.6" footer="0.0" header="0.0" left="0.18446313842671508" right="0.1947110905615326" top="0.2152069948311676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13.13"/>
    <col customWidth="1" min="4" max="4" width="30.38"/>
    <col customWidth="1" min="5" max="6" width="19.5"/>
    <col customWidth="1" min="7" max="7" width="18.63"/>
    <col customWidth="1" min="8" max="9" width="9.0"/>
    <col customWidth="1" min="10" max="10" width="12.63"/>
    <col customWidth="1" min="11" max="12" width="14.38"/>
    <col customWidth="1" min="13" max="13" width="14.75"/>
    <col customWidth="1" min="14" max="15" width="12.63"/>
    <col customWidth="1" min="16" max="19" width="21.63"/>
    <col customWidth="1" min="20" max="20" width="2.25"/>
  </cols>
  <sheetData>
    <row r="1" ht="19.5" customHeight="1">
      <c r="A1" s="55"/>
      <c r="B1" s="199"/>
      <c r="C1" s="57"/>
      <c r="D1" s="139"/>
      <c r="E1" s="115"/>
      <c r="F1" s="115"/>
      <c r="G1" s="57"/>
      <c r="H1" s="57"/>
      <c r="I1" s="57"/>
      <c r="J1" s="57"/>
      <c r="K1" s="57"/>
      <c r="L1" s="57"/>
      <c r="M1" s="115"/>
      <c r="N1" s="1"/>
      <c r="O1" s="1"/>
      <c r="P1" s="1"/>
      <c r="Q1" s="1"/>
      <c r="R1" s="1"/>
      <c r="S1" s="1"/>
      <c r="T1" s="1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62"/>
      <c r="O2" s="63"/>
      <c r="P2" s="63"/>
      <c r="Q2" s="63"/>
      <c r="R2" s="63"/>
      <c r="S2" s="63"/>
      <c r="T2" s="1"/>
    </row>
    <row r="3" ht="30.75" customHeight="1">
      <c r="A3" s="117" t="s">
        <v>24</v>
      </c>
      <c r="B3" s="60"/>
      <c r="C3" s="60"/>
      <c r="D3" s="60"/>
      <c r="E3" s="60"/>
      <c r="F3" s="60"/>
      <c r="G3" s="67" t="s">
        <v>864</v>
      </c>
      <c r="H3" s="60"/>
      <c r="I3" s="60"/>
      <c r="J3" s="60"/>
      <c r="K3" s="67"/>
      <c r="L3" s="67"/>
      <c r="M3" s="68"/>
      <c r="N3" s="69"/>
      <c r="O3" s="70"/>
      <c r="P3" s="70"/>
      <c r="Q3" s="70"/>
      <c r="R3" s="70"/>
      <c r="S3" s="63"/>
      <c r="T3" s="1"/>
    </row>
    <row r="4" ht="27.0" customHeight="1">
      <c r="A4" s="72" t="s">
        <v>0</v>
      </c>
      <c r="B4" s="200" t="s">
        <v>7</v>
      </c>
      <c r="C4" s="72" t="s">
        <v>8</v>
      </c>
      <c r="D4" s="73" t="s">
        <v>9</v>
      </c>
      <c r="E4" s="72" t="s">
        <v>10</v>
      </c>
      <c r="F4" s="73" t="s">
        <v>865</v>
      </c>
      <c r="G4" s="73" t="s">
        <v>12</v>
      </c>
      <c r="H4" s="74" t="s">
        <v>79</v>
      </c>
      <c r="I4" s="74" t="s">
        <v>79</v>
      </c>
      <c r="J4" s="74" t="s">
        <v>15</v>
      </c>
      <c r="K4" s="74" t="s">
        <v>16</v>
      </c>
      <c r="L4" s="74" t="s">
        <v>17</v>
      </c>
      <c r="M4" s="74" t="s">
        <v>18</v>
      </c>
      <c r="N4" s="75" t="s">
        <v>19</v>
      </c>
      <c r="O4" s="75" t="s">
        <v>20</v>
      </c>
      <c r="P4" s="75" t="s">
        <v>21</v>
      </c>
      <c r="Q4" s="75" t="s">
        <v>22</v>
      </c>
      <c r="R4" s="72" t="s">
        <v>74</v>
      </c>
      <c r="S4" s="62"/>
      <c r="T4" s="2"/>
    </row>
    <row r="5" ht="21.75" customHeight="1">
      <c r="A5" s="77">
        <v>1.0</v>
      </c>
      <c r="B5" s="88">
        <v>46030.0</v>
      </c>
      <c r="C5" s="269">
        <v>7.2323085E7</v>
      </c>
      <c r="D5" s="269" t="s">
        <v>866</v>
      </c>
      <c r="E5" s="270" t="s">
        <v>867</v>
      </c>
      <c r="F5" s="79"/>
      <c r="G5" s="79"/>
      <c r="H5" s="79" t="s">
        <v>104</v>
      </c>
      <c r="I5" s="271"/>
      <c r="J5" s="79">
        <v>150.0</v>
      </c>
      <c r="K5" s="272"/>
      <c r="L5" s="79" t="s">
        <v>80</v>
      </c>
      <c r="M5" s="79" t="s">
        <v>81</v>
      </c>
      <c r="N5" s="82">
        <v>150.0</v>
      </c>
      <c r="O5" s="273"/>
      <c r="P5" s="273" t="s">
        <v>47</v>
      </c>
      <c r="Q5" s="274">
        <f t="shared" ref="Q5:Q204" si="1">N5+O5</f>
        <v>150</v>
      </c>
      <c r="R5" s="275"/>
      <c r="S5" s="62"/>
      <c r="T5" s="1"/>
    </row>
    <row r="6" ht="21.75" customHeight="1">
      <c r="A6" s="85">
        <f t="shared" ref="A6:A204" si="2">A5+1</f>
        <v>2</v>
      </c>
      <c r="B6" s="86">
        <v>46036.0</v>
      </c>
      <c r="C6" s="269">
        <v>7.1825325E7</v>
      </c>
      <c r="D6" s="269" t="s">
        <v>868</v>
      </c>
      <c r="E6" s="270" t="s">
        <v>869</v>
      </c>
      <c r="F6" s="79" t="s">
        <v>870</v>
      </c>
      <c r="G6" s="79" t="s">
        <v>818</v>
      </c>
      <c r="H6" s="276" t="s">
        <v>79</v>
      </c>
      <c r="I6" s="277"/>
      <c r="J6" s="276">
        <v>150.0</v>
      </c>
      <c r="K6" s="272"/>
      <c r="L6" s="79" t="s">
        <v>80</v>
      </c>
      <c r="M6" s="79" t="s">
        <v>81</v>
      </c>
      <c r="N6" s="278">
        <v>150.0</v>
      </c>
      <c r="O6" s="274"/>
      <c r="P6" s="273" t="s">
        <v>45</v>
      </c>
      <c r="Q6" s="274">
        <f t="shared" si="1"/>
        <v>150</v>
      </c>
      <c r="R6" s="275"/>
      <c r="S6" s="62"/>
      <c r="T6" s="122"/>
    </row>
    <row r="7" ht="21.75" customHeight="1">
      <c r="A7" s="85">
        <f t="shared" si="2"/>
        <v>3</v>
      </c>
      <c r="B7" s="132">
        <v>46038.0</v>
      </c>
      <c r="C7" s="269">
        <v>4.7901451E7</v>
      </c>
      <c r="D7" s="269" t="s">
        <v>871</v>
      </c>
      <c r="E7" s="270" t="s">
        <v>872</v>
      </c>
      <c r="F7" s="79" t="s">
        <v>96</v>
      </c>
      <c r="G7" s="279"/>
      <c r="H7" s="276" t="s">
        <v>104</v>
      </c>
      <c r="I7" s="277"/>
      <c r="J7" s="276">
        <v>150.0</v>
      </c>
      <c r="K7" s="272"/>
      <c r="L7" s="79" t="s">
        <v>80</v>
      </c>
      <c r="M7" s="79" t="s">
        <v>164</v>
      </c>
      <c r="N7" s="278">
        <v>150.0</v>
      </c>
      <c r="O7" s="274"/>
      <c r="P7" s="273" t="s">
        <v>44</v>
      </c>
      <c r="Q7" s="274">
        <f t="shared" si="1"/>
        <v>150</v>
      </c>
      <c r="R7" s="275"/>
      <c r="S7" s="62"/>
      <c r="T7" s="122"/>
    </row>
    <row r="8" ht="21.75" customHeight="1">
      <c r="A8" s="85">
        <f t="shared" si="2"/>
        <v>4</v>
      </c>
      <c r="B8" s="88">
        <v>46038.0</v>
      </c>
      <c r="C8" s="269">
        <v>4.2371088E7</v>
      </c>
      <c r="D8" s="269" t="s">
        <v>873</v>
      </c>
      <c r="E8" s="270" t="s">
        <v>874</v>
      </c>
      <c r="F8" s="79"/>
      <c r="G8" s="279"/>
      <c r="H8" s="276" t="s">
        <v>104</v>
      </c>
      <c r="I8" s="277"/>
      <c r="J8" s="276">
        <v>50.0</v>
      </c>
      <c r="K8" s="272"/>
      <c r="L8" s="79" t="s">
        <v>80</v>
      </c>
      <c r="M8" s="79" t="s">
        <v>81</v>
      </c>
      <c r="N8" s="278">
        <v>50.0</v>
      </c>
      <c r="O8" s="274"/>
      <c r="P8" s="273" t="s">
        <v>47</v>
      </c>
      <c r="Q8" s="274">
        <f t="shared" si="1"/>
        <v>50</v>
      </c>
      <c r="R8" s="275"/>
      <c r="S8" s="62"/>
      <c r="T8" s="122"/>
    </row>
    <row r="9" ht="21.75" customHeight="1">
      <c r="A9" s="85">
        <f t="shared" si="2"/>
        <v>5</v>
      </c>
      <c r="B9" s="88">
        <v>46038.0</v>
      </c>
      <c r="C9" s="269">
        <v>4.256771E7</v>
      </c>
      <c r="D9" s="269" t="s">
        <v>875</v>
      </c>
      <c r="E9" s="270" t="s">
        <v>876</v>
      </c>
      <c r="F9" s="79"/>
      <c r="G9" s="279"/>
      <c r="H9" s="276" t="s">
        <v>104</v>
      </c>
      <c r="I9" s="277"/>
      <c r="J9" s="276">
        <v>150.0</v>
      </c>
      <c r="K9" s="272"/>
      <c r="L9" s="79" t="s">
        <v>80</v>
      </c>
      <c r="M9" s="79" t="s">
        <v>81</v>
      </c>
      <c r="N9" s="278">
        <v>150.0</v>
      </c>
      <c r="O9" s="274"/>
      <c r="P9" s="273" t="s">
        <v>47</v>
      </c>
      <c r="Q9" s="274">
        <f t="shared" si="1"/>
        <v>150</v>
      </c>
      <c r="R9" s="275"/>
      <c r="S9" s="62"/>
      <c r="T9" s="122"/>
    </row>
    <row r="10" ht="21.75" customHeight="1">
      <c r="A10" s="85">
        <f t="shared" si="2"/>
        <v>6</v>
      </c>
      <c r="B10" s="132">
        <v>46043.0</v>
      </c>
      <c r="C10" s="269">
        <v>4.4931185E7</v>
      </c>
      <c r="D10" s="269" t="s">
        <v>877</v>
      </c>
      <c r="E10" s="270" t="s">
        <v>878</v>
      </c>
      <c r="F10" s="79" t="s">
        <v>879</v>
      </c>
      <c r="G10" s="279"/>
      <c r="H10" s="276" t="s">
        <v>104</v>
      </c>
      <c r="I10" s="277"/>
      <c r="J10" s="276">
        <v>150.0</v>
      </c>
      <c r="K10" s="272"/>
      <c r="L10" s="79" t="s">
        <v>80</v>
      </c>
      <c r="M10" s="79" t="s">
        <v>164</v>
      </c>
      <c r="N10" s="278">
        <v>150.0</v>
      </c>
      <c r="O10" s="274"/>
      <c r="P10" s="273" t="s">
        <v>44</v>
      </c>
      <c r="Q10" s="274">
        <f t="shared" si="1"/>
        <v>150</v>
      </c>
      <c r="R10" s="275"/>
      <c r="S10" s="62"/>
      <c r="T10" s="122"/>
    </row>
    <row r="11" ht="21.75" customHeight="1">
      <c r="A11" s="85">
        <f t="shared" si="2"/>
        <v>7</v>
      </c>
      <c r="B11" s="86">
        <v>46050.0</v>
      </c>
      <c r="C11" s="269">
        <v>7.067889E7</v>
      </c>
      <c r="D11" s="269" t="s">
        <v>880</v>
      </c>
      <c r="E11" s="270" t="s">
        <v>881</v>
      </c>
      <c r="F11" s="79" t="s">
        <v>882</v>
      </c>
      <c r="G11" s="161" t="s">
        <v>883</v>
      </c>
      <c r="H11" s="276" t="s">
        <v>79</v>
      </c>
      <c r="I11" s="277"/>
      <c r="J11" s="276">
        <v>70.0</v>
      </c>
      <c r="K11" s="272"/>
      <c r="L11" s="79" t="s">
        <v>80</v>
      </c>
      <c r="M11" s="79" t="s">
        <v>98</v>
      </c>
      <c r="N11" s="278">
        <v>70.0</v>
      </c>
      <c r="O11" s="274"/>
      <c r="P11" s="273" t="s">
        <v>49</v>
      </c>
      <c r="Q11" s="274">
        <f t="shared" si="1"/>
        <v>70</v>
      </c>
      <c r="R11" s="275" t="s">
        <v>884</v>
      </c>
      <c r="S11" s="62"/>
      <c r="T11" s="122"/>
    </row>
    <row r="12" ht="21.75" customHeight="1">
      <c r="A12" s="85">
        <f t="shared" si="2"/>
        <v>8</v>
      </c>
      <c r="B12" s="132">
        <v>45687.0</v>
      </c>
      <c r="C12" s="269">
        <v>2.0725023E7</v>
      </c>
      <c r="D12" s="269" t="s">
        <v>885</v>
      </c>
      <c r="E12" s="270"/>
      <c r="F12" s="79" t="s">
        <v>886</v>
      </c>
      <c r="G12" s="279"/>
      <c r="H12" s="276" t="s">
        <v>104</v>
      </c>
      <c r="I12" s="277"/>
      <c r="J12" s="276">
        <v>150.0</v>
      </c>
      <c r="K12" s="272"/>
      <c r="L12" s="79" t="s">
        <v>80</v>
      </c>
      <c r="M12" s="79" t="s">
        <v>98</v>
      </c>
      <c r="N12" s="278">
        <v>150.0</v>
      </c>
      <c r="O12" s="274"/>
      <c r="P12" s="273" t="s">
        <v>44</v>
      </c>
      <c r="Q12" s="274">
        <f t="shared" si="1"/>
        <v>150</v>
      </c>
      <c r="R12" s="275"/>
      <c r="S12" s="62"/>
      <c r="T12" s="122"/>
    </row>
    <row r="13" ht="21.75" customHeight="1">
      <c r="A13" s="85">
        <f t="shared" si="2"/>
        <v>9</v>
      </c>
      <c r="B13" s="88">
        <v>46051.0</v>
      </c>
      <c r="C13" s="269">
        <v>9377789.0</v>
      </c>
      <c r="D13" s="269" t="s">
        <v>887</v>
      </c>
      <c r="E13" s="270" t="s">
        <v>888</v>
      </c>
      <c r="F13" s="79"/>
      <c r="G13" s="279"/>
      <c r="H13" s="276" t="s">
        <v>79</v>
      </c>
      <c r="I13" s="277"/>
      <c r="J13" s="276">
        <v>150.0</v>
      </c>
      <c r="K13" s="272"/>
      <c r="L13" s="79" t="s">
        <v>80</v>
      </c>
      <c r="M13" s="79"/>
      <c r="N13" s="278">
        <v>150.0</v>
      </c>
      <c r="O13" s="274"/>
      <c r="P13" s="273" t="s">
        <v>47</v>
      </c>
      <c r="Q13" s="274">
        <f t="shared" si="1"/>
        <v>150</v>
      </c>
      <c r="R13" s="275"/>
      <c r="S13" s="62"/>
      <c r="T13" s="122"/>
    </row>
    <row r="14" ht="21.75" customHeight="1">
      <c r="A14" s="85">
        <f t="shared" si="2"/>
        <v>10</v>
      </c>
      <c r="B14" s="280">
        <v>46053.0</v>
      </c>
      <c r="C14" s="269">
        <v>4.528712E7</v>
      </c>
      <c r="D14" s="269" t="s">
        <v>889</v>
      </c>
      <c r="E14" s="270" t="s">
        <v>890</v>
      </c>
      <c r="F14" s="79"/>
      <c r="G14" s="279"/>
      <c r="H14" s="276" t="s">
        <v>104</v>
      </c>
      <c r="I14" s="277"/>
      <c r="J14" s="276">
        <v>150.0</v>
      </c>
      <c r="K14" s="272"/>
      <c r="L14" s="79" t="s">
        <v>80</v>
      </c>
      <c r="M14" s="79" t="s">
        <v>98</v>
      </c>
      <c r="N14" s="278">
        <v>150.0</v>
      </c>
      <c r="O14" s="274"/>
      <c r="P14" s="273" t="s">
        <v>44</v>
      </c>
      <c r="Q14" s="274">
        <f t="shared" si="1"/>
        <v>150</v>
      </c>
      <c r="R14" s="275"/>
      <c r="S14" s="62"/>
      <c r="T14" s="122"/>
    </row>
    <row r="15" ht="21.75" customHeight="1">
      <c r="A15" s="85">
        <f t="shared" si="2"/>
        <v>11</v>
      </c>
      <c r="B15" s="87"/>
      <c r="C15" s="269"/>
      <c r="D15" s="269"/>
      <c r="E15" s="270"/>
      <c r="F15" s="79"/>
      <c r="G15" s="279"/>
      <c r="H15" s="281"/>
      <c r="I15" s="277"/>
      <c r="J15" s="276"/>
      <c r="K15" s="272"/>
      <c r="L15" s="79"/>
      <c r="M15" s="79"/>
      <c r="N15" s="278"/>
      <c r="O15" s="274"/>
      <c r="P15" s="273"/>
      <c r="Q15" s="274">
        <f t="shared" si="1"/>
        <v>0</v>
      </c>
      <c r="R15" s="282"/>
      <c r="S15" s="62"/>
      <c r="T15" s="122"/>
    </row>
    <row r="16" ht="21.75" customHeight="1">
      <c r="A16" s="85">
        <f t="shared" si="2"/>
        <v>12</v>
      </c>
      <c r="B16" s="87"/>
      <c r="C16" s="269"/>
      <c r="D16" s="269"/>
      <c r="E16" s="270"/>
      <c r="F16" s="79"/>
      <c r="G16" s="279"/>
      <c r="H16" s="281"/>
      <c r="I16" s="277"/>
      <c r="J16" s="276"/>
      <c r="K16" s="272"/>
      <c r="L16" s="79"/>
      <c r="M16" s="79"/>
      <c r="N16" s="278"/>
      <c r="O16" s="274"/>
      <c r="P16" s="273"/>
      <c r="Q16" s="274">
        <f t="shared" si="1"/>
        <v>0</v>
      </c>
      <c r="R16" s="282"/>
      <c r="S16" s="62"/>
      <c r="T16" s="122"/>
    </row>
    <row r="17" ht="21.75" customHeight="1">
      <c r="A17" s="85">
        <f t="shared" si="2"/>
        <v>13</v>
      </c>
      <c r="B17" s="87"/>
      <c r="C17" s="269"/>
      <c r="D17" s="269"/>
      <c r="E17" s="270"/>
      <c r="F17" s="79"/>
      <c r="G17" s="279"/>
      <c r="H17" s="281"/>
      <c r="I17" s="277"/>
      <c r="J17" s="276"/>
      <c r="K17" s="272"/>
      <c r="L17" s="79"/>
      <c r="M17" s="79"/>
      <c r="N17" s="278"/>
      <c r="O17" s="274"/>
      <c r="P17" s="273"/>
      <c r="Q17" s="274">
        <f t="shared" si="1"/>
        <v>0</v>
      </c>
      <c r="R17" s="282"/>
      <c r="S17" s="62"/>
      <c r="T17" s="122"/>
    </row>
    <row r="18" ht="21.75" customHeight="1">
      <c r="A18" s="85">
        <f t="shared" si="2"/>
        <v>14</v>
      </c>
      <c r="B18" s="87"/>
      <c r="C18" s="269"/>
      <c r="D18" s="269"/>
      <c r="E18" s="270"/>
      <c r="F18" s="79"/>
      <c r="G18" s="279"/>
      <c r="H18" s="281"/>
      <c r="I18" s="277"/>
      <c r="J18" s="276"/>
      <c r="K18" s="272"/>
      <c r="L18" s="79"/>
      <c r="M18" s="79"/>
      <c r="N18" s="278"/>
      <c r="O18" s="274"/>
      <c r="P18" s="273"/>
      <c r="Q18" s="274">
        <f t="shared" si="1"/>
        <v>0</v>
      </c>
      <c r="R18" s="282"/>
      <c r="S18" s="62"/>
      <c r="T18" s="122"/>
    </row>
    <row r="19" ht="21.75" customHeight="1">
      <c r="A19" s="85">
        <f t="shared" si="2"/>
        <v>15</v>
      </c>
      <c r="B19" s="87"/>
      <c r="C19" s="269"/>
      <c r="D19" s="269"/>
      <c r="E19" s="270"/>
      <c r="F19" s="79"/>
      <c r="G19" s="279"/>
      <c r="H19" s="281"/>
      <c r="I19" s="277"/>
      <c r="J19" s="276"/>
      <c r="K19" s="272"/>
      <c r="L19" s="79"/>
      <c r="M19" s="79"/>
      <c r="N19" s="278"/>
      <c r="O19" s="274"/>
      <c r="P19" s="273"/>
      <c r="Q19" s="274">
        <f t="shared" si="1"/>
        <v>0</v>
      </c>
      <c r="R19" s="282"/>
      <c r="S19" s="62"/>
      <c r="T19" s="122"/>
    </row>
    <row r="20" ht="21.75" customHeight="1">
      <c r="A20" s="85">
        <f t="shared" si="2"/>
        <v>16</v>
      </c>
      <c r="B20" s="87"/>
      <c r="C20" s="269"/>
      <c r="D20" s="269"/>
      <c r="E20" s="270"/>
      <c r="F20" s="79"/>
      <c r="G20" s="279"/>
      <c r="H20" s="281"/>
      <c r="I20" s="277"/>
      <c r="J20" s="276"/>
      <c r="K20" s="272"/>
      <c r="L20" s="79"/>
      <c r="M20" s="79"/>
      <c r="N20" s="278"/>
      <c r="O20" s="274"/>
      <c r="P20" s="273"/>
      <c r="Q20" s="274">
        <f t="shared" si="1"/>
        <v>0</v>
      </c>
      <c r="R20" s="275"/>
      <c r="S20" s="62"/>
      <c r="T20" s="122"/>
    </row>
    <row r="21" ht="21.75" customHeight="1">
      <c r="A21" s="85">
        <f t="shared" si="2"/>
        <v>17</v>
      </c>
      <c r="B21" s="87"/>
      <c r="C21" s="269"/>
      <c r="D21" s="269"/>
      <c r="E21" s="270"/>
      <c r="F21" s="79"/>
      <c r="G21" s="279"/>
      <c r="H21" s="281"/>
      <c r="I21" s="277"/>
      <c r="J21" s="276"/>
      <c r="K21" s="272"/>
      <c r="L21" s="79"/>
      <c r="M21" s="79"/>
      <c r="N21" s="278"/>
      <c r="O21" s="274"/>
      <c r="P21" s="273"/>
      <c r="Q21" s="274">
        <f t="shared" si="1"/>
        <v>0</v>
      </c>
      <c r="R21" s="275"/>
      <c r="S21" s="62"/>
      <c r="T21" s="122"/>
    </row>
    <row r="22" ht="21.75" customHeight="1">
      <c r="A22" s="85">
        <f t="shared" si="2"/>
        <v>18</v>
      </c>
      <c r="B22" s="87"/>
      <c r="C22" s="269"/>
      <c r="D22" s="269"/>
      <c r="E22" s="270"/>
      <c r="F22" s="79"/>
      <c r="G22" s="279"/>
      <c r="H22" s="281"/>
      <c r="I22" s="277"/>
      <c r="J22" s="276"/>
      <c r="K22" s="272"/>
      <c r="L22" s="79"/>
      <c r="M22" s="79"/>
      <c r="N22" s="278"/>
      <c r="O22" s="274"/>
      <c r="P22" s="273"/>
      <c r="Q22" s="274">
        <f t="shared" si="1"/>
        <v>0</v>
      </c>
      <c r="R22" s="275"/>
      <c r="S22" s="62"/>
      <c r="T22" s="122"/>
    </row>
    <row r="23" ht="21.75" customHeight="1">
      <c r="A23" s="85">
        <f t="shared" si="2"/>
        <v>19</v>
      </c>
      <c r="B23" s="87"/>
      <c r="C23" s="269"/>
      <c r="D23" s="269"/>
      <c r="E23" s="270"/>
      <c r="F23" s="79"/>
      <c r="G23" s="279"/>
      <c r="H23" s="281"/>
      <c r="I23" s="277"/>
      <c r="J23" s="276"/>
      <c r="K23" s="272"/>
      <c r="L23" s="79"/>
      <c r="M23" s="79"/>
      <c r="N23" s="278"/>
      <c r="O23" s="274"/>
      <c r="P23" s="273"/>
      <c r="Q23" s="274">
        <f t="shared" si="1"/>
        <v>0</v>
      </c>
      <c r="R23" s="275"/>
      <c r="S23" s="62"/>
      <c r="T23" s="122"/>
    </row>
    <row r="24" ht="21.75" customHeight="1">
      <c r="A24" s="85">
        <f t="shared" si="2"/>
        <v>20</v>
      </c>
      <c r="B24" s="87"/>
      <c r="C24" s="269"/>
      <c r="D24" s="269"/>
      <c r="E24" s="270"/>
      <c r="F24" s="79"/>
      <c r="G24" s="279"/>
      <c r="H24" s="281"/>
      <c r="I24" s="277"/>
      <c r="J24" s="276"/>
      <c r="K24" s="272"/>
      <c r="L24" s="79"/>
      <c r="M24" s="79"/>
      <c r="N24" s="278"/>
      <c r="O24" s="274"/>
      <c r="P24" s="273"/>
      <c r="Q24" s="274">
        <f t="shared" si="1"/>
        <v>0</v>
      </c>
      <c r="R24" s="275"/>
      <c r="S24" s="62"/>
      <c r="T24" s="122"/>
    </row>
    <row r="25" ht="21.75" customHeight="1">
      <c r="A25" s="85">
        <f t="shared" si="2"/>
        <v>21</v>
      </c>
      <c r="B25" s="87"/>
      <c r="C25" s="269"/>
      <c r="D25" s="269"/>
      <c r="E25" s="270"/>
      <c r="F25" s="79"/>
      <c r="G25" s="279"/>
      <c r="H25" s="281"/>
      <c r="I25" s="277"/>
      <c r="J25" s="276"/>
      <c r="K25" s="272"/>
      <c r="L25" s="79"/>
      <c r="M25" s="79"/>
      <c r="N25" s="278"/>
      <c r="O25" s="274"/>
      <c r="P25" s="273"/>
      <c r="Q25" s="274">
        <f t="shared" si="1"/>
        <v>0</v>
      </c>
      <c r="R25" s="275"/>
      <c r="S25" s="62"/>
      <c r="T25" s="122"/>
    </row>
    <row r="26" ht="21.75" customHeight="1">
      <c r="A26" s="85">
        <f t="shared" si="2"/>
        <v>22</v>
      </c>
      <c r="B26" s="87"/>
      <c r="C26" s="269"/>
      <c r="D26" s="269"/>
      <c r="E26" s="270"/>
      <c r="F26" s="79"/>
      <c r="G26" s="279"/>
      <c r="H26" s="281"/>
      <c r="I26" s="277"/>
      <c r="J26" s="276"/>
      <c r="K26" s="272"/>
      <c r="L26" s="79"/>
      <c r="M26" s="79"/>
      <c r="N26" s="278"/>
      <c r="O26" s="274"/>
      <c r="P26" s="273"/>
      <c r="Q26" s="274">
        <f t="shared" si="1"/>
        <v>0</v>
      </c>
      <c r="R26" s="275"/>
      <c r="S26" s="62"/>
      <c r="T26" s="122"/>
    </row>
    <row r="27" ht="21.75" customHeight="1">
      <c r="A27" s="85">
        <f t="shared" si="2"/>
        <v>23</v>
      </c>
      <c r="B27" s="87"/>
      <c r="C27" s="269"/>
      <c r="D27" s="269"/>
      <c r="E27" s="270"/>
      <c r="F27" s="79"/>
      <c r="G27" s="279"/>
      <c r="H27" s="281"/>
      <c r="I27" s="277"/>
      <c r="J27" s="276"/>
      <c r="K27" s="272"/>
      <c r="L27" s="79"/>
      <c r="M27" s="79"/>
      <c r="N27" s="278"/>
      <c r="O27" s="274"/>
      <c r="P27" s="273"/>
      <c r="Q27" s="274">
        <f t="shared" si="1"/>
        <v>0</v>
      </c>
      <c r="R27" s="275"/>
      <c r="S27" s="62"/>
      <c r="T27" s="122"/>
    </row>
    <row r="28" ht="21.75" customHeight="1">
      <c r="A28" s="85">
        <f t="shared" si="2"/>
        <v>24</v>
      </c>
      <c r="B28" s="87"/>
      <c r="C28" s="269"/>
      <c r="D28" s="269"/>
      <c r="E28" s="270"/>
      <c r="F28" s="79"/>
      <c r="G28" s="279"/>
      <c r="H28" s="281"/>
      <c r="I28" s="277"/>
      <c r="J28" s="276"/>
      <c r="K28" s="272"/>
      <c r="L28" s="79"/>
      <c r="M28" s="79"/>
      <c r="N28" s="278"/>
      <c r="O28" s="274"/>
      <c r="P28" s="273"/>
      <c r="Q28" s="274">
        <f t="shared" si="1"/>
        <v>0</v>
      </c>
      <c r="R28" s="275"/>
      <c r="S28" s="62"/>
      <c r="T28" s="122"/>
    </row>
    <row r="29" ht="21.75" customHeight="1">
      <c r="A29" s="85">
        <f t="shared" si="2"/>
        <v>25</v>
      </c>
      <c r="B29" s="87"/>
      <c r="C29" s="269"/>
      <c r="D29" s="269"/>
      <c r="E29" s="270"/>
      <c r="F29" s="79"/>
      <c r="G29" s="279"/>
      <c r="H29" s="281"/>
      <c r="I29" s="277"/>
      <c r="J29" s="276"/>
      <c r="K29" s="272"/>
      <c r="L29" s="79"/>
      <c r="M29" s="79"/>
      <c r="N29" s="278"/>
      <c r="O29" s="274"/>
      <c r="P29" s="273"/>
      <c r="Q29" s="274">
        <f t="shared" si="1"/>
        <v>0</v>
      </c>
      <c r="R29" s="275"/>
      <c r="S29" s="62"/>
      <c r="T29" s="122"/>
    </row>
    <row r="30" ht="21.75" customHeight="1">
      <c r="A30" s="85">
        <f t="shared" si="2"/>
        <v>26</v>
      </c>
      <c r="B30" s="87"/>
      <c r="C30" s="269"/>
      <c r="D30" s="269"/>
      <c r="E30" s="270"/>
      <c r="F30" s="79"/>
      <c r="G30" s="279"/>
      <c r="H30" s="281"/>
      <c r="I30" s="277"/>
      <c r="J30" s="276"/>
      <c r="K30" s="272"/>
      <c r="L30" s="79"/>
      <c r="M30" s="79"/>
      <c r="N30" s="278"/>
      <c r="O30" s="274"/>
      <c r="P30" s="273"/>
      <c r="Q30" s="274">
        <f t="shared" si="1"/>
        <v>0</v>
      </c>
      <c r="R30" s="275"/>
      <c r="S30" s="62"/>
      <c r="T30" s="122"/>
    </row>
    <row r="31" ht="21.75" customHeight="1">
      <c r="A31" s="85">
        <f t="shared" si="2"/>
        <v>27</v>
      </c>
      <c r="B31" s="87"/>
      <c r="C31" s="269"/>
      <c r="D31" s="269"/>
      <c r="E31" s="270"/>
      <c r="F31" s="79"/>
      <c r="G31" s="279"/>
      <c r="H31" s="281"/>
      <c r="I31" s="277"/>
      <c r="J31" s="276"/>
      <c r="K31" s="272"/>
      <c r="L31" s="79"/>
      <c r="M31" s="79"/>
      <c r="N31" s="278"/>
      <c r="O31" s="274"/>
      <c r="P31" s="273"/>
      <c r="Q31" s="274">
        <f t="shared" si="1"/>
        <v>0</v>
      </c>
      <c r="R31" s="275"/>
      <c r="S31" s="62"/>
      <c r="T31" s="122"/>
    </row>
    <row r="32" ht="21.75" customHeight="1">
      <c r="A32" s="85">
        <f t="shared" si="2"/>
        <v>28</v>
      </c>
      <c r="B32" s="87"/>
      <c r="C32" s="269"/>
      <c r="D32" s="269"/>
      <c r="E32" s="270"/>
      <c r="F32" s="79"/>
      <c r="G32" s="279"/>
      <c r="H32" s="281"/>
      <c r="I32" s="277"/>
      <c r="J32" s="276"/>
      <c r="K32" s="272"/>
      <c r="L32" s="79"/>
      <c r="M32" s="79"/>
      <c r="N32" s="278"/>
      <c r="O32" s="274"/>
      <c r="P32" s="273"/>
      <c r="Q32" s="274">
        <f t="shared" si="1"/>
        <v>0</v>
      </c>
      <c r="R32" s="275"/>
      <c r="S32" s="62"/>
      <c r="T32" s="122"/>
    </row>
    <row r="33" ht="21.75" customHeight="1">
      <c r="A33" s="85">
        <f t="shared" si="2"/>
        <v>29</v>
      </c>
      <c r="B33" s="87"/>
      <c r="C33" s="269"/>
      <c r="D33" s="269"/>
      <c r="E33" s="270"/>
      <c r="F33" s="79"/>
      <c r="G33" s="279"/>
      <c r="H33" s="281"/>
      <c r="I33" s="277"/>
      <c r="J33" s="276"/>
      <c r="K33" s="272"/>
      <c r="L33" s="79"/>
      <c r="M33" s="79"/>
      <c r="N33" s="278"/>
      <c r="O33" s="274"/>
      <c r="P33" s="273"/>
      <c r="Q33" s="274">
        <f t="shared" si="1"/>
        <v>0</v>
      </c>
      <c r="R33" s="275"/>
      <c r="S33" s="62"/>
      <c r="T33" s="122"/>
    </row>
    <row r="34" ht="21.75" customHeight="1">
      <c r="A34" s="85">
        <f t="shared" si="2"/>
        <v>30</v>
      </c>
      <c r="B34" s="87"/>
      <c r="C34" s="269"/>
      <c r="D34" s="269"/>
      <c r="E34" s="270"/>
      <c r="F34" s="79"/>
      <c r="G34" s="279"/>
      <c r="H34" s="281"/>
      <c r="I34" s="277"/>
      <c r="J34" s="276"/>
      <c r="K34" s="272"/>
      <c r="L34" s="79"/>
      <c r="M34" s="79"/>
      <c r="N34" s="278"/>
      <c r="O34" s="274"/>
      <c r="P34" s="273"/>
      <c r="Q34" s="274">
        <f t="shared" si="1"/>
        <v>0</v>
      </c>
      <c r="R34" s="275"/>
      <c r="S34" s="62"/>
      <c r="T34" s="122"/>
    </row>
    <row r="35" ht="21.75" customHeight="1">
      <c r="A35" s="85">
        <f t="shared" si="2"/>
        <v>31</v>
      </c>
      <c r="B35" s="87"/>
      <c r="C35" s="269"/>
      <c r="D35" s="269"/>
      <c r="E35" s="270"/>
      <c r="F35" s="79"/>
      <c r="G35" s="279"/>
      <c r="H35" s="281"/>
      <c r="I35" s="277"/>
      <c r="J35" s="276"/>
      <c r="K35" s="272"/>
      <c r="L35" s="79"/>
      <c r="M35" s="79"/>
      <c r="N35" s="278"/>
      <c r="O35" s="274"/>
      <c r="P35" s="273"/>
      <c r="Q35" s="274">
        <f t="shared" si="1"/>
        <v>0</v>
      </c>
      <c r="R35" s="275"/>
      <c r="S35" s="62"/>
      <c r="T35" s="122"/>
    </row>
    <row r="36" ht="21.75" customHeight="1">
      <c r="A36" s="85">
        <f t="shared" si="2"/>
        <v>32</v>
      </c>
      <c r="B36" s="87"/>
      <c r="C36" s="269"/>
      <c r="D36" s="269"/>
      <c r="E36" s="270"/>
      <c r="F36" s="79"/>
      <c r="G36" s="279"/>
      <c r="H36" s="281"/>
      <c r="I36" s="277"/>
      <c r="J36" s="276"/>
      <c r="K36" s="272"/>
      <c r="L36" s="79"/>
      <c r="M36" s="79"/>
      <c r="N36" s="278"/>
      <c r="O36" s="274"/>
      <c r="P36" s="273"/>
      <c r="Q36" s="274">
        <f t="shared" si="1"/>
        <v>0</v>
      </c>
      <c r="R36" s="275"/>
      <c r="S36" s="62"/>
      <c r="T36" s="122"/>
    </row>
    <row r="37" ht="21.75" customHeight="1">
      <c r="A37" s="85">
        <f t="shared" si="2"/>
        <v>33</v>
      </c>
      <c r="B37" s="87"/>
      <c r="C37" s="269"/>
      <c r="D37" s="269"/>
      <c r="E37" s="270"/>
      <c r="F37" s="79"/>
      <c r="G37" s="279"/>
      <c r="H37" s="281"/>
      <c r="I37" s="277"/>
      <c r="J37" s="276"/>
      <c r="K37" s="272"/>
      <c r="L37" s="79"/>
      <c r="M37" s="79"/>
      <c r="N37" s="278"/>
      <c r="O37" s="274"/>
      <c r="P37" s="273"/>
      <c r="Q37" s="274">
        <f t="shared" si="1"/>
        <v>0</v>
      </c>
      <c r="R37" s="275"/>
      <c r="S37" s="62"/>
      <c r="T37" s="122"/>
    </row>
    <row r="38" ht="21.75" customHeight="1">
      <c r="A38" s="85">
        <f t="shared" si="2"/>
        <v>34</v>
      </c>
      <c r="B38" s="87"/>
      <c r="C38" s="269"/>
      <c r="D38" s="269"/>
      <c r="E38" s="270"/>
      <c r="F38" s="79"/>
      <c r="G38" s="279"/>
      <c r="H38" s="281"/>
      <c r="I38" s="277"/>
      <c r="J38" s="276"/>
      <c r="K38" s="272"/>
      <c r="L38" s="79"/>
      <c r="M38" s="79"/>
      <c r="N38" s="278"/>
      <c r="O38" s="274"/>
      <c r="P38" s="273"/>
      <c r="Q38" s="274">
        <f t="shared" si="1"/>
        <v>0</v>
      </c>
      <c r="R38" s="275"/>
      <c r="S38" s="62"/>
      <c r="T38" s="122"/>
    </row>
    <row r="39" ht="21.75" customHeight="1">
      <c r="A39" s="85">
        <f t="shared" si="2"/>
        <v>35</v>
      </c>
      <c r="B39" s="87"/>
      <c r="C39" s="269"/>
      <c r="D39" s="269"/>
      <c r="E39" s="270"/>
      <c r="F39" s="79"/>
      <c r="G39" s="279"/>
      <c r="H39" s="281"/>
      <c r="I39" s="277"/>
      <c r="J39" s="276"/>
      <c r="K39" s="272"/>
      <c r="L39" s="79"/>
      <c r="M39" s="79"/>
      <c r="N39" s="278"/>
      <c r="O39" s="274"/>
      <c r="P39" s="273"/>
      <c r="Q39" s="274">
        <f t="shared" si="1"/>
        <v>0</v>
      </c>
      <c r="R39" s="275"/>
      <c r="S39" s="62"/>
      <c r="T39" s="122"/>
    </row>
    <row r="40" ht="21.75" customHeight="1">
      <c r="A40" s="85">
        <f t="shared" si="2"/>
        <v>36</v>
      </c>
      <c r="B40" s="87"/>
      <c r="C40" s="269"/>
      <c r="D40" s="269"/>
      <c r="E40" s="270"/>
      <c r="F40" s="79"/>
      <c r="G40" s="279"/>
      <c r="H40" s="281"/>
      <c r="I40" s="277"/>
      <c r="J40" s="276"/>
      <c r="K40" s="272"/>
      <c r="L40" s="79"/>
      <c r="M40" s="79"/>
      <c r="N40" s="278"/>
      <c r="O40" s="274"/>
      <c r="P40" s="273"/>
      <c r="Q40" s="274">
        <f t="shared" si="1"/>
        <v>0</v>
      </c>
      <c r="R40" s="275"/>
      <c r="S40" s="62"/>
      <c r="T40" s="122"/>
    </row>
    <row r="41" ht="21.75" customHeight="1">
      <c r="A41" s="85">
        <f t="shared" si="2"/>
        <v>37</v>
      </c>
      <c r="B41" s="87"/>
      <c r="C41" s="269"/>
      <c r="D41" s="269"/>
      <c r="E41" s="270"/>
      <c r="F41" s="79"/>
      <c r="G41" s="279"/>
      <c r="H41" s="281"/>
      <c r="I41" s="277"/>
      <c r="J41" s="276"/>
      <c r="K41" s="272"/>
      <c r="L41" s="79"/>
      <c r="M41" s="79"/>
      <c r="N41" s="278"/>
      <c r="O41" s="274"/>
      <c r="P41" s="273"/>
      <c r="Q41" s="274">
        <f t="shared" si="1"/>
        <v>0</v>
      </c>
      <c r="R41" s="275"/>
      <c r="S41" s="62"/>
      <c r="T41" s="122"/>
    </row>
    <row r="42" ht="21.75" customHeight="1">
      <c r="A42" s="85">
        <f t="shared" si="2"/>
        <v>38</v>
      </c>
      <c r="B42" s="87"/>
      <c r="C42" s="269"/>
      <c r="D42" s="269"/>
      <c r="E42" s="270"/>
      <c r="F42" s="79"/>
      <c r="G42" s="279"/>
      <c r="H42" s="281"/>
      <c r="I42" s="277"/>
      <c r="J42" s="276"/>
      <c r="K42" s="272"/>
      <c r="L42" s="79"/>
      <c r="M42" s="79"/>
      <c r="N42" s="278"/>
      <c r="O42" s="274"/>
      <c r="P42" s="273"/>
      <c r="Q42" s="274">
        <f t="shared" si="1"/>
        <v>0</v>
      </c>
      <c r="R42" s="275"/>
      <c r="S42" s="62"/>
      <c r="T42" s="122"/>
    </row>
    <row r="43" ht="21.75" customHeight="1">
      <c r="A43" s="85">
        <f t="shared" si="2"/>
        <v>39</v>
      </c>
      <c r="B43" s="87"/>
      <c r="C43" s="269"/>
      <c r="D43" s="269"/>
      <c r="E43" s="270"/>
      <c r="F43" s="79"/>
      <c r="G43" s="279"/>
      <c r="H43" s="281"/>
      <c r="I43" s="277"/>
      <c r="J43" s="276"/>
      <c r="K43" s="272"/>
      <c r="L43" s="79"/>
      <c r="M43" s="79"/>
      <c r="N43" s="278"/>
      <c r="O43" s="274"/>
      <c r="P43" s="273"/>
      <c r="Q43" s="274">
        <f t="shared" si="1"/>
        <v>0</v>
      </c>
      <c r="R43" s="275"/>
      <c r="S43" s="62"/>
      <c r="T43" s="122"/>
    </row>
    <row r="44" ht="21.75" customHeight="1">
      <c r="A44" s="85">
        <f t="shared" si="2"/>
        <v>40</v>
      </c>
      <c r="B44" s="87"/>
      <c r="C44" s="269"/>
      <c r="D44" s="269"/>
      <c r="E44" s="270"/>
      <c r="F44" s="79"/>
      <c r="G44" s="279"/>
      <c r="H44" s="281"/>
      <c r="I44" s="277"/>
      <c r="J44" s="276"/>
      <c r="K44" s="272"/>
      <c r="L44" s="79"/>
      <c r="M44" s="79"/>
      <c r="N44" s="278"/>
      <c r="O44" s="274"/>
      <c r="P44" s="273"/>
      <c r="Q44" s="274">
        <f t="shared" si="1"/>
        <v>0</v>
      </c>
      <c r="R44" s="275"/>
      <c r="S44" s="62"/>
      <c r="T44" s="122"/>
    </row>
    <row r="45" ht="21.75" customHeight="1">
      <c r="A45" s="85">
        <f t="shared" si="2"/>
        <v>41</v>
      </c>
      <c r="B45" s="87"/>
      <c r="C45" s="269"/>
      <c r="D45" s="269"/>
      <c r="E45" s="270"/>
      <c r="F45" s="79"/>
      <c r="G45" s="279"/>
      <c r="H45" s="281"/>
      <c r="I45" s="277"/>
      <c r="J45" s="276"/>
      <c r="K45" s="272"/>
      <c r="L45" s="79"/>
      <c r="M45" s="79"/>
      <c r="N45" s="278"/>
      <c r="O45" s="274"/>
      <c r="P45" s="273"/>
      <c r="Q45" s="274">
        <f t="shared" si="1"/>
        <v>0</v>
      </c>
      <c r="R45" s="275"/>
      <c r="S45" s="62"/>
      <c r="T45" s="122"/>
    </row>
    <row r="46" ht="21.75" customHeight="1">
      <c r="A46" s="85">
        <f t="shared" si="2"/>
        <v>42</v>
      </c>
      <c r="B46" s="87"/>
      <c r="C46" s="269"/>
      <c r="D46" s="269"/>
      <c r="E46" s="270"/>
      <c r="F46" s="79"/>
      <c r="G46" s="279"/>
      <c r="H46" s="281"/>
      <c r="I46" s="277"/>
      <c r="J46" s="276"/>
      <c r="K46" s="272"/>
      <c r="L46" s="79"/>
      <c r="M46" s="79"/>
      <c r="N46" s="278"/>
      <c r="O46" s="274"/>
      <c r="P46" s="273"/>
      <c r="Q46" s="274">
        <f t="shared" si="1"/>
        <v>0</v>
      </c>
      <c r="R46" s="275"/>
      <c r="S46" s="62"/>
      <c r="T46" s="122"/>
    </row>
    <row r="47" ht="21.75" customHeight="1">
      <c r="A47" s="85">
        <f t="shared" si="2"/>
        <v>43</v>
      </c>
      <c r="B47" s="87"/>
      <c r="C47" s="269"/>
      <c r="D47" s="269"/>
      <c r="E47" s="270"/>
      <c r="F47" s="79"/>
      <c r="G47" s="279"/>
      <c r="H47" s="281"/>
      <c r="I47" s="277"/>
      <c r="J47" s="276"/>
      <c r="K47" s="272"/>
      <c r="L47" s="79"/>
      <c r="M47" s="79"/>
      <c r="N47" s="278"/>
      <c r="O47" s="274"/>
      <c r="P47" s="273"/>
      <c r="Q47" s="274">
        <f t="shared" si="1"/>
        <v>0</v>
      </c>
      <c r="R47" s="275"/>
      <c r="S47" s="62"/>
      <c r="T47" s="122"/>
    </row>
    <row r="48" ht="21.75" customHeight="1">
      <c r="A48" s="85">
        <f t="shared" si="2"/>
        <v>44</v>
      </c>
      <c r="B48" s="87"/>
      <c r="C48" s="269"/>
      <c r="D48" s="269"/>
      <c r="E48" s="270"/>
      <c r="F48" s="79"/>
      <c r="G48" s="279"/>
      <c r="H48" s="281"/>
      <c r="I48" s="277"/>
      <c r="J48" s="276"/>
      <c r="K48" s="272"/>
      <c r="L48" s="79"/>
      <c r="M48" s="79"/>
      <c r="N48" s="278"/>
      <c r="O48" s="274"/>
      <c r="P48" s="273"/>
      <c r="Q48" s="274">
        <f t="shared" si="1"/>
        <v>0</v>
      </c>
      <c r="R48" s="275"/>
      <c r="S48" s="62"/>
      <c r="T48" s="122"/>
    </row>
    <row r="49" ht="21.75" customHeight="1">
      <c r="A49" s="85">
        <f t="shared" si="2"/>
        <v>45</v>
      </c>
      <c r="B49" s="87"/>
      <c r="C49" s="269"/>
      <c r="D49" s="269"/>
      <c r="E49" s="270"/>
      <c r="F49" s="79"/>
      <c r="G49" s="279"/>
      <c r="H49" s="281"/>
      <c r="I49" s="277"/>
      <c r="J49" s="276"/>
      <c r="K49" s="272"/>
      <c r="L49" s="79"/>
      <c r="M49" s="79"/>
      <c r="N49" s="278"/>
      <c r="O49" s="274"/>
      <c r="P49" s="273"/>
      <c r="Q49" s="274">
        <f t="shared" si="1"/>
        <v>0</v>
      </c>
      <c r="R49" s="275"/>
      <c r="S49" s="62"/>
      <c r="T49" s="122"/>
    </row>
    <row r="50" ht="21.75" customHeight="1">
      <c r="A50" s="85">
        <f t="shared" si="2"/>
        <v>46</v>
      </c>
      <c r="B50" s="87"/>
      <c r="C50" s="269"/>
      <c r="D50" s="269"/>
      <c r="E50" s="270"/>
      <c r="F50" s="79"/>
      <c r="G50" s="279"/>
      <c r="H50" s="281"/>
      <c r="I50" s="277"/>
      <c r="J50" s="276"/>
      <c r="K50" s="272"/>
      <c r="L50" s="79"/>
      <c r="M50" s="79"/>
      <c r="N50" s="278"/>
      <c r="O50" s="274"/>
      <c r="P50" s="273"/>
      <c r="Q50" s="274">
        <f t="shared" si="1"/>
        <v>0</v>
      </c>
      <c r="R50" s="275"/>
      <c r="S50" s="62"/>
      <c r="T50" s="122"/>
    </row>
    <row r="51" ht="21.75" customHeight="1">
      <c r="A51" s="85">
        <f t="shared" si="2"/>
        <v>47</v>
      </c>
      <c r="B51" s="87"/>
      <c r="C51" s="269"/>
      <c r="D51" s="269"/>
      <c r="E51" s="270"/>
      <c r="F51" s="79"/>
      <c r="G51" s="279"/>
      <c r="H51" s="281"/>
      <c r="I51" s="277"/>
      <c r="J51" s="276"/>
      <c r="K51" s="272"/>
      <c r="L51" s="79"/>
      <c r="M51" s="79"/>
      <c r="N51" s="278"/>
      <c r="O51" s="274"/>
      <c r="P51" s="273"/>
      <c r="Q51" s="274">
        <f t="shared" si="1"/>
        <v>0</v>
      </c>
      <c r="R51" s="275"/>
      <c r="S51" s="62"/>
      <c r="T51" s="122"/>
    </row>
    <row r="52" ht="21.75" customHeight="1">
      <c r="A52" s="85">
        <f t="shared" si="2"/>
        <v>48</v>
      </c>
      <c r="B52" s="87"/>
      <c r="C52" s="269"/>
      <c r="D52" s="269"/>
      <c r="E52" s="270"/>
      <c r="F52" s="79"/>
      <c r="G52" s="279"/>
      <c r="H52" s="281"/>
      <c r="I52" s="277"/>
      <c r="J52" s="276"/>
      <c r="K52" s="272"/>
      <c r="L52" s="79"/>
      <c r="M52" s="79"/>
      <c r="N52" s="278"/>
      <c r="O52" s="274"/>
      <c r="P52" s="273"/>
      <c r="Q52" s="274">
        <f t="shared" si="1"/>
        <v>0</v>
      </c>
      <c r="R52" s="275"/>
      <c r="S52" s="62"/>
      <c r="T52" s="122"/>
    </row>
    <row r="53" ht="21.75" customHeight="1">
      <c r="A53" s="85">
        <f t="shared" si="2"/>
        <v>49</v>
      </c>
      <c r="B53" s="87"/>
      <c r="C53" s="269"/>
      <c r="D53" s="269"/>
      <c r="E53" s="270"/>
      <c r="F53" s="79"/>
      <c r="G53" s="279"/>
      <c r="H53" s="281"/>
      <c r="I53" s="277"/>
      <c r="J53" s="276"/>
      <c r="K53" s="272"/>
      <c r="L53" s="79"/>
      <c r="M53" s="79"/>
      <c r="N53" s="278"/>
      <c r="O53" s="274"/>
      <c r="P53" s="273"/>
      <c r="Q53" s="274">
        <f t="shared" si="1"/>
        <v>0</v>
      </c>
      <c r="R53" s="275"/>
      <c r="S53" s="62"/>
      <c r="T53" s="122"/>
    </row>
    <row r="54" ht="21.75" customHeight="1">
      <c r="A54" s="85">
        <f t="shared" si="2"/>
        <v>50</v>
      </c>
      <c r="B54" s="87"/>
      <c r="C54" s="269"/>
      <c r="D54" s="269"/>
      <c r="E54" s="270"/>
      <c r="F54" s="79"/>
      <c r="G54" s="279"/>
      <c r="H54" s="281"/>
      <c r="I54" s="277"/>
      <c r="J54" s="276"/>
      <c r="K54" s="272"/>
      <c r="L54" s="79"/>
      <c r="M54" s="79"/>
      <c r="N54" s="278"/>
      <c r="O54" s="274"/>
      <c r="P54" s="273"/>
      <c r="Q54" s="274">
        <f t="shared" si="1"/>
        <v>0</v>
      </c>
      <c r="R54" s="275"/>
      <c r="S54" s="62"/>
      <c r="T54" s="122"/>
    </row>
    <row r="55" ht="21.75" customHeight="1">
      <c r="A55" s="85">
        <f t="shared" si="2"/>
        <v>51</v>
      </c>
      <c r="B55" s="87"/>
      <c r="C55" s="269"/>
      <c r="D55" s="269"/>
      <c r="E55" s="270"/>
      <c r="F55" s="79"/>
      <c r="G55" s="279"/>
      <c r="H55" s="281"/>
      <c r="I55" s="277"/>
      <c r="J55" s="276"/>
      <c r="K55" s="272"/>
      <c r="L55" s="79"/>
      <c r="M55" s="79"/>
      <c r="N55" s="278"/>
      <c r="O55" s="274"/>
      <c r="P55" s="273"/>
      <c r="Q55" s="274">
        <f t="shared" si="1"/>
        <v>0</v>
      </c>
      <c r="R55" s="275"/>
      <c r="S55" s="62"/>
      <c r="T55" s="122"/>
    </row>
    <row r="56" ht="21.75" customHeight="1">
      <c r="A56" s="85">
        <f t="shared" si="2"/>
        <v>52</v>
      </c>
      <c r="B56" s="87"/>
      <c r="C56" s="269"/>
      <c r="D56" s="269"/>
      <c r="E56" s="270"/>
      <c r="F56" s="79"/>
      <c r="G56" s="279"/>
      <c r="H56" s="281"/>
      <c r="I56" s="277"/>
      <c r="J56" s="276"/>
      <c r="K56" s="272"/>
      <c r="L56" s="79"/>
      <c r="M56" s="79"/>
      <c r="N56" s="278"/>
      <c r="O56" s="274"/>
      <c r="P56" s="273"/>
      <c r="Q56" s="274">
        <f t="shared" si="1"/>
        <v>0</v>
      </c>
      <c r="R56" s="275"/>
      <c r="S56" s="62"/>
      <c r="T56" s="122"/>
    </row>
    <row r="57" ht="21.75" customHeight="1">
      <c r="A57" s="85">
        <f t="shared" si="2"/>
        <v>53</v>
      </c>
      <c r="B57" s="87"/>
      <c r="C57" s="269"/>
      <c r="D57" s="269"/>
      <c r="E57" s="270"/>
      <c r="F57" s="79"/>
      <c r="G57" s="279"/>
      <c r="H57" s="281"/>
      <c r="I57" s="277"/>
      <c r="J57" s="276"/>
      <c r="K57" s="272"/>
      <c r="L57" s="79"/>
      <c r="M57" s="79"/>
      <c r="N57" s="278"/>
      <c r="O57" s="274"/>
      <c r="P57" s="273"/>
      <c r="Q57" s="274">
        <f t="shared" si="1"/>
        <v>0</v>
      </c>
      <c r="R57" s="275"/>
      <c r="S57" s="62"/>
      <c r="T57" s="122"/>
    </row>
    <row r="58" ht="21.75" customHeight="1">
      <c r="A58" s="85">
        <f t="shared" si="2"/>
        <v>54</v>
      </c>
      <c r="B58" s="87"/>
      <c r="C58" s="269"/>
      <c r="D58" s="269"/>
      <c r="E58" s="270"/>
      <c r="F58" s="79"/>
      <c r="G58" s="279"/>
      <c r="H58" s="281"/>
      <c r="I58" s="277"/>
      <c r="J58" s="276"/>
      <c r="K58" s="272"/>
      <c r="L58" s="79"/>
      <c r="M58" s="79"/>
      <c r="N58" s="278"/>
      <c r="O58" s="274"/>
      <c r="P58" s="273"/>
      <c r="Q58" s="274">
        <f t="shared" si="1"/>
        <v>0</v>
      </c>
      <c r="R58" s="275"/>
      <c r="S58" s="62"/>
      <c r="T58" s="122"/>
    </row>
    <row r="59" ht="21.75" customHeight="1">
      <c r="A59" s="85">
        <f t="shared" si="2"/>
        <v>55</v>
      </c>
      <c r="B59" s="87"/>
      <c r="C59" s="269"/>
      <c r="D59" s="269"/>
      <c r="E59" s="270"/>
      <c r="F59" s="79"/>
      <c r="G59" s="279"/>
      <c r="H59" s="281"/>
      <c r="I59" s="277"/>
      <c r="J59" s="276"/>
      <c r="K59" s="272"/>
      <c r="L59" s="79"/>
      <c r="M59" s="79"/>
      <c r="N59" s="278"/>
      <c r="O59" s="274"/>
      <c r="P59" s="273"/>
      <c r="Q59" s="274">
        <f t="shared" si="1"/>
        <v>0</v>
      </c>
      <c r="R59" s="275"/>
      <c r="S59" s="62"/>
      <c r="T59" s="122"/>
    </row>
    <row r="60" ht="21.75" customHeight="1">
      <c r="A60" s="85">
        <f t="shared" si="2"/>
        <v>56</v>
      </c>
      <c r="B60" s="87"/>
      <c r="C60" s="269"/>
      <c r="D60" s="269"/>
      <c r="E60" s="270"/>
      <c r="F60" s="79"/>
      <c r="G60" s="279"/>
      <c r="H60" s="281"/>
      <c r="I60" s="277"/>
      <c r="J60" s="276"/>
      <c r="K60" s="272"/>
      <c r="L60" s="79"/>
      <c r="M60" s="79"/>
      <c r="N60" s="278"/>
      <c r="O60" s="274"/>
      <c r="P60" s="273"/>
      <c r="Q60" s="274">
        <f t="shared" si="1"/>
        <v>0</v>
      </c>
      <c r="R60" s="275"/>
      <c r="S60" s="62"/>
      <c r="T60" s="122"/>
    </row>
    <row r="61" ht="21.75" customHeight="1">
      <c r="A61" s="85">
        <f t="shared" si="2"/>
        <v>57</v>
      </c>
      <c r="B61" s="87"/>
      <c r="C61" s="269"/>
      <c r="D61" s="269"/>
      <c r="E61" s="270"/>
      <c r="F61" s="79"/>
      <c r="G61" s="279"/>
      <c r="H61" s="281"/>
      <c r="I61" s="277"/>
      <c r="J61" s="276"/>
      <c r="K61" s="272"/>
      <c r="L61" s="79"/>
      <c r="M61" s="79"/>
      <c r="N61" s="278"/>
      <c r="O61" s="274"/>
      <c r="P61" s="273"/>
      <c r="Q61" s="274">
        <f t="shared" si="1"/>
        <v>0</v>
      </c>
      <c r="R61" s="275"/>
      <c r="S61" s="62"/>
      <c r="T61" s="122"/>
    </row>
    <row r="62" ht="21.75" customHeight="1">
      <c r="A62" s="85">
        <f t="shared" si="2"/>
        <v>58</v>
      </c>
      <c r="B62" s="87"/>
      <c r="C62" s="269"/>
      <c r="D62" s="269"/>
      <c r="E62" s="270"/>
      <c r="F62" s="79"/>
      <c r="G62" s="279"/>
      <c r="H62" s="281"/>
      <c r="I62" s="277"/>
      <c r="J62" s="276"/>
      <c r="K62" s="272"/>
      <c r="L62" s="79"/>
      <c r="M62" s="79"/>
      <c r="N62" s="278"/>
      <c r="O62" s="274"/>
      <c r="P62" s="273"/>
      <c r="Q62" s="274">
        <f t="shared" si="1"/>
        <v>0</v>
      </c>
      <c r="R62" s="275"/>
      <c r="S62" s="62"/>
      <c r="T62" s="122"/>
    </row>
    <row r="63" ht="21.75" customHeight="1">
      <c r="A63" s="85">
        <f t="shared" si="2"/>
        <v>59</v>
      </c>
      <c r="B63" s="87"/>
      <c r="C63" s="269"/>
      <c r="D63" s="269"/>
      <c r="E63" s="270"/>
      <c r="F63" s="79"/>
      <c r="G63" s="279"/>
      <c r="H63" s="281"/>
      <c r="I63" s="277"/>
      <c r="J63" s="276"/>
      <c r="K63" s="272"/>
      <c r="L63" s="79"/>
      <c r="M63" s="79"/>
      <c r="N63" s="278"/>
      <c r="O63" s="274"/>
      <c r="P63" s="273"/>
      <c r="Q63" s="274">
        <f t="shared" si="1"/>
        <v>0</v>
      </c>
      <c r="R63" s="275"/>
      <c r="S63" s="62"/>
      <c r="T63" s="122"/>
    </row>
    <row r="64" ht="21.75" customHeight="1">
      <c r="A64" s="85">
        <f t="shared" si="2"/>
        <v>60</v>
      </c>
      <c r="B64" s="87"/>
      <c r="C64" s="269"/>
      <c r="D64" s="269"/>
      <c r="E64" s="270"/>
      <c r="F64" s="79"/>
      <c r="G64" s="279"/>
      <c r="H64" s="281"/>
      <c r="I64" s="277"/>
      <c r="J64" s="276"/>
      <c r="K64" s="272"/>
      <c r="L64" s="79"/>
      <c r="M64" s="79"/>
      <c r="N64" s="278"/>
      <c r="O64" s="274"/>
      <c r="P64" s="273"/>
      <c r="Q64" s="274">
        <f t="shared" si="1"/>
        <v>0</v>
      </c>
      <c r="R64" s="275"/>
      <c r="S64" s="62"/>
      <c r="T64" s="122"/>
    </row>
    <row r="65" ht="21.75" customHeight="1">
      <c r="A65" s="85">
        <f t="shared" si="2"/>
        <v>61</v>
      </c>
      <c r="B65" s="87"/>
      <c r="C65" s="269"/>
      <c r="D65" s="269"/>
      <c r="E65" s="270"/>
      <c r="F65" s="79"/>
      <c r="G65" s="279"/>
      <c r="H65" s="281"/>
      <c r="I65" s="277"/>
      <c r="J65" s="276"/>
      <c r="K65" s="272"/>
      <c r="L65" s="79"/>
      <c r="M65" s="79"/>
      <c r="N65" s="278"/>
      <c r="O65" s="274"/>
      <c r="P65" s="273"/>
      <c r="Q65" s="274">
        <f t="shared" si="1"/>
        <v>0</v>
      </c>
      <c r="R65" s="275"/>
      <c r="S65" s="62"/>
      <c r="T65" s="122"/>
    </row>
    <row r="66" ht="21.75" customHeight="1">
      <c r="A66" s="85">
        <f t="shared" si="2"/>
        <v>62</v>
      </c>
      <c r="B66" s="87"/>
      <c r="C66" s="269"/>
      <c r="D66" s="269"/>
      <c r="E66" s="270"/>
      <c r="F66" s="79"/>
      <c r="G66" s="279"/>
      <c r="H66" s="281"/>
      <c r="I66" s="277"/>
      <c r="J66" s="276"/>
      <c r="K66" s="272"/>
      <c r="L66" s="79"/>
      <c r="M66" s="79"/>
      <c r="N66" s="278"/>
      <c r="O66" s="274"/>
      <c r="P66" s="273"/>
      <c r="Q66" s="274">
        <f t="shared" si="1"/>
        <v>0</v>
      </c>
      <c r="R66" s="275"/>
      <c r="S66" s="62"/>
      <c r="T66" s="122"/>
    </row>
    <row r="67" ht="21.75" customHeight="1">
      <c r="A67" s="85">
        <f t="shared" si="2"/>
        <v>63</v>
      </c>
      <c r="B67" s="87"/>
      <c r="C67" s="269"/>
      <c r="D67" s="269"/>
      <c r="E67" s="270"/>
      <c r="F67" s="79"/>
      <c r="G67" s="279"/>
      <c r="H67" s="281"/>
      <c r="I67" s="277"/>
      <c r="J67" s="276"/>
      <c r="K67" s="272"/>
      <c r="L67" s="79"/>
      <c r="M67" s="79"/>
      <c r="N67" s="278"/>
      <c r="O67" s="274"/>
      <c r="P67" s="273"/>
      <c r="Q67" s="274">
        <f t="shared" si="1"/>
        <v>0</v>
      </c>
      <c r="R67" s="275"/>
      <c r="S67" s="62"/>
      <c r="T67" s="122"/>
    </row>
    <row r="68" ht="21.75" customHeight="1">
      <c r="A68" s="85">
        <f t="shared" si="2"/>
        <v>64</v>
      </c>
      <c r="B68" s="87"/>
      <c r="C68" s="269"/>
      <c r="D68" s="269"/>
      <c r="E68" s="270"/>
      <c r="F68" s="79"/>
      <c r="G68" s="279"/>
      <c r="H68" s="281"/>
      <c r="I68" s="277"/>
      <c r="J68" s="276"/>
      <c r="K68" s="272"/>
      <c r="L68" s="79"/>
      <c r="M68" s="79"/>
      <c r="N68" s="278"/>
      <c r="O68" s="274"/>
      <c r="P68" s="273"/>
      <c r="Q68" s="274">
        <f t="shared" si="1"/>
        <v>0</v>
      </c>
      <c r="R68" s="275"/>
      <c r="S68" s="62"/>
      <c r="T68" s="122"/>
    </row>
    <row r="69" ht="21.75" customHeight="1">
      <c r="A69" s="85">
        <f t="shared" si="2"/>
        <v>65</v>
      </c>
      <c r="B69" s="87"/>
      <c r="C69" s="269"/>
      <c r="D69" s="269"/>
      <c r="E69" s="270"/>
      <c r="F69" s="79"/>
      <c r="G69" s="279"/>
      <c r="H69" s="281"/>
      <c r="I69" s="277"/>
      <c r="J69" s="276"/>
      <c r="K69" s="272"/>
      <c r="L69" s="79"/>
      <c r="M69" s="79"/>
      <c r="N69" s="278"/>
      <c r="O69" s="274"/>
      <c r="P69" s="273"/>
      <c r="Q69" s="274">
        <f t="shared" si="1"/>
        <v>0</v>
      </c>
      <c r="R69" s="275"/>
      <c r="S69" s="62"/>
      <c r="T69" s="122"/>
    </row>
    <row r="70" ht="21.75" customHeight="1">
      <c r="A70" s="85">
        <f t="shared" si="2"/>
        <v>66</v>
      </c>
      <c r="B70" s="87"/>
      <c r="C70" s="269"/>
      <c r="D70" s="269"/>
      <c r="E70" s="270"/>
      <c r="F70" s="79"/>
      <c r="G70" s="279"/>
      <c r="H70" s="281"/>
      <c r="I70" s="277"/>
      <c r="J70" s="276"/>
      <c r="K70" s="272"/>
      <c r="L70" s="79"/>
      <c r="M70" s="79"/>
      <c r="N70" s="278"/>
      <c r="O70" s="274"/>
      <c r="P70" s="273"/>
      <c r="Q70" s="274">
        <f t="shared" si="1"/>
        <v>0</v>
      </c>
      <c r="R70" s="275"/>
      <c r="S70" s="62"/>
      <c r="T70" s="122"/>
    </row>
    <row r="71" ht="21.75" customHeight="1">
      <c r="A71" s="85">
        <f t="shared" si="2"/>
        <v>67</v>
      </c>
      <c r="B71" s="87"/>
      <c r="C71" s="269"/>
      <c r="D71" s="269"/>
      <c r="E71" s="270"/>
      <c r="F71" s="79"/>
      <c r="G71" s="279"/>
      <c r="H71" s="281"/>
      <c r="I71" s="277"/>
      <c r="J71" s="276"/>
      <c r="K71" s="272"/>
      <c r="L71" s="79"/>
      <c r="M71" s="79"/>
      <c r="N71" s="278"/>
      <c r="O71" s="274"/>
      <c r="P71" s="273"/>
      <c r="Q71" s="274">
        <f t="shared" si="1"/>
        <v>0</v>
      </c>
      <c r="R71" s="275"/>
      <c r="S71" s="62"/>
      <c r="T71" s="122"/>
    </row>
    <row r="72" ht="21.75" customHeight="1">
      <c r="A72" s="85">
        <f t="shared" si="2"/>
        <v>68</v>
      </c>
      <c r="B72" s="87"/>
      <c r="C72" s="269"/>
      <c r="D72" s="269"/>
      <c r="E72" s="270"/>
      <c r="F72" s="79"/>
      <c r="G72" s="279"/>
      <c r="H72" s="281"/>
      <c r="I72" s="277"/>
      <c r="J72" s="276"/>
      <c r="K72" s="272"/>
      <c r="L72" s="79"/>
      <c r="M72" s="79"/>
      <c r="N72" s="278"/>
      <c r="O72" s="274"/>
      <c r="P72" s="273"/>
      <c r="Q72" s="274">
        <f t="shared" si="1"/>
        <v>0</v>
      </c>
      <c r="R72" s="275"/>
      <c r="S72" s="62"/>
      <c r="T72" s="122"/>
    </row>
    <row r="73" ht="21.75" customHeight="1">
      <c r="A73" s="85">
        <f t="shared" si="2"/>
        <v>69</v>
      </c>
      <c r="B73" s="87"/>
      <c r="C73" s="269"/>
      <c r="D73" s="269"/>
      <c r="E73" s="270"/>
      <c r="F73" s="79"/>
      <c r="G73" s="279"/>
      <c r="H73" s="281"/>
      <c r="I73" s="277"/>
      <c r="J73" s="276"/>
      <c r="K73" s="272"/>
      <c r="L73" s="79"/>
      <c r="M73" s="79"/>
      <c r="N73" s="278"/>
      <c r="O73" s="274"/>
      <c r="P73" s="273"/>
      <c r="Q73" s="274">
        <f t="shared" si="1"/>
        <v>0</v>
      </c>
      <c r="R73" s="275"/>
      <c r="S73" s="62"/>
      <c r="T73" s="122"/>
    </row>
    <row r="74" ht="21.75" customHeight="1">
      <c r="A74" s="85">
        <f t="shared" si="2"/>
        <v>70</v>
      </c>
      <c r="B74" s="87"/>
      <c r="C74" s="269"/>
      <c r="D74" s="269"/>
      <c r="E74" s="270"/>
      <c r="F74" s="79"/>
      <c r="G74" s="279"/>
      <c r="H74" s="281"/>
      <c r="I74" s="277"/>
      <c r="J74" s="276"/>
      <c r="K74" s="272"/>
      <c r="L74" s="79"/>
      <c r="M74" s="79"/>
      <c r="N74" s="278"/>
      <c r="O74" s="274"/>
      <c r="P74" s="273"/>
      <c r="Q74" s="274">
        <f t="shared" si="1"/>
        <v>0</v>
      </c>
      <c r="R74" s="275"/>
      <c r="S74" s="62"/>
      <c r="T74" s="122"/>
    </row>
    <row r="75" ht="21.75" customHeight="1">
      <c r="A75" s="85">
        <f t="shared" si="2"/>
        <v>71</v>
      </c>
      <c r="B75" s="87"/>
      <c r="C75" s="269"/>
      <c r="D75" s="269"/>
      <c r="E75" s="270"/>
      <c r="F75" s="79"/>
      <c r="G75" s="279"/>
      <c r="H75" s="281"/>
      <c r="I75" s="277"/>
      <c r="J75" s="276"/>
      <c r="K75" s="272"/>
      <c r="L75" s="79"/>
      <c r="M75" s="79"/>
      <c r="N75" s="278"/>
      <c r="O75" s="274"/>
      <c r="P75" s="273"/>
      <c r="Q75" s="274">
        <f t="shared" si="1"/>
        <v>0</v>
      </c>
      <c r="R75" s="275"/>
      <c r="S75" s="62"/>
      <c r="T75" s="122"/>
    </row>
    <row r="76" ht="21.75" customHeight="1">
      <c r="A76" s="85">
        <f t="shared" si="2"/>
        <v>72</v>
      </c>
      <c r="B76" s="87"/>
      <c r="C76" s="269"/>
      <c r="D76" s="269"/>
      <c r="E76" s="270"/>
      <c r="F76" s="79"/>
      <c r="G76" s="279"/>
      <c r="H76" s="281"/>
      <c r="I76" s="277"/>
      <c r="J76" s="276"/>
      <c r="K76" s="272"/>
      <c r="L76" s="79"/>
      <c r="M76" s="79"/>
      <c r="N76" s="278"/>
      <c r="O76" s="274"/>
      <c r="P76" s="273"/>
      <c r="Q76" s="274">
        <f t="shared" si="1"/>
        <v>0</v>
      </c>
      <c r="R76" s="275"/>
      <c r="S76" s="62"/>
      <c r="T76" s="122"/>
    </row>
    <row r="77" ht="21.75" customHeight="1">
      <c r="A77" s="85">
        <f t="shared" si="2"/>
        <v>73</v>
      </c>
      <c r="B77" s="87"/>
      <c r="C77" s="269"/>
      <c r="D77" s="269"/>
      <c r="E77" s="270"/>
      <c r="F77" s="79"/>
      <c r="G77" s="279"/>
      <c r="H77" s="281"/>
      <c r="I77" s="277"/>
      <c r="J77" s="276"/>
      <c r="K77" s="272"/>
      <c r="L77" s="79"/>
      <c r="M77" s="79"/>
      <c r="N77" s="278"/>
      <c r="O77" s="274"/>
      <c r="P77" s="273"/>
      <c r="Q77" s="274">
        <f t="shared" si="1"/>
        <v>0</v>
      </c>
      <c r="R77" s="275"/>
      <c r="S77" s="62"/>
      <c r="T77" s="122"/>
    </row>
    <row r="78" ht="21.75" customHeight="1">
      <c r="A78" s="85">
        <f t="shared" si="2"/>
        <v>74</v>
      </c>
      <c r="B78" s="87"/>
      <c r="C78" s="269"/>
      <c r="D78" s="269"/>
      <c r="E78" s="270"/>
      <c r="F78" s="79"/>
      <c r="G78" s="279"/>
      <c r="H78" s="281"/>
      <c r="I78" s="277"/>
      <c r="J78" s="276"/>
      <c r="K78" s="272"/>
      <c r="L78" s="79"/>
      <c r="M78" s="79"/>
      <c r="N78" s="278"/>
      <c r="O78" s="274"/>
      <c r="P78" s="273"/>
      <c r="Q78" s="274">
        <f t="shared" si="1"/>
        <v>0</v>
      </c>
      <c r="R78" s="275"/>
      <c r="S78" s="62"/>
      <c r="T78" s="122"/>
    </row>
    <row r="79" ht="21.75" customHeight="1">
      <c r="A79" s="85">
        <f t="shared" si="2"/>
        <v>75</v>
      </c>
      <c r="B79" s="87"/>
      <c r="C79" s="269"/>
      <c r="D79" s="269"/>
      <c r="E79" s="270"/>
      <c r="F79" s="79"/>
      <c r="G79" s="279"/>
      <c r="H79" s="281"/>
      <c r="I79" s="277"/>
      <c r="J79" s="276"/>
      <c r="K79" s="272"/>
      <c r="L79" s="79"/>
      <c r="M79" s="79"/>
      <c r="N79" s="278"/>
      <c r="O79" s="274"/>
      <c r="P79" s="273"/>
      <c r="Q79" s="274">
        <f t="shared" si="1"/>
        <v>0</v>
      </c>
      <c r="R79" s="275"/>
      <c r="S79" s="62"/>
      <c r="T79" s="122"/>
    </row>
    <row r="80" ht="21.75" customHeight="1">
      <c r="A80" s="85">
        <f t="shared" si="2"/>
        <v>76</v>
      </c>
      <c r="B80" s="87"/>
      <c r="C80" s="269"/>
      <c r="D80" s="269"/>
      <c r="E80" s="270"/>
      <c r="F80" s="79"/>
      <c r="G80" s="279"/>
      <c r="H80" s="281"/>
      <c r="I80" s="277"/>
      <c r="J80" s="276"/>
      <c r="K80" s="272"/>
      <c r="L80" s="79"/>
      <c r="M80" s="79"/>
      <c r="N80" s="278"/>
      <c r="O80" s="274"/>
      <c r="P80" s="273"/>
      <c r="Q80" s="274">
        <f t="shared" si="1"/>
        <v>0</v>
      </c>
      <c r="R80" s="275"/>
      <c r="S80" s="62"/>
      <c r="T80" s="122"/>
    </row>
    <row r="81" ht="21.75" customHeight="1">
      <c r="A81" s="85">
        <f t="shared" si="2"/>
        <v>77</v>
      </c>
      <c r="B81" s="87"/>
      <c r="C81" s="269"/>
      <c r="D81" s="269"/>
      <c r="E81" s="270"/>
      <c r="F81" s="79"/>
      <c r="G81" s="279"/>
      <c r="H81" s="281"/>
      <c r="I81" s="277"/>
      <c r="J81" s="276"/>
      <c r="K81" s="272"/>
      <c r="L81" s="79"/>
      <c r="M81" s="79"/>
      <c r="N81" s="278"/>
      <c r="O81" s="274"/>
      <c r="P81" s="273"/>
      <c r="Q81" s="274">
        <f t="shared" si="1"/>
        <v>0</v>
      </c>
      <c r="R81" s="275"/>
      <c r="S81" s="62"/>
      <c r="T81" s="122"/>
    </row>
    <row r="82" ht="21.75" customHeight="1">
      <c r="A82" s="85">
        <f t="shared" si="2"/>
        <v>78</v>
      </c>
      <c r="B82" s="87"/>
      <c r="C82" s="269"/>
      <c r="D82" s="269"/>
      <c r="E82" s="270"/>
      <c r="F82" s="79"/>
      <c r="G82" s="279"/>
      <c r="H82" s="281"/>
      <c r="I82" s="277"/>
      <c r="J82" s="276"/>
      <c r="K82" s="272"/>
      <c r="L82" s="79"/>
      <c r="M82" s="79"/>
      <c r="N82" s="278"/>
      <c r="O82" s="274"/>
      <c r="P82" s="273"/>
      <c r="Q82" s="274">
        <f t="shared" si="1"/>
        <v>0</v>
      </c>
      <c r="R82" s="275"/>
      <c r="S82" s="62"/>
      <c r="T82" s="122"/>
    </row>
    <row r="83" ht="21.75" customHeight="1">
      <c r="A83" s="85">
        <f t="shared" si="2"/>
        <v>79</v>
      </c>
      <c r="B83" s="87"/>
      <c r="C83" s="269"/>
      <c r="D83" s="269"/>
      <c r="E83" s="270"/>
      <c r="F83" s="79"/>
      <c r="G83" s="279"/>
      <c r="H83" s="281"/>
      <c r="I83" s="277"/>
      <c r="J83" s="276"/>
      <c r="K83" s="272"/>
      <c r="L83" s="79"/>
      <c r="M83" s="79"/>
      <c r="N83" s="278"/>
      <c r="O83" s="274"/>
      <c r="P83" s="273"/>
      <c r="Q83" s="274">
        <f t="shared" si="1"/>
        <v>0</v>
      </c>
      <c r="R83" s="275"/>
      <c r="S83" s="62"/>
      <c r="T83" s="122"/>
    </row>
    <row r="84" ht="21.75" customHeight="1">
      <c r="A84" s="85">
        <f t="shared" si="2"/>
        <v>80</v>
      </c>
      <c r="B84" s="87"/>
      <c r="C84" s="269"/>
      <c r="D84" s="269"/>
      <c r="E84" s="270"/>
      <c r="F84" s="79"/>
      <c r="G84" s="279"/>
      <c r="H84" s="281"/>
      <c r="I84" s="277"/>
      <c r="J84" s="276"/>
      <c r="K84" s="272"/>
      <c r="L84" s="79"/>
      <c r="M84" s="79"/>
      <c r="N84" s="278"/>
      <c r="O84" s="274"/>
      <c r="P84" s="273"/>
      <c r="Q84" s="274">
        <f t="shared" si="1"/>
        <v>0</v>
      </c>
      <c r="R84" s="275"/>
      <c r="S84" s="62"/>
      <c r="T84" s="122"/>
    </row>
    <row r="85" ht="21.75" customHeight="1">
      <c r="A85" s="85">
        <f t="shared" si="2"/>
        <v>81</v>
      </c>
      <c r="B85" s="87"/>
      <c r="C85" s="269"/>
      <c r="D85" s="269"/>
      <c r="E85" s="270"/>
      <c r="F85" s="79"/>
      <c r="G85" s="279"/>
      <c r="H85" s="281"/>
      <c r="I85" s="277"/>
      <c r="J85" s="276"/>
      <c r="K85" s="272"/>
      <c r="L85" s="79"/>
      <c r="M85" s="79"/>
      <c r="N85" s="278"/>
      <c r="O85" s="274"/>
      <c r="P85" s="273"/>
      <c r="Q85" s="274">
        <f t="shared" si="1"/>
        <v>0</v>
      </c>
      <c r="R85" s="275"/>
      <c r="S85" s="62"/>
      <c r="T85" s="122"/>
    </row>
    <row r="86" ht="21.75" customHeight="1">
      <c r="A86" s="85">
        <f t="shared" si="2"/>
        <v>82</v>
      </c>
      <c r="B86" s="87"/>
      <c r="C86" s="269"/>
      <c r="D86" s="269"/>
      <c r="E86" s="270"/>
      <c r="F86" s="79"/>
      <c r="G86" s="279"/>
      <c r="H86" s="281"/>
      <c r="I86" s="277"/>
      <c r="J86" s="276"/>
      <c r="K86" s="272"/>
      <c r="L86" s="79"/>
      <c r="M86" s="79"/>
      <c r="N86" s="278"/>
      <c r="O86" s="274"/>
      <c r="P86" s="273"/>
      <c r="Q86" s="274">
        <f t="shared" si="1"/>
        <v>0</v>
      </c>
      <c r="R86" s="275"/>
      <c r="S86" s="62"/>
      <c r="T86" s="122"/>
    </row>
    <row r="87" ht="21.75" customHeight="1">
      <c r="A87" s="85">
        <f t="shared" si="2"/>
        <v>83</v>
      </c>
      <c r="B87" s="87"/>
      <c r="C87" s="269"/>
      <c r="D87" s="269"/>
      <c r="E87" s="270"/>
      <c r="F87" s="79"/>
      <c r="G87" s="279"/>
      <c r="H87" s="281"/>
      <c r="I87" s="277"/>
      <c r="J87" s="276"/>
      <c r="K87" s="272"/>
      <c r="L87" s="79"/>
      <c r="M87" s="79"/>
      <c r="N87" s="278"/>
      <c r="O87" s="274"/>
      <c r="P87" s="273"/>
      <c r="Q87" s="274">
        <f t="shared" si="1"/>
        <v>0</v>
      </c>
      <c r="R87" s="275"/>
      <c r="S87" s="62"/>
      <c r="T87" s="122"/>
    </row>
    <row r="88" ht="21.75" customHeight="1">
      <c r="A88" s="85">
        <f t="shared" si="2"/>
        <v>84</v>
      </c>
      <c r="B88" s="87"/>
      <c r="C88" s="269"/>
      <c r="D88" s="269"/>
      <c r="E88" s="270"/>
      <c r="F88" s="79"/>
      <c r="G88" s="279"/>
      <c r="H88" s="281"/>
      <c r="I88" s="277"/>
      <c r="J88" s="276"/>
      <c r="K88" s="272"/>
      <c r="L88" s="79"/>
      <c r="M88" s="79"/>
      <c r="N88" s="278"/>
      <c r="O88" s="274"/>
      <c r="P88" s="273"/>
      <c r="Q88" s="274">
        <f t="shared" si="1"/>
        <v>0</v>
      </c>
      <c r="R88" s="275"/>
      <c r="S88" s="62"/>
      <c r="T88" s="122"/>
    </row>
    <row r="89" ht="21.75" customHeight="1">
      <c r="A89" s="85">
        <f t="shared" si="2"/>
        <v>85</v>
      </c>
      <c r="B89" s="87"/>
      <c r="C89" s="269"/>
      <c r="D89" s="269"/>
      <c r="E89" s="270"/>
      <c r="F89" s="79"/>
      <c r="G89" s="279"/>
      <c r="H89" s="281"/>
      <c r="I89" s="277"/>
      <c r="J89" s="276"/>
      <c r="K89" s="272"/>
      <c r="L89" s="79"/>
      <c r="M89" s="79"/>
      <c r="N89" s="278"/>
      <c r="O89" s="274"/>
      <c r="P89" s="273"/>
      <c r="Q89" s="274">
        <f t="shared" si="1"/>
        <v>0</v>
      </c>
      <c r="R89" s="275"/>
      <c r="S89" s="62"/>
      <c r="T89" s="122"/>
    </row>
    <row r="90" ht="21.75" customHeight="1">
      <c r="A90" s="85">
        <f t="shared" si="2"/>
        <v>86</v>
      </c>
      <c r="B90" s="87"/>
      <c r="C90" s="269"/>
      <c r="D90" s="269"/>
      <c r="E90" s="270"/>
      <c r="F90" s="79"/>
      <c r="G90" s="279"/>
      <c r="H90" s="281"/>
      <c r="I90" s="277"/>
      <c r="J90" s="276"/>
      <c r="K90" s="272"/>
      <c r="L90" s="79"/>
      <c r="M90" s="79"/>
      <c r="N90" s="278"/>
      <c r="O90" s="274"/>
      <c r="P90" s="273"/>
      <c r="Q90" s="274">
        <f t="shared" si="1"/>
        <v>0</v>
      </c>
      <c r="R90" s="275"/>
      <c r="S90" s="62"/>
      <c r="T90" s="122"/>
    </row>
    <row r="91" ht="21.75" customHeight="1">
      <c r="A91" s="85">
        <f t="shared" si="2"/>
        <v>87</v>
      </c>
      <c r="B91" s="87"/>
      <c r="C91" s="269"/>
      <c r="D91" s="269"/>
      <c r="E91" s="270"/>
      <c r="F91" s="79"/>
      <c r="G91" s="279"/>
      <c r="H91" s="281"/>
      <c r="I91" s="277"/>
      <c r="J91" s="276"/>
      <c r="K91" s="272"/>
      <c r="L91" s="79"/>
      <c r="M91" s="79"/>
      <c r="N91" s="278"/>
      <c r="O91" s="274"/>
      <c r="P91" s="273"/>
      <c r="Q91" s="274">
        <f t="shared" si="1"/>
        <v>0</v>
      </c>
      <c r="R91" s="275"/>
      <c r="S91" s="62"/>
      <c r="T91" s="122"/>
    </row>
    <row r="92" ht="21.75" customHeight="1">
      <c r="A92" s="85">
        <f t="shared" si="2"/>
        <v>88</v>
      </c>
      <c r="B92" s="87"/>
      <c r="C92" s="269"/>
      <c r="D92" s="269"/>
      <c r="E92" s="270"/>
      <c r="F92" s="79"/>
      <c r="G92" s="279"/>
      <c r="H92" s="281"/>
      <c r="I92" s="277"/>
      <c r="J92" s="276"/>
      <c r="K92" s="272"/>
      <c r="L92" s="79"/>
      <c r="M92" s="79"/>
      <c r="N92" s="278"/>
      <c r="O92" s="274"/>
      <c r="P92" s="273"/>
      <c r="Q92" s="274">
        <f t="shared" si="1"/>
        <v>0</v>
      </c>
      <c r="R92" s="275"/>
      <c r="S92" s="62"/>
      <c r="T92" s="122"/>
    </row>
    <row r="93" ht="21.75" customHeight="1">
      <c r="A93" s="85">
        <f t="shared" si="2"/>
        <v>89</v>
      </c>
      <c r="B93" s="87"/>
      <c r="C93" s="269"/>
      <c r="D93" s="269"/>
      <c r="E93" s="270"/>
      <c r="F93" s="79"/>
      <c r="G93" s="279"/>
      <c r="H93" s="281"/>
      <c r="I93" s="277"/>
      <c r="J93" s="276"/>
      <c r="K93" s="272"/>
      <c r="L93" s="79"/>
      <c r="M93" s="79"/>
      <c r="N93" s="278"/>
      <c r="O93" s="274"/>
      <c r="P93" s="273"/>
      <c r="Q93" s="274">
        <f t="shared" si="1"/>
        <v>0</v>
      </c>
      <c r="R93" s="275"/>
      <c r="S93" s="62"/>
      <c r="T93" s="122"/>
    </row>
    <row r="94" ht="21.75" customHeight="1">
      <c r="A94" s="85">
        <f t="shared" si="2"/>
        <v>90</v>
      </c>
      <c r="B94" s="87"/>
      <c r="C94" s="269"/>
      <c r="D94" s="269"/>
      <c r="E94" s="270"/>
      <c r="F94" s="79"/>
      <c r="G94" s="279"/>
      <c r="H94" s="281"/>
      <c r="I94" s="277"/>
      <c r="J94" s="276"/>
      <c r="K94" s="272"/>
      <c r="L94" s="79"/>
      <c r="M94" s="79"/>
      <c r="N94" s="278"/>
      <c r="O94" s="274"/>
      <c r="P94" s="273"/>
      <c r="Q94" s="274">
        <f t="shared" si="1"/>
        <v>0</v>
      </c>
      <c r="R94" s="275"/>
      <c r="S94" s="62"/>
      <c r="T94" s="122"/>
    </row>
    <row r="95" ht="21.75" customHeight="1">
      <c r="A95" s="85">
        <f t="shared" si="2"/>
        <v>91</v>
      </c>
      <c r="B95" s="87"/>
      <c r="C95" s="269"/>
      <c r="D95" s="269"/>
      <c r="E95" s="270"/>
      <c r="F95" s="79"/>
      <c r="G95" s="279"/>
      <c r="H95" s="281"/>
      <c r="I95" s="277"/>
      <c r="J95" s="276"/>
      <c r="K95" s="272"/>
      <c r="L95" s="79"/>
      <c r="M95" s="79"/>
      <c r="N95" s="278"/>
      <c r="O95" s="274"/>
      <c r="P95" s="273"/>
      <c r="Q95" s="274">
        <f t="shared" si="1"/>
        <v>0</v>
      </c>
      <c r="R95" s="275"/>
      <c r="S95" s="62"/>
      <c r="T95" s="122"/>
    </row>
    <row r="96" ht="21.75" customHeight="1">
      <c r="A96" s="85">
        <f t="shared" si="2"/>
        <v>92</v>
      </c>
      <c r="B96" s="87"/>
      <c r="C96" s="269"/>
      <c r="D96" s="269"/>
      <c r="E96" s="270"/>
      <c r="F96" s="79"/>
      <c r="G96" s="279"/>
      <c r="H96" s="281"/>
      <c r="I96" s="277"/>
      <c r="J96" s="276"/>
      <c r="K96" s="272"/>
      <c r="L96" s="79"/>
      <c r="M96" s="79"/>
      <c r="N96" s="278"/>
      <c r="O96" s="274"/>
      <c r="P96" s="273"/>
      <c r="Q96" s="274">
        <f t="shared" si="1"/>
        <v>0</v>
      </c>
      <c r="R96" s="275"/>
      <c r="S96" s="62"/>
      <c r="T96" s="122"/>
    </row>
    <row r="97" ht="21.75" customHeight="1">
      <c r="A97" s="85">
        <f t="shared" si="2"/>
        <v>93</v>
      </c>
      <c r="B97" s="87"/>
      <c r="C97" s="269"/>
      <c r="D97" s="269"/>
      <c r="E97" s="270"/>
      <c r="F97" s="79"/>
      <c r="G97" s="279"/>
      <c r="H97" s="281"/>
      <c r="I97" s="277"/>
      <c r="J97" s="276"/>
      <c r="K97" s="272"/>
      <c r="L97" s="79"/>
      <c r="M97" s="79"/>
      <c r="N97" s="278"/>
      <c r="O97" s="274"/>
      <c r="P97" s="273"/>
      <c r="Q97" s="274">
        <f t="shared" si="1"/>
        <v>0</v>
      </c>
      <c r="R97" s="275"/>
      <c r="S97" s="62"/>
      <c r="T97" s="122"/>
    </row>
    <row r="98" ht="21.75" customHeight="1">
      <c r="A98" s="85">
        <f t="shared" si="2"/>
        <v>94</v>
      </c>
      <c r="B98" s="87"/>
      <c r="C98" s="269"/>
      <c r="D98" s="269"/>
      <c r="E98" s="270"/>
      <c r="F98" s="79"/>
      <c r="G98" s="279"/>
      <c r="H98" s="281"/>
      <c r="I98" s="277"/>
      <c r="J98" s="276"/>
      <c r="K98" s="272"/>
      <c r="L98" s="79"/>
      <c r="M98" s="79"/>
      <c r="N98" s="278"/>
      <c r="O98" s="274"/>
      <c r="P98" s="273"/>
      <c r="Q98" s="274">
        <f t="shared" si="1"/>
        <v>0</v>
      </c>
      <c r="R98" s="275"/>
      <c r="S98" s="62"/>
      <c r="T98" s="122"/>
    </row>
    <row r="99" ht="21.75" customHeight="1">
      <c r="A99" s="85">
        <f t="shared" si="2"/>
        <v>95</v>
      </c>
      <c r="B99" s="87"/>
      <c r="C99" s="269"/>
      <c r="D99" s="269"/>
      <c r="E99" s="270"/>
      <c r="F99" s="79"/>
      <c r="G99" s="279"/>
      <c r="H99" s="281"/>
      <c r="I99" s="277"/>
      <c r="J99" s="276"/>
      <c r="K99" s="272"/>
      <c r="L99" s="79"/>
      <c r="M99" s="79"/>
      <c r="N99" s="278"/>
      <c r="O99" s="274"/>
      <c r="P99" s="273"/>
      <c r="Q99" s="274">
        <f t="shared" si="1"/>
        <v>0</v>
      </c>
      <c r="R99" s="275"/>
      <c r="S99" s="62"/>
      <c r="T99" s="122"/>
    </row>
    <row r="100" ht="21.75" customHeight="1">
      <c r="A100" s="85">
        <f t="shared" si="2"/>
        <v>96</v>
      </c>
      <c r="B100" s="87"/>
      <c r="C100" s="269"/>
      <c r="D100" s="269"/>
      <c r="E100" s="270"/>
      <c r="F100" s="79"/>
      <c r="G100" s="279"/>
      <c r="H100" s="281"/>
      <c r="I100" s="277"/>
      <c r="J100" s="276"/>
      <c r="K100" s="272"/>
      <c r="L100" s="79"/>
      <c r="M100" s="79"/>
      <c r="N100" s="278"/>
      <c r="O100" s="274"/>
      <c r="P100" s="273"/>
      <c r="Q100" s="274">
        <f t="shared" si="1"/>
        <v>0</v>
      </c>
      <c r="R100" s="275"/>
      <c r="S100" s="62"/>
      <c r="T100" s="122"/>
    </row>
    <row r="101" ht="21.75" customHeight="1">
      <c r="A101" s="85">
        <f t="shared" si="2"/>
        <v>97</v>
      </c>
      <c r="B101" s="87"/>
      <c r="C101" s="269"/>
      <c r="D101" s="269"/>
      <c r="E101" s="270"/>
      <c r="F101" s="79"/>
      <c r="G101" s="279"/>
      <c r="H101" s="281"/>
      <c r="I101" s="277"/>
      <c r="J101" s="276"/>
      <c r="K101" s="272"/>
      <c r="L101" s="79"/>
      <c r="M101" s="79"/>
      <c r="N101" s="278"/>
      <c r="O101" s="274"/>
      <c r="P101" s="273"/>
      <c r="Q101" s="274">
        <f t="shared" si="1"/>
        <v>0</v>
      </c>
      <c r="R101" s="275"/>
      <c r="S101" s="62"/>
      <c r="T101" s="122"/>
    </row>
    <row r="102" ht="21.75" customHeight="1">
      <c r="A102" s="85">
        <f t="shared" si="2"/>
        <v>98</v>
      </c>
      <c r="B102" s="87"/>
      <c r="C102" s="269"/>
      <c r="D102" s="269"/>
      <c r="E102" s="270"/>
      <c r="F102" s="79"/>
      <c r="G102" s="279"/>
      <c r="H102" s="281"/>
      <c r="I102" s="277"/>
      <c r="J102" s="276"/>
      <c r="K102" s="272"/>
      <c r="L102" s="79"/>
      <c r="M102" s="79"/>
      <c r="N102" s="278"/>
      <c r="O102" s="274"/>
      <c r="P102" s="273"/>
      <c r="Q102" s="274">
        <f t="shared" si="1"/>
        <v>0</v>
      </c>
      <c r="R102" s="275"/>
      <c r="S102" s="62"/>
      <c r="T102" s="122"/>
    </row>
    <row r="103" ht="21.75" customHeight="1">
      <c r="A103" s="85">
        <f t="shared" si="2"/>
        <v>99</v>
      </c>
      <c r="B103" s="87"/>
      <c r="C103" s="269"/>
      <c r="D103" s="269"/>
      <c r="E103" s="270"/>
      <c r="F103" s="79"/>
      <c r="G103" s="279"/>
      <c r="H103" s="281"/>
      <c r="I103" s="277"/>
      <c r="J103" s="276"/>
      <c r="K103" s="272"/>
      <c r="L103" s="79"/>
      <c r="M103" s="79"/>
      <c r="N103" s="278"/>
      <c r="O103" s="274"/>
      <c r="P103" s="273"/>
      <c r="Q103" s="274">
        <f t="shared" si="1"/>
        <v>0</v>
      </c>
      <c r="R103" s="275"/>
      <c r="S103" s="62"/>
      <c r="T103" s="122"/>
    </row>
    <row r="104" ht="21.75" customHeight="1">
      <c r="A104" s="85">
        <f t="shared" si="2"/>
        <v>100</v>
      </c>
      <c r="B104" s="87"/>
      <c r="C104" s="269"/>
      <c r="D104" s="269"/>
      <c r="E104" s="270"/>
      <c r="F104" s="79"/>
      <c r="G104" s="279"/>
      <c r="H104" s="281"/>
      <c r="I104" s="277"/>
      <c r="J104" s="276"/>
      <c r="K104" s="272"/>
      <c r="L104" s="79"/>
      <c r="M104" s="79"/>
      <c r="N104" s="278"/>
      <c r="O104" s="274"/>
      <c r="P104" s="273"/>
      <c r="Q104" s="274">
        <f t="shared" si="1"/>
        <v>0</v>
      </c>
      <c r="R104" s="275"/>
      <c r="S104" s="62"/>
      <c r="T104" s="122"/>
    </row>
    <row r="105" ht="21.75" customHeight="1">
      <c r="A105" s="85">
        <f t="shared" si="2"/>
        <v>101</v>
      </c>
      <c r="B105" s="87"/>
      <c r="C105" s="269"/>
      <c r="D105" s="269"/>
      <c r="E105" s="270"/>
      <c r="F105" s="79"/>
      <c r="G105" s="279"/>
      <c r="H105" s="281"/>
      <c r="I105" s="277"/>
      <c r="J105" s="276"/>
      <c r="K105" s="272"/>
      <c r="L105" s="79"/>
      <c r="M105" s="79"/>
      <c r="N105" s="278"/>
      <c r="O105" s="274"/>
      <c r="P105" s="273"/>
      <c r="Q105" s="274">
        <f t="shared" si="1"/>
        <v>0</v>
      </c>
      <c r="R105" s="275"/>
      <c r="S105" s="62"/>
      <c r="T105" s="122"/>
    </row>
    <row r="106" ht="21.75" customHeight="1">
      <c r="A106" s="85">
        <f t="shared" si="2"/>
        <v>102</v>
      </c>
      <c r="B106" s="87"/>
      <c r="C106" s="269"/>
      <c r="D106" s="269"/>
      <c r="E106" s="270"/>
      <c r="F106" s="79"/>
      <c r="G106" s="279"/>
      <c r="H106" s="281"/>
      <c r="I106" s="277"/>
      <c r="J106" s="276"/>
      <c r="K106" s="272"/>
      <c r="L106" s="79"/>
      <c r="M106" s="79"/>
      <c r="N106" s="278"/>
      <c r="O106" s="274"/>
      <c r="P106" s="273"/>
      <c r="Q106" s="274">
        <f t="shared" si="1"/>
        <v>0</v>
      </c>
      <c r="R106" s="275"/>
      <c r="S106" s="62"/>
      <c r="T106" s="122"/>
    </row>
    <row r="107" ht="21.75" customHeight="1">
      <c r="A107" s="85">
        <f t="shared" si="2"/>
        <v>103</v>
      </c>
      <c r="B107" s="87"/>
      <c r="C107" s="269"/>
      <c r="D107" s="269"/>
      <c r="E107" s="270"/>
      <c r="F107" s="79"/>
      <c r="G107" s="279"/>
      <c r="H107" s="281"/>
      <c r="I107" s="277"/>
      <c r="J107" s="276"/>
      <c r="K107" s="272"/>
      <c r="L107" s="79"/>
      <c r="M107" s="79"/>
      <c r="N107" s="278"/>
      <c r="O107" s="274"/>
      <c r="P107" s="273"/>
      <c r="Q107" s="274">
        <f t="shared" si="1"/>
        <v>0</v>
      </c>
      <c r="R107" s="275"/>
      <c r="S107" s="62"/>
      <c r="T107" s="122"/>
    </row>
    <row r="108" ht="21.75" customHeight="1">
      <c r="A108" s="85">
        <f t="shared" si="2"/>
        <v>104</v>
      </c>
      <c r="B108" s="87"/>
      <c r="C108" s="269"/>
      <c r="D108" s="269"/>
      <c r="E108" s="270"/>
      <c r="F108" s="79"/>
      <c r="G108" s="279"/>
      <c r="H108" s="281"/>
      <c r="I108" s="277"/>
      <c r="J108" s="276"/>
      <c r="K108" s="272"/>
      <c r="L108" s="79"/>
      <c r="M108" s="79"/>
      <c r="N108" s="278"/>
      <c r="O108" s="274"/>
      <c r="P108" s="273"/>
      <c r="Q108" s="274">
        <f t="shared" si="1"/>
        <v>0</v>
      </c>
      <c r="R108" s="275"/>
      <c r="S108" s="62"/>
      <c r="T108" s="122"/>
    </row>
    <row r="109" ht="21.75" customHeight="1">
      <c r="A109" s="85">
        <f t="shared" si="2"/>
        <v>105</v>
      </c>
      <c r="B109" s="87"/>
      <c r="C109" s="269"/>
      <c r="D109" s="269"/>
      <c r="E109" s="270"/>
      <c r="F109" s="79"/>
      <c r="G109" s="279"/>
      <c r="H109" s="281"/>
      <c r="I109" s="277"/>
      <c r="J109" s="276"/>
      <c r="K109" s="272"/>
      <c r="L109" s="79"/>
      <c r="M109" s="79"/>
      <c r="N109" s="278"/>
      <c r="O109" s="274"/>
      <c r="P109" s="273"/>
      <c r="Q109" s="274">
        <f t="shared" si="1"/>
        <v>0</v>
      </c>
      <c r="R109" s="275"/>
      <c r="S109" s="62"/>
      <c r="T109" s="122"/>
    </row>
    <row r="110" ht="21.75" customHeight="1">
      <c r="A110" s="85">
        <f t="shared" si="2"/>
        <v>106</v>
      </c>
      <c r="B110" s="87"/>
      <c r="C110" s="269"/>
      <c r="D110" s="269"/>
      <c r="E110" s="270"/>
      <c r="F110" s="79"/>
      <c r="G110" s="279"/>
      <c r="H110" s="281"/>
      <c r="I110" s="277"/>
      <c r="J110" s="276"/>
      <c r="K110" s="272"/>
      <c r="L110" s="79"/>
      <c r="M110" s="79"/>
      <c r="N110" s="278"/>
      <c r="O110" s="274"/>
      <c r="P110" s="273"/>
      <c r="Q110" s="274">
        <f t="shared" si="1"/>
        <v>0</v>
      </c>
      <c r="R110" s="275"/>
      <c r="S110" s="62"/>
      <c r="T110" s="122"/>
    </row>
    <row r="111" ht="21.75" customHeight="1">
      <c r="A111" s="85">
        <f t="shared" si="2"/>
        <v>107</v>
      </c>
      <c r="B111" s="87"/>
      <c r="C111" s="269"/>
      <c r="D111" s="269"/>
      <c r="E111" s="270"/>
      <c r="F111" s="79"/>
      <c r="G111" s="279"/>
      <c r="H111" s="281"/>
      <c r="I111" s="277"/>
      <c r="J111" s="276"/>
      <c r="K111" s="272"/>
      <c r="L111" s="79"/>
      <c r="M111" s="79"/>
      <c r="N111" s="278"/>
      <c r="O111" s="274"/>
      <c r="P111" s="273"/>
      <c r="Q111" s="274">
        <f t="shared" si="1"/>
        <v>0</v>
      </c>
      <c r="R111" s="275"/>
      <c r="S111" s="62"/>
      <c r="T111" s="122"/>
    </row>
    <row r="112" ht="21.75" customHeight="1">
      <c r="A112" s="85">
        <f t="shared" si="2"/>
        <v>108</v>
      </c>
      <c r="B112" s="87"/>
      <c r="C112" s="269"/>
      <c r="D112" s="269"/>
      <c r="E112" s="270"/>
      <c r="F112" s="79"/>
      <c r="G112" s="279"/>
      <c r="H112" s="281"/>
      <c r="I112" s="277"/>
      <c r="J112" s="276"/>
      <c r="K112" s="272"/>
      <c r="L112" s="79"/>
      <c r="M112" s="79"/>
      <c r="N112" s="278"/>
      <c r="O112" s="274"/>
      <c r="P112" s="273"/>
      <c r="Q112" s="274">
        <f t="shared" si="1"/>
        <v>0</v>
      </c>
      <c r="R112" s="275"/>
      <c r="S112" s="62"/>
      <c r="T112" s="122"/>
    </row>
    <row r="113" ht="21.75" customHeight="1">
      <c r="A113" s="85">
        <f t="shared" si="2"/>
        <v>109</v>
      </c>
      <c r="B113" s="87"/>
      <c r="C113" s="269"/>
      <c r="D113" s="269"/>
      <c r="E113" s="270"/>
      <c r="F113" s="79"/>
      <c r="G113" s="279"/>
      <c r="H113" s="281"/>
      <c r="I113" s="277"/>
      <c r="J113" s="276"/>
      <c r="K113" s="272"/>
      <c r="L113" s="79"/>
      <c r="M113" s="79"/>
      <c r="N113" s="278"/>
      <c r="O113" s="274"/>
      <c r="P113" s="273"/>
      <c r="Q113" s="274">
        <f t="shared" si="1"/>
        <v>0</v>
      </c>
      <c r="R113" s="275"/>
      <c r="S113" s="62"/>
      <c r="T113" s="122"/>
    </row>
    <row r="114" ht="21.75" customHeight="1">
      <c r="A114" s="85">
        <f t="shared" si="2"/>
        <v>110</v>
      </c>
      <c r="B114" s="87"/>
      <c r="C114" s="269"/>
      <c r="D114" s="269"/>
      <c r="E114" s="270"/>
      <c r="F114" s="79"/>
      <c r="G114" s="279"/>
      <c r="H114" s="281"/>
      <c r="I114" s="277"/>
      <c r="J114" s="276"/>
      <c r="K114" s="272"/>
      <c r="L114" s="79"/>
      <c r="M114" s="79"/>
      <c r="N114" s="278"/>
      <c r="O114" s="274"/>
      <c r="P114" s="273"/>
      <c r="Q114" s="274">
        <f t="shared" si="1"/>
        <v>0</v>
      </c>
      <c r="R114" s="275"/>
      <c r="S114" s="62"/>
      <c r="T114" s="122"/>
    </row>
    <row r="115" ht="21.75" customHeight="1">
      <c r="A115" s="85">
        <f t="shared" si="2"/>
        <v>111</v>
      </c>
      <c r="B115" s="87"/>
      <c r="C115" s="269"/>
      <c r="D115" s="269"/>
      <c r="E115" s="270"/>
      <c r="F115" s="79"/>
      <c r="G115" s="279"/>
      <c r="H115" s="281"/>
      <c r="I115" s="277"/>
      <c r="J115" s="276"/>
      <c r="K115" s="272"/>
      <c r="L115" s="79"/>
      <c r="M115" s="79"/>
      <c r="N115" s="278"/>
      <c r="O115" s="274"/>
      <c r="P115" s="273"/>
      <c r="Q115" s="274">
        <f t="shared" si="1"/>
        <v>0</v>
      </c>
      <c r="R115" s="275"/>
      <c r="S115" s="62"/>
      <c r="T115" s="122"/>
    </row>
    <row r="116" ht="21.75" customHeight="1">
      <c r="A116" s="85">
        <f t="shared" si="2"/>
        <v>112</v>
      </c>
      <c r="B116" s="87"/>
      <c r="C116" s="269"/>
      <c r="D116" s="269"/>
      <c r="E116" s="270"/>
      <c r="F116" s="79"/>
      <c r="G116" s="279"/>
      <c r="H116" s="281"/>
      <c r="I116" s="277"/>
      <c r="J116" s="276"/>
      <c r="K116" s="272"/>
      <c r="L116" s="79"/>
      <c r="M116" s="79"/>
      <c r="N116" s="278"/>
      <c r="O116" s="274"/>
      <c r="P116" s="273"/>
      <c r="Q116" s="274">
        <f t="shared" si="1"/>
        <v>0</v>
      </c>
      <c r="R116" s="275"/>
      <c r="S116" s="62"/>
      <c r="T116" s="122"/>
    </row>
    <row r="117" ht="21.75" customHeight="1">
      <c r="A117" s="85">
        <f t="shared" si="2"/>
        <v>113</v>
      </c>
      <c r="B117" s="87"/>
      <c r="C117" s="269"/>
      <c r="D117" s="269"/>
      <c r="E117" s="270"/>
      <c r="F117" s="79"/>
      <c r="G117" s="279"/>
      <c r="H117" s="281"/>
      <c r="I117" s="277"/>
      <c r="J117" s="276"/>
      <c r="K117" s="272"/>
      <c r="L117" s="79"/>
      <c r="M117" s="79"/>
      <c r="N117" s="278"/>
      <c r="O117" s="274"/>
      <c r="P117" s="273"/>
      <c r="Q117" s="274">
        <f t="shared" si="1"/>
        <v>0</v>
      </c>
      <c r="R117" s="275"/>
      <c r="S117" s="62"/>
      <c r="T117" s="122"/>
    </row>
    <row r="118" ht="21.75" customHeight="1">
      <c r="A118" s="85">
        <f t="shared" si="2"/>
        <v>114</v>
      </c>
      <c r="B118" s="87"/>
      <c r="C118" s="269"/>
      <c r="D118" s="269"/>
      <c r="E118" s="270"/>
      <c r="F118" s="79"/>
      <c r="G118" s="279"/>
      <c r="H118" s="281"/>
      <c r="I118" s="277"/>
      <c r="J118" s="276"/>
      <c r="K118" s="272"/>
      <c r="L118" s="79"/>
      <c r="M118" s="79"/>
      <c r="N118" s="278"/>
      <c r="O118" s="274"/>
      <c r="P118" s="273"/>
      <c r="Q118" s="274">
        <f t="shared" si="1"/>
        <v>0</v>
      </c>
      <c r="R118" s="275"/>
      <c r="S118" s="62"/>
      <c r="T118" s="122"/>
    </row>
    <row r="119" ht="21.75" customHeight="1">
      <c r="A119" s="85">
        <f t="shared" si="2"/>
        <v>115</v>
      </c>
      <c r="B119" s="87"/>
      <c r="C119" s="269"/>
      <c r="D119" s="269"/>
      <c r="E119" s="270"/>
      <c r="F119" s="79"/>
      <c r="G119" s="279"/>
      <c r="H119" s="281"/>
      <c r="I119" s="277"/>
      <c r="J119" s="276"/>
      <c r="K119" s="272"/>
      <c r="L119" s="79"/>
      <c r="M119" s="79"/>
      <c r="N119" s="278"/>
      <c r="O119" s="274"/>
      <c r="P119" s="273"/>
      <c r="Q119" s="274">
        <f t="shared" si="1"/>
        <v>0</v>
      </c>
      <c r="R119" s="275"/>
      <c r="S119" s="62"/>
      <c r="T119" s="122"/>
    </row>
    <row r="120" ht="21.75" customHeight="1">
      <c r="A120" s="85">
        <f t="shared" si="2"/>
        <v>116</v>
      </c>
      <c r="B120" s="87"/>
      <c r="C120" s="269"/>
      <c r="D120" s="269"/>
      <c r="E120" s="270"/>
      <c r="F120" s="79"/>
      <c r="G120" s="279"/>
      <c r="H120" s="281"/>
      <c r="I120" s="277"/>
      <c r="J120" s="276"/>
      <c r="K120" s="272"/>
      <c r="L120" s="79"/>
      <c r="M120" s="79"/>
      <c r="N120" s="278"/>
      <c r="O120" s="274"/>
      <c r="P120" s="273"/>
      <c r="Q120" s="274">
        <f t="shared" si="1"/>
        <v>0</v>
      </c>
      <c r="R120" s="275"/>
      <c r="S120" s="62"/>
      <c r="T120" s="122"/>
    </row>
    <row r="121" ht="21.75" customHeight="1">
      <c r="A121" s="85">
        <f t="shared" si="2"/>
        <v>117</v>
      </c>
      <c r="B121" s="87"/>
      <c r="C121" s="269"/>
      <c r="D121" s="269"/>
      <c r="E121" s="270"/>
      <c r="F121" s="79"/>
      <c r="G121" s="279"/>
      <c r="H121" s="281"/>
      <c r="I121" s="277"/>
      <c r="J121" s="276"/>
      <c r="K121" s="272"/>
      <c r="L121" s="79"/>
      <c r="M121" s="79"/>
      <c r="N121" s="278"/>
      <c r="O121" s="274"/>
      <c r="P121" s="273"/>
      <c r="Q121" s="274">
        <f t="shared" si="1"/>
        <v>0</v>
      </c>
      <c r="R121" s="275"/>
      <c r="S121" s="62"/>
      <c r="T121" s="122"/>
    </row>
    <row r="122" ht="21.75" customHeight="1">
      <c r="A122" s="85">
        <f t="shared" si="2"/>
        <v>118</v>
      </c>
      <c r="B122" s="87"/>
      <c r="C122" s="269"/>
      <c r="D122" s="269"/>
      <c r="E122" s="270"/>
      <c r="F122" s="79"/>
      <c r="G122" s="279"/>
      <c r="H122" s="281"/>
      <c r="I122" s="277"/>
      <c r="J122" s="276"/>
      <c r="K122" s="272"/>
      <c r="L122" s="79"/>
      <c r="M122" s="79"/>
      <c r="N122" s="278"/>
      <c r="O122" s="274"/>
      <c r="P122" s="273"/>
      <c r="Q122" s="274">
        <f t="shared" si="1"/>
        <v>0</v>
      </c>
      <c r="R122" s="275"/>
      <c r="S122" s="62"/>
      <c r="T122" s="122"/>
    </row>
    <row r="123" ht="21.75" customHeight="1">
      <c r="A123" s="85">
        <f t="shared" si="2"/>
        <v>119</v>
      </c>
      <c r="B123" s="87"/>
      <c r="C123" s="269"/>
      <c r="D123" s="269"/>
      <c r="E123" s="270"/>
      <c r="F123" s="79"/>
      <c r="G123" s="279"/>
      <c r="H123" s="281"/>
      <c r="I123" s="277"/>
      <c r="J123" s="276"/>
      <c r="K123" s="272"/>
      <c r="L123" s="79"/>
      <c r="M123" s="79"/>
      <c r="N123" s="278"/>
      <c r="O123" s="274"/>
      <c r="P123" s="273"/>
      <c r="Q123" s="274">
        <f t="shared" si="1"/>
        <v>0</v>
      </c>
      <c r="R123" s="275"/>
      <c r="S123" s="62"/>
      <c r="T123" s="122"/>
    </row>
    <row r="124" ht="21.75" customHeight="1">
      <c r="A124" s="85">
        <f t="shared" si="2"/>
        <v>120</v>
      </c>
      <c r="B124" s="87"/>
      <c r="C124" s="269"/>
      <c r="D124" s="269"/>
      <c r="E124" s="270"/>
      <c r="F124" s="79"/>
      <c r="G124" s="279"/>
      <c r="H124" s="281"/>
      <c r="I124" s="277"/>
      <c r="J124" s="276"/>
      <c r="K124" s="272"/>
      <c r="L124" s="79"/>
      <c r="M124" s="79"/>
      <c r="N124" s="278"/>
      <c r="O124" s="274"/>
      <c r="P124" s="273"/>
      <c r="Q124" s="274">
        <f t="shared" si="1"/>
        <v>0</v>
      </c>
      <c r="R124" s="275"/>
      <c r="S124" s="62"/>
      <c r="T124" s="122"/>
    </row>
    <row r="125" ht="21.75" customHeight="1">
      <c r="A125" s="85">
        <f t="shared" si="2"/>
        <v>121</v>
      </c>
      <c r="B125" s="87"/>
      <c r="C125" s="269"/>
      <c r="D125" s="269"/>
      <c r="E125" s="270"/>
      <c r="F125" s="79"/>
      <c r="G125" s="279"/>
      <c r="H125" s="281"/>
      <c r="I125" s="277"/>
      <c r="J125" s="276"/>
      <c r="K125" s="272"/>
      <c r="L125" s="79"/>
      <c r="M125" s="79"/>
      <c r="N125" s="278"/>
      <c r="O125" s="274"/>
      <c r="P125" s="273"/>
      <c r="Q125" s="274">
        <f t="shared" si="1"/>
        <v>0</v>
      </c>
      <c r="R125" s="275"/>
      <c r="S125" s="62"/>
      <c r="T125" s="122"/>
    </row>
    <row r="126" ht="21.75" customHeight="1">
      <c r="A126" s="85">
        <f t="shared" si="2"/>
        <v>122</v>
      </c>
      <c r="B126" s="87"/>
      <c r="C126" s="269"/>
      <c r="D126" s="269"/>
      <c r="E126" s="270"/>
      <c r="F126" s="79"/>
      <c r="G126" s="279"/>
      <c r="H126" s="281"/>
      <c r="I126" s="277"/>
      <c r="J126" s="276"/>
      <c r="K126" s="272"/>
      <c r="L126" s="79"/>
      <c r="M126" s="79"/>
      <c r="N126" s="278"/>
      <c r="O126" s="274"/>
      <c r="P126" s="273"/>
      <c r="Q126" s="274">
        <f t="shared" si="1"/>
        <v>0</v>
      </c>
      <c r="R126" s="275"/>
      <c r="S126" s="62"/>
      <c r="T126" s="122"/>
    </row>
    <row r="127" ht="21.75" customHeight="1">
      <c r="A127" s="85">
        <f t="shared" si="2"/>
        <v>123</v>
      </c>
      <c r="B127" s="87"/>
      <c r="C127" s="269"/>
      <c r="D127" s="269"/>
      <c r="E127" s="270"/>
      <c r="F127" s="79"/>
      <c r="G127" s="279"/>
      <c r="H127" s="281"/>
      <c r="I127" s="277"/>
      <c r="J127" s="276"/>
      <c r="K127" s="272"/>
      <c r="L127" s="79"/>
      <c r="M127" s="79"/>
      <c r="N127" s="278"/>
      <c r="O127" s="274"/>
      <c r="P127" s="273"/>
      <c r="Q127" s="274">
        <f t="shared" si="1"/>
        <v>0</v>
      </c>
      <c r="R127" s="275"/>
      <c r="S127" s="62"/>
      <c r="T127" s="122"/>
    </row>
    <row r="128" ht="21.75" customHeight="1">
      <c r="A128" s="85">
        <f t="shared" si="2"/>
        <v>124</v>
      </c>
      <c r="B128" s="87"/>
      <c r="C128" s="269"/>
      <c r="D128" s="269"/>
      <c r="E128" s="270"/>
      <c r="F128" s="79"/>
      <c r="G128" s="279"/>
      <c r="H128" s="281"/>
      <c r="I128" s="277"/>
      <c r="J128" s="276"/>
      <c r="K128" s="272"/>
      <c r="L128" s="79"/>
      <c r="M128" s="79"/>
      <c r="N128" s="278"/>
      <c r="O128" s="274"/>
      <c r="P128" s="273"/>
      <c r="Q128" s="274">
        <f t="shared" si="1"/>
        <v>0</v>
      </c>
      <c r="R128" s="275"/>
      <c r="S128" s="62"/>
      <c r="T128" s="122"/>
    </row>
    <row r="129" ht="21.75" customHeight="1">
      <c r="A129" s="85">
        <f t="shared" si="2"/>
        <v>125</v>
      </c>
      <c r="B129" s="87"/>
      <c r="C129" s="269"/>
      <c r="D129" s="269"/>
      <c r="E129" s="270"/>
      <c r="F129" s="79"/>
      <c r="G129" s="279"/>
      <c r="H129" s="281"/>
      <c r="I129" s="277"/>
      <c r="J129" s="276"/>
      <c r="K129" s="272"/>
      <c r="L129" s="79"/>
      <c r="M129" s="79"/>
      <c r="N129" s="278"/>
      <c r="O129" s="274"/>
      <c r="P129" s="273"/>
      <c r="Q129" s="274">
        <f t="shared" si="1"/>
        <v>0</v>
      </c>
      <c r="R129" s="275"/>
      <c r="S129" s="62"/>
      <c r="T129" s="122"/>
    </row>
    <row r="130" ht="21.75" customHeight="1">
      <c r="A130" s="85">
        <f t="shared" si="2"/>
        <v>126</v>
      </c>
      <c r="B130" s="87"/>
      <c r="C130" s="269"/>
      <c r="D130" s="269"/>
      <c r="E130" s="270"/>
      <c r="F130" s="79"/>
      <c r="G130" s="279"/>
      <c r="H130" s="281"/>
      <c r="I130" s="277"/>
      <c r="J130" s="276"/>
      <c r="K130" s="272"/>
      <c r="L130" s="79"/>
      <c r="M130" s="79"/>
      <c r="N130" s="278"/>
      <c r="O130" s="274"/>
      <c r="P130" s="273"/>
      <c r="Q130" s="274">
        <f t="shared" si="1"/>
        <v>0</v>
      </c>
      <c r="R130" s="275"/>
      <c r="S130" s="62"/>
      <c r="T130" s="122"/>
    </row>
    <row r="131" ht="21.75" customHeight="1">
      <c r="A131" s="85">
        <f t="shared" si="2"/>
        <v>127</v>
      </c>
      <c r="B131" s="87"/>
      <c r="C131" s="269"/>
      <c r="D131" s="269"/>
      <c r="E131" s="270"/>
      <c r="F131" s="79"/>
      <c r="G131" s="279"/>
      <c r="H131" s="281"/>
      <c r="I131" s="277"/>
      <c r="J131" s="276"/>
      <c r="K131" s="272"/>
      <c r="L131" s="79"/>
      <c r="M131" s="79"/>
      <c r="N131" s="278"/>
      <c r="O131" s="274"/>
      <c r="P131" s="273"/>
      <c r="Q131" s="274">
        <f t="shared" si="1"/>
        <v>0</v>
      </c>
      <c r="R131" s="275"/>
      <c r="S131" s="62"/>
      <c r="T131" s="122"/>
    </row>
    <row r="132" ht="21.75" customHeight="1">
      <c r="A132" s="85">
        <f t="shared" si="2"/>
        <v>128</v>
      </c>
      <c r="B132" s="87"/>
      <c r="C132" s="269"/>
      <c r="D132" s="269"/>
      <c r="E132" s="270"/>
      <c r="F132" s="79"/>
      <c r="G132" s="279"/>
      <c r="H132" s="281"/>
      <c r="I132" s="277"/>
      <c r="J132" s="276"/>
      <c r="K132" s="272"/>
      <c r="L132" s="79"/>
      <c r="M132" s="79"/>
      <c r="N132" s="278"/>
      <c r="O132" s="274"/>
      <c r="P132" s="273"/>
      <c r="Q132" s="274">
        <f t="shared" si="1"/>
        <v>0</v>
      </c>
      <c r="R132" s="275"/>
      <c r="S132" s="62"/>
      <c r="T132" s="122"/>
    </row>
    <row r="133" ht="21.75" customHeight="1">
      <c r="A133" s="85">
        <f t="shared" si="2"/>
        <v>129</v>
      </c>
      <c r="B133" s="87"/>
      <c r="C133" s="269"/>
      <c r="D133" s="269"/>
      <c r="E133" s="270"/>
      <c r="F133" s="79"/>
      <c r="G133" s="279"/>
      <c r="H133" s="281"/>
      <c r="I133" s="277"/>
      <c r="J133" s="276"/>
      <c r="K133" s="272"/>
      <c r="L133" s="79"/>
      <c r="M133" s="79"/>
      <c r="N133" s="278"/>
      <c r="O133" s="274"/>
      <c r="P133" s="273"/>
      <c r="Q133" s="274">
        <f t="shared" si="1"/>
        <v>0</v>
      </c>
      <c r="R133" s="275"/>
      <c r="S133" s="62"/>
      <c r="T133" s="122"/>
    </row>
    <row r="134" ht="21.75" customHeight="1">
      <c r="A134" s="85">
        <f t="shared" si="2"/>
        <v>130</v>
      </c>
      <c r="B134" s="87"/>
      <c r="C134" s="269"/>
      <c r="D134" s="269"/>
      <c r="E134" s="270"/>
      <c r="F134" s="79"/>
      <c r="G134" s="279"/>
      <c r="H134" s="281"/>
      <c r="I134" s="277"/>
      <c r="J134" s="276"/>
      <c r="K134" s="272"/>
      <c r="L134" s="79"/>
      <c r="M134" s="79"/>
      <c r="N134" s="278"/>
      <c r="O134" s="274"/>
      <c r="P134" s="273"/>
      <c r="Q134" s="274">
        <f t="shared" si="1"/>
        <v>0</v>
      </c>
      <c r="R134" s="275"/>
      <c r="S134" s="62"/>
      <c r="T134" s="122"/>
    </row>
    <row r="135" ht="21.75" customHeight="1">
      <c r="A135" s="85">
        <f t="shared" si="2"/>
        <v>131</v>
      </c>
      <c r="B135" s="87"/>
      <c r="C135" s="269"/>
      <c r="D135" s="269"/>
      <c r="E135" s="270"/>
      <c r="F135" s="79"/>
      <c r="G135" s="279"/>
      <c r="H135" s="281"/>
      <c r="I135" s="277"/>
      <c r="J135" s="276"/>
      <c r="K135" s="272"/>
      <c r="L135" s="79"/>
      <c r="M135" s="79"/>
      <c r="N135" s="278"/>
      <c r="O135" s="274"/>
      <c r="P135" s="273"/>
      <c r="Q135" s="274">
        <f t="shared" si="1"/>
        <v>0</v>
      </c>
      <c r="R135" s="275"/>
      <c r="S135" s="62"/>
      <c r="T135" s="122"/>
    </row>
    <row r="136" ht="21.75" customHeight="1">
      <c r="A136" s="85">
        <f t="shared" si="2"/>
        <v>132</v>
      </c>
      <c r="B136" s="87"/>
      <c r="C136" s="269"/>
      <c r="D136" s="269"/>
      <c r="E136" s="270"/>
      <c r="F136" s="79"/>
      <c r="G136" s="279"/>
      <c r="H136" s="281"/>
      <c r="I136" s="277"/>
      <c r="J136" s="276"/>
      <c r="K136" s="272"/>
      <c r="L136" s="79"/>
      <c r="M136" s="79"/>
      <c r="N136" s="278"/>
      <c r="O136" s="274"/>
      <c r="P136" s="273"/>
      <c r="Q136" s="274">
        <f t="shared" si="1"/>
        <v>0</v>
      </c>
      <c r="R136" s="275"/>
      <c r="S136" s="62"/>
      <c r="T136" s="122"/>
    </row>
    <row r="137" ht="21.75" customHeight="1">
      <c r="A137" s="85">
        <f t="shared" si="2"/>
        <v>133</v>
      </c>
      <c r="B137" s="87"/>
      <c r="C137" s="269"/>
      <c r="D137" s="269"/>
      <c r="E137" s="270"/>
      <c r="F137" s="79"/>
      <c r="G137" s="279"/>
      <c r="H137" s="281"/>
      <c r="I137" s="277"/>
      <c r="J137" s="276"/>
      <c r="K137" s="272"/>
      <c r="L137" s="79"/>
      <c r="M137" s="79"/>
      <c r="N137" s="278"/>
      <c r="O137" s="274"/>
      <c r="P137" s="273"/>
      <c r="Q137" s="274">
        <f t="shared" si="1"/>
        <v>0</v>
      </c>
      <c r="R137" s="275"/>
      <c r="S137" s="62"/>
      <c r="T137" s="122"/>
    </row>
    <row r="138" ht="21.75" customHeight="1">
      <c r="A138" s="85">
        <f t="shared" si="2"/>
        <v>134</v>
      </c>
      <c r="B138" s="87"/>
      <c r="C138" s="269"/>
      <c r="D138" s="269"/>
      <c r="E138" s="270"/>
      <c r="F138" s="79"/>
      <c r="G138" s="279"/>
      <c r="H138" s="281"/>
      <c r="I138" s="277"/>
      <c r="J138" s="276"/>
      <c r="K138" s="272"/>
      <c r="L138" s="79"/>
      <c r="M138" s="79"/>
      <c r="N138" s="278"/>
      <c r="O138" s="274"/>
      <c r="P138" s="273"/>
      <c r="Q138" s="274">
        <f t="shared" si="1"/>
        <v>0</v>
      </c>
      <c r="R138" s="275"/>
      <c r="S138" s="62"/>
      <c r="T138" s="122"/>
    </row>
    <row r="139" ht="21.75" customHeight="1">
      <c r="A139" s="85">
        <f t="shared" si="2"/>
        <v>135</v>
      </c>
      <c r="B139" s="87"/>
      <c r="C139" s="269"/>
      <c r="D139" s="269"/>
      <c r="E139" s="270"/>
      <c r="F139" s="79"/>
      <c r="G139" s="279"/>
      <c r="H139" s="281"/>
      <c r="I139" s="277"/>
      <c r="J139" s="276"/>
      <c r="K139" s="272"/>
      <c r="L139" s="79"/>
      <c r="M139" s="79"/>
      <c r="N139" s="278"/>
      <c r="O139" s="274"/>
      <c r="P139" s="273"/>
      <c r="Q139" s="274">
        <f t="shared" si="1"/>
        <v>0</v>
      </c>
      <c r="R139" s="275"/>
      <c r="S139" s="62"/>
      <c r="T139" s="122"/>
    </row>
    <row r="140" ht="21.75" customHeight="1">
      <c r="A140" s="85">
        <f t="shared" si="2"/>
        <v>136</v>
      </c>
      <c r="B140" s="87"/>
      <c r="C140" s="269"/>
      <c r="D140" s="269"/>
      <c r="E140" s="270"/>
      <c r="F140" s="79"/>
      <c r="G140" s="279"/>
      <c r="H140" s="281"/>
      <c r="I140" s="277"/>
      <c r="J140" s="276"/>
      <c r="K140" s="272"/>
      <c r="L140" s="79"/>
      <c r="M140" s="79"/>
      <c r="N140" s="278"/>
      <c r="O140" s="274"/>
      <c r="P140" s="273"/>
      <c r="Q140" s="274">
        <f t="shared" si="1"/>
        <v>0</v>
      </c>
      <c r="R140" s="275"/>
      <c r="S140" s="62"/>
      <c r="T140" s="122"/>
    </row>
    <row r="141" ht="21.75" customHeight="1">
      <c r="A141" s="85">
        <f t="shared" si="2"/>
        <v>137</v>
      </c>
      <c r="B141" s="87"/>
      <c r="C141" s="269"/>
      <c r="D141" s="269"/>
      <c r="E141" s="270"/>
      <c r="F141" s="79"/>
      <c r="G141" s="279"/>
      <c r="H141" s="281"/>
      <c r="I141" s="277"/>
      <c r="J141" s="276"/>
      <c r="K141" s="272"/>
      <c r="L141" s="79"/>
      <c r="M141" s="79"/>
      <c r="N141" s="278"/>
      <c r="O141" s="274"/>
      <c r="P141" s="273"/>
      <c r="Q141" s="274">
        <f t="shared" si="1"/>
        <v>0</v>
      </c>
      <c r="R141" s="275"/>
      <c r="S141" s="62"/>
      <c r="T141" s="122"/>
    </row>
    <row r="142" ht="21.75" customHeight="1">
      <c r="A142" s="85">
        <f t="shared" si="2"/>
        <v>138</v>
      </c>
      <c r="B142" s="87"/>
      <c r="C142" s="269"/>
      <c r="D142" s="269"/>
      <c r="E142" s="270"/>
      <c r="F142" s="79"/>
      <c r="G142" s="279"/>
      <c r="H142" s="281"/>
      <c r="I142" s="277"/>
      <c r="J142" s="276"/>
      <c r="K142" s="272"/>
      <c r="L142" s="79"/>
      <c r="M142" s="79"/>
      <c r="N142" s="278"/>
      <c r="O142" s="274"/>
      <c r="P142" s="273"/>
      <c r="Q142" s="274">
        <f t="shared" si="1"/>
        <v>0</v>
      </c>
      <c r="R142" s="275"/>
      <c r="S142" s="62"/>
      <c r="T142" s="122"/>
    </row>
    <row r="143" ht="21.75" customHeight="1">
      <c r="A143" s="85">
        <f t="shared" si="2"/>
        <v>139</v>
      </c>
      <c r="B143" s="87"/>
      <c r="C143" s="269"/>
      <c r="D143" s="269"/>
      <c r="E143" s="270"/>
      <c r="F143" s="79"/>
      <c r="G143" s="279"/>
      <c r="H143" s="281"/>
      <c r="I143" s="277"/>
      <c r="J143" s="276"/>
      <c r="K143" s="272"/>
      <c r="L143" s="79"/>
      <c r="M143" s="79"/>
      <c r="N143" s="278"/>
      <c r="O143" s="274"/>
      <c r="P143" s="273"/>
      <c r="Q143" s="274">
        <f t="shared" si="1"/>
        <v>0</v>
      </c>
      <c r="R143" s="275"/>
      <c r="S143" s="62"/>
      <c r="T143" s="122"/>
    </row>
    <row r="144" ht="21.75" customHeight="1">
      <c r="A144" s="85">
        <f t="shared" si="2"/>
        <v>140</v>
      </c>
      <c r="B144" s="87"/>
      <c r="C144" s="269"/>
      <c r="D144" s="269"/>
      <c r="E144" s="270"/>
      <c r="F144" s="79"/>
      <c r="G144" s="279"/>
      <c r="H144" s="281"/>
      <c r="I144" s="277"/>
      <c r="J144" s="276"/>
      <c r="K144" s="272"/>
      <c r="L144" s="79"/>
      <c r="M144" s="79"/>
      <c r="N144" s="278"/>
      <c r="O144" s="274"/>
      <c r="P144" s="273"/>
      <c r="Q144" s="274">
        <f t="shared" si="1"/>
        <v>0</v>
      </c>
      <c r="R144" s="275"/>
      <c r="S144" s="62"/>
      <c r="T144" s="122"/>
    </row>
    <row r="145" ht="21.75" customHeight="1">
      <c r="A145" s="85">
        <f t="shared" si="2"/>
        <v>141</v>
      </c>
      <c r="B145" s="87"/>
      <c r="C145" s="269"/>
      <c r="D145" s="269"/>
      <c r="E145" s="270"/>
      <c r="F145" s="79"/>
      <c r="G145" s="279"/>
      <c r="H145" s="281"/>
      <c r="I145" s="277"/>
      <c r="J145" s="276"/>
      <c r="K145" s="272"/>
      <c r="L145" s="79"/>
      <c r="M145" s="79"/>
      <c r="N145" s="278"/>
      <c r="O145" s="274"/>
      <c r="P145" s="273"/>
      <c r="Q145" s="274">
        <f t="shared" si="1"/>
        <v>0</v>
      </c>
      <c r="R145" s="275"/>
      <c r="S145" s="62"/>
      <c r="T145" s="122"/>
    </row>
    <row r="146" ht="21.75" customHeight="1">
      <c r="A146" s="85">
        <f t="shared" si="2"/>
        <v>142</v>
      </c>
      <c r="B146" s="87"/>
      <c r="C146" s="269"/>
      <c r="D146" s="269"/>
      <c r="E146" s="270"/>
      <c r="F146" s="79"/>
      <c r="G146" s="279"/>
      <c r="H146" s="281"/>
      <c r="I146" s="277"/>
      <c r="J146" s="276"/>
      <c r="K146" s="272"/>
      <c r="L146" s="79"/>
      <c r="M146" s="79"/>
      <c r="N146" s="278"/>
      <c r="O146" s="274"/>
      <c r="P146" s="273"/>
      <c r="Q146" s="274">
        <f t="shared" si="1"/>
        <v>0</v>
      </c>
      <c r="R146" s="275"/>
      <c r="S146" s="62"/>
      <c r="T146" s="122"/>
    </row>
    <row r="147" ht="21.75" customHeight="1">
      <c r="A147" s="85">
        <f t="shared" si="2"/>
        <v>143</v>
      </c>
      <c r="B147" s="87"/>
      <c r="C147" s="269"/>
      <c r="D147" s="269"/>
      <c r="E147" s="270"/>
      <c r="F147" s="79"/>
      <c r="G147" s="279"/>
      <c r="H147" s="281"/>
      <c r="I147" s="277"/>
      <c r="J147" s="276"/>
      <c r="K147" s="272"/>
      <c r="L147" s="79"/>
      <c r="M147" s="79"/>
      <c r="N147" s="278"/>
      <c r="O147" s="274"/>
      <c r="P147" s="273"/>
      <c r="Q147" s="274">
        <f t="shared" si="1"/>
        <v>0</v>
      </c>
      <c r="R147" s="275"/>
      <c r="S147" s="62"/>
      <c r="T147" s="122"/>
    </row>
    <row r="148" ht="21.75" customHeight="1">
      <c r="A148" s="85">
        <f t="shared" si="2"/>
        <v>144</v>
      </c>
      <c r="B148" s="87"/>
      <c r="C148" s="269"/>
      <c r="D148" s="269"/>
      <c r="E148" s="270"/>
      <c r="F148" s="79"/>
      <c r="G148" s="279"/>
      <c r="H148" s="281"/>
      <c r="I148" s="277"/>
      <c r="J148" s="276"/>
      <c r="K148" s="272"/>
      <c r="L148" s="79"/>
      <c r="M148" s="79"/>
      <c r="N148" s="278"/>
      <c r="O148" s="274"/>
      <c r="P148" s="273"/>
      <c r="Q148" s="274">
        <f t="shared" si="1"/>
        <v>0</v>
      </c>
      <c r="R148" s="275"/>
      <c r="S148" s="62"/>
      <c r="T148" s="122"/>
    </row>
    <row r="149" ht="21.75" customHeight="1">
      <c r="A149" s="85">
        <f t="shared" si="2"/>
        <v>145</v>
      </c>
      <c r="B149" s="87"/>
      <c r="C149" s="269"/>
      <c r="D149" s="269"/>
      <c r="E149" s="270"/>
      <c r="F149" s="79"/>
      <c r="G149" s="279"/>
      <c r="H149" s="281"/>
      <c r="I149" s="277"/>
      <c r="J149" s="276"/>
      <c r="K149" s="272"/>
      <c r="L149" s="79"/>
      <c r="M149" s="79"/>
      <c r="N149" s="278"/>
      <c r="O149" s="274"/>
      <c r="P149" s="273"/>
      <c r="Q149" s="274">
        <f t="shared" si="1"/>
        <v>0</v>
      </c>
      <c r="R149" s="275"/>
      <c r="S149" s="62"/>
      <c r="T149" s="122"/>
    </row>
    <row r="150" ht="21.75" customHeight="1">
      <c r="A150" s="85">
        <f t="shared" si="2"/>
        <v>146</v>
      </c>
      <c r="B150" s="87"/>
      <c r="C150" s="269"/>
      <c r="D150" s="269"/>
      <c r="E150" s="270"/>
      <c r="F150" s="79"/>
      <c r="G150" s="279"/>
      <c r="H150" s="281"/>
      <c r="I150" s="277"/>
      <c r="J150" s="276"/>
      <c r="K150" s="272"/>
      <c r="L150" s="79"/>
      <c r="M150" s="79"/>
      <c r="N150" s="278"/>
      <c r="O150" s="274"/>
      <c r="P150" s="273"/>
      <c r="Q150" s="274">
        <f t="shared" si="1"/>
        <v>0</v>
      </c>
      <c r="R150" s="275"/>
      <c r="S150" s="62"/>
      <c r="T150" s="122"/>
    </row>
    <row r="151" ht="21.75" customHeight="1">
      <c r="A151" s="85">
        <f t="shared" si="2"/>
        <v>147</v>
      </c>
      <c r="B151" s="87"/>
      <c r="C151" s="269"/>
      <c r="D151" s="269"/>
      <c r="E151" s="270"/>
      <c r="F151" s="79"/>
      <c r="G151" s="279"/>
      <c r="H151" s="281"/>
      <c r="I151" s="277"/>
      <c r="J151" s="276"/>
      <c r="K151" s="272"/>
      <c r="L151" s="79"/>
      <c r="M151" s="79"/>
      <c r="N151" s="278"/>
      <c r="O151" s="274"/>
      <c r="P151" s="273"/>
      <c r="Q151" s="274">
        <f t="shared" si="1"/>
        <v>0</v>
      </c>
      <c r="R151" s="275"/>
      <c r="S151" s="62"/>
      <c r="T151" s="122"/>
    </row>
    <row r="152" ht="21.75" customHeight="1">
      <c r="A152" s="85">
        <f t="shared" si="2"/>
        <v>148</v>
      </c>
      <c r="B152" s="87"/>
      <c r="C152" s="269"/>
      <c r="D152" s="269"/>
      <c r="E152" s="270"/>
      <c r="F152" s="79"/>
      <c r="G152" s="279"/>
      <c r="H152" s="281"/>
      <c r="I152" s="277"/>
      <c r="J152" s="276"/>
      <c r="K152" s="272"/>
      <c r="L152" s="79"/>
      <c r="M152" s="79"/>
      <c r="N152" s="278"/>
      <c r="O152" s="274"/>
      <c r="P152" s="273"/>
      <c r="Q152" s="274">
        <f t="shared" si="1"/>
        <v>0</v>
      </c>
      <c r="R152" s="275"/>
      <c r="S152" s="62"/>
      <c r="T152" s="122"/>
    </row>
    <row r="153" ht="21.75" customHeight="1">
      <c r="A153" s="85">
        <f t="shared" si="2"/>
        <v>149</v>
      </c>
      <c r="B153" s="87"/>
      <c r="C153" s="269"/>
      <c r="D153" s="269"/>
      <c r="E153" s="270"/>
      <c r="F153" s="79"/>
      <c r="G153" s="279"/>
      <c r="H153" s="281"/>
      <c r="I153" s="277"/>
      <c r="J153" s="276"/>
      <c r="K153" s="272"/>
      <c r="L153" s="79"/>
      <c r="M153" s="79"/>
      <c r="N153" s="278"/>
      <c r="O153" s="274"/>
      <c r="P153" s="273"/>
      <c r="Q153" s="274">
        <f t="shared" si="1"/>
        <v>0</v>
      </c>
      <c r="R153" s="275"/>
      <c r="S153" s="62"/>
      <c r="T153" s="122"/>
    </row>
    <row r="154" ht="21.75" customHeight="1">
      <c r="A154" s="85">
        <f t="shared" si="2"/>
        <v>150</v>
      </c>
      <c r="B154" s="87"/>
      <c r="C154" s="269"/>
      <c r="D154" s="269"/>
      <c r="E154" s="270"/>
      <c r="F154" s="79"/>
      <c r="G154" s="279"/>
      <c r="H154" s="281"/>
      <c r="I154" s="277"/>
      <c r="J154" s="276"/>
      <c r="K154" s="272"/>
      <c r="L154" s="79"/>
      <c r="M154" s="79"/>
      <c r="N154" s="278"/>
      <c r="O154" s="274"/>
      <c r="P154" s="273"/>
      <c r="Q154" s="274">
        <f t="shared" si="1"/>
        <v>0</v>
      </c>
      <c r="R154" s="275"/>
      <c r="S154" s="62"/>
      <c r="T154" s="122"/>
    </row>
    <row r="155" ht="21.75" customHeight="1">
      <c r="A155" s="85">
        <f t="shared" si="2"/>
        <v>151</v>
      </c>
      <c r="B155" s="87"/>
      <c r="C155" s="269"/>
      <c r="D155" s="269"/>
      <c r="E155" s="270"/>
      <c r="F155" s="79"/>
      <c r="G155" s="279"/>
      <c r="H155" s="281"/>
      <c r="I155" s="277"/>
      <c r="J155" s="276"/>
      <c r="K155" s="272"/>
      <c r="L155" s="79"/>
      <c r="M155" s="79"/>
      <c r="N155" s="278"/>
      <c r="O155" s="274"/>
      <c r="P155" s="273"/>
      <c r="Q155" s="274">
        <f t="shared" si="1"/>
        <v>0</v>
      </c>
      <c r="R155" s="275"/>
      <c r="S155" s="62"/>
      <c r="T155" s="122"/>
    </row>
    <row r="156" ht="21.75" customHeight="1">
      <c r="A156" s="85">
        <f t="shared" si="2"/>
        <v>152</v>
      </c>
      <c r="B156" s="87"/>
      <c r="C156" s="269"/>
      <c r="D156" s="269"/>
      <c r="E156" s="270"/>
      <c r="F156" s="79"/>
      <c r="G156" s="279"/>
      <c r="H156" s="281"/>
      <c r="I156" s="277"/>
      <c r="J156" s="276"/>
      <c r="K156" s="272"/>
      <c r="L156" s="79"/>
      <c r="M156" s="79"/>
      <c r="N156" s="278"/>
      <c r="O156" s="274"/>
      <c r="P156" s="273"/>
      <c r="Q156" s="274">
        <f t="shared" si="1"/>
        <v>0</v>
      </c>
      <c r="R156" s="275"/>
      <c r="S156" s="62"/>
      <c r="T156" s="122"/>
    </row>
    <row r="157" ht="21.75" customHeight="1">
      <c r="A157" s="85">
        <f t="shared" si="2"/>
        <v>153</v>
      </c>
      <c r="B157" s="87"/>
      <c r="C157" s="269"/>
      <c r="D157" s="269"/>
      <c r="E157" s="270"/>
      <c r="F157" s="79"/>
      <c r="G157" s="279"/>
      <c r="H157" s="281"/>
      <c r="I157" s="277"/>
      <c r="J157" s="276"/>
      <c r="K157" s="272"/>
      <c r="L157" s="79"/>
      <c r="M157" s="79"/>
      <c r="N157" s="278"/>
      <c r="O157" s="274"/>
      <c r="P157" s="273"/>
      <c r="Q157" s="274">
        <f t="shared" si="1"/>
        <v>0</v>
      </c>
      <c r="R157" s="275"/>
      <c r="S157" s="62"/>
      <c r="T157" s="122"/>
    </row>
    <row r="158" ht="21.75" customHeight="1">
      <c r="A158" s="85">
        <f t="shared" si="2"/>
        <v>154</v>
      </c>
      <c r="B158" s="87"/>
      <c r="C158" s="269"/>
      <c r="D158" s="269"/>
      <c r="E158" s="270"/>
      <c r="F158" s="79"/>
      <c r="G158" s="279"/>
      <c r="H158" s="281"/>
      <c r="I158" s="277"/>
      <c r="J158" s="276"/>
      <c r="K158" s="272"/>
      <c r="L158" s="79"/>
      <c r="M158" s="79"/>
      <c r="N158" s="278"/>
      <c r="O158" s="274"/>
      <c r="P158" s="273"/>
      <c r="Q158" s="274">
        <f t="shared" si="1"/>
        <v>0</v>
      </c>
      <c r="R158" s="275"/>
      <c r="S158" s="62"/>
      <c r="T158" s="122"/>
    </row>
    <row r="159" ht="21.75" customHeight="1">
      <c r="A159" s="85">
        <f t="shared" si="2"/>
        <v>155</v>
      </c>
      <c r="B159" s="87"/>
      <c r="C159" s="269"/>
      <c r="D159" s="269"/>
      <c r="E159" s="270"/>
      <c r="F159" s="79"/>
      <c r="G159" s="279"/>
      <c r="H159" s="281"/>
      <c r="I159" s="277"/>
      <c r="J159" s="276"/>
      <c r="K159" s="272"/>
      <c r="L159" s="79"/>
      <c r="M159" s="79"/>
      <c r="N159" s="278"/>
      <c r="O159" s="274"/>
      <c r="P159" s="273"/>
      <c r="Q159" s="274">
        <f t="shared" si="1"/>
        <v>0</v>
      </c>
      <c r="R159" s="275"/>
      <c r="S159" s="62"/>
      <c r="T159" s="122"/>
    </row>
    <row r="160" ht="21.75" customHeight="1">
      <c r="A160" s="85">
        <f t="shared" si="2"/>
        <v>156</v>
      </c>
      <c r="B160" s="87"/>
      <c r="C160" s="269"/>
      <c r="D160" s="269"/>
      <c r="E160" s="270"/>
      <c r="F160" s="79"/>
      <c r="G160" s="279"/>
      <c r="H160" s="281"/>
      <c r="I160" s="277"/>
      <c r="J160" s="276"/>
      <c r="K160" s="272"/>
      <c r="L160" s="79"/>
      <c r="M160" s="79"/>
      <c r="N160" s="278"/>
      <c r="O160" s="274"/>
      <c r="P160" s="273"/>
      <c r="Q160" s="274">
        <f t="shared" si="1"/>
        <v>0</v>
      </c>
      <c r="R160" s="275"/>
      <c r="S160" s="62"/>
      <c r="T160" s="122"/>
    </row>
    <row r="161" ht="21.75" customHeight="1">
      <c r="A161" s="85">
        <f t="shared" si="2"/>
        <v>157</v>
      </c>
      <c r="B161" s="87"/>
      <c r="C161" s="269"/>
      <c r="D161" s="269"/>
      <c r="E161" s="270"/>
      <c r="F161" s="79"/>
      <c r="G161" s="279"/>
      <c r="H161" s="281"/>
      <c r="I161" s="277"/>
      <c r="J161" s="276"/>
      <c r="K161" s="272"/>
      <c r="L161" s="79"/>
      <c r="M161" s="79"/>
      <c r="N161" s="278"/>
      <c r="O161" s="274"/>
      <c r="P161" s="273"/>
      <c r="Q161" s="274">
        <f t="shared" si="1"/>
        <v>0</v>
      </c>
      <c r="R161" s="275"/>
      <c r="S161" s="62"/>
      <c r="T161" s="122"/>
    </row>
    <row r="162" ht="21.75" customHeight="1">
      <c r="A162" s="85">
        <f t="shared" si="2"/>
        <v>158</v>
      </c>
      <c r="B162" s="87"/>
      <c r="C162" s="269"/>
      <c r="D162" s="269"/>
      <c r="E162" s="270"/>
      <c r="F162" s="79"/>
      <c r="G162" s="279"/>
      <c r="H162" s="281"/>
      <c r="I162" s="277"/>
      <c r="J162" s="276"/>
      <c r="K162" s="272"/>
      <c r="L162" s="79"/>
      <c r="M162" s="79"/>
      <c r="N162" s="278"/>
      <c r="O162" s="274"/>
      <c r="P162" s="273"/>
      <c r="Q162" s="274">
        <f t="shared" si="1"/>
        <v>0</v>
      </c>
      <c r="R162" s="275"/>
      <c r="S162" s="62"/>
      <c r="T162" s="122"/>
    </row>
    <row r="163" ht="21.75" customHeight="1">
      <c r="A163" s="85">
        <f t="shared" si="2"/>
        <v>159</v>
      </c>
      <c r="B163" s="87"/>
      <c r="C163" s="269"/>
      <c r="D163" s="269"/>
      <c r="E163" s="270"/>
      <c r="F163" s="79"/>
      <c r="G163" s="279"/>
      <c r="H163" s="281"/>
      <c r="I163" s="277"/>
      <c r="J163" s="276"/>
      <c r="K163" s="272"/>
      <c r="L163" s="79"/>
      <c r="M163" s="79"/>
      <c r="N163" s="278"/>
      <c r="O163" s="274"/>
      <c r="P163" s="273"/>
      <c r="Q163" s="274">
        <f t="shared" si="1"/>
        <v>0</v>
      </c>
      <c r="R163" s="275"/>
      <c r="S163" s="62"/>
      <c r="T163" s="122"/>
    </row>
    <row r="164" ht="21.75" customHeight="1">
      <c r="A164" s="85">
        <f t="shared" si="2"/>
        <v>160</v>
      </c>
      <c r="B164" s="87"/>
      <c r="C164" s="269"/>
      <c r="D164" s="269"/>
      <c r="E164" s="270"/>
      <c r="F164" s="79"/>
      <c r="G164" s="279"/>
      <c r="H164" s="281"/>
      <c r="I164" s="277"/>
      <c r="J164" s="276"/>
      <c r="K164" s="272"/>
      <c r="L164" s="79"/>
      <c r="M164" s="79"/>
      <c r="N164" s="278"/>
      <c r="O164" s="274"/>
      <c r="P164" s="273"/>
      <c r="Q164" s="274">
        <f t="shared" si="1"/>
        <v>0</v>
      </c>
      <c r="R164" s="275"/>
      <c r="S164" s="62"/>
      <c r="T164" s="122"/>
    </row>
    <row r="165" ht="21.75" customHeight="1">
      <c r="A165" s="85">
        <f t="shared" si="2"/>
        <v>161</v>
      </c>
      <c r="B165" s="87"/>
      <c r="C165" s="269"/>
      <c r="D165" s="269"/>
      <c r="E165" s="270"/>
      <c r="F165" s="79"/>
      <c r="G165" s="279"/>
      <c r="H165" s="281"/>
      <c r="I165" s="277"/>
      <c r="J165" s="276"/>
      <c r="K165" s="272"/>
      <c r="L165" s="79"/>
      <c r="M165" s="79"/>
      <c r="N165" s="278"/>
      <c r="O165" s="274"/>
      <c r="P165" s="273"/>
      <c r="Q165" s="274">
        <f t="shared" si="1"/>
        <v>0</v>
      </c>
      <c r="R165" s="275"/>
      <c r="S165" s="62"/>
      <c r="T165" s="122"/>
    </row>
    <row r="166" ht="21.75" customHeight="1">
      <c r="A166" s="85">
        <f t="shared" si="2"/>
        <v>162</v>
      </c>
      <c r="B166" s="87"/>
      <c r="C166" s="269"/>
      <c r="D166" s="269"/>
      <c r="E166" s="270"/>
      <c r="F166" s="79"/>
      <c r="G166" s="279"/>
      <c r="H166" s="281"/>
      <c r="I166" s="277"/>
      <c r="J166" s="276"/>
      <c r="K166" s="272"/>
      <c r="L166" s="79"/>
      <c r="M166" s="79"/>
      <c r="N166" s="278"/>
      <c r="O166" s="274"/>
      <c r="P166" s="273"/>
      <c r="Q166" s="274">
        <f t="shared" si="1"/>
        <v>0</v>
      </c>
      <c r="R166" s="275"/>
      <c r="S166" s="62"/>
      <c r="T166" s="122"/>
    </row>
    <row r="167" ht="21.75" customHeight="1">
      <c r="A167" s="85">
        <f t="shared" si="2"/>
        <v>163</v>
      </c>
      <c r="B167" s="87"/>
      <c r="C167" s="269"/>
      <c r="D167" s="269"/>
      <c r="E167" s="270"/>
      <c r="F167" s="79"/>
      <c r="G167" s="279"/>
      <c r="H167" s="281"/>
      <c r="I167" s="277"/>
      <c r="J167" s="276"/>
      <c r="K167" s="272"/>
      <c r="L167" s="79"/>
      <c r="M167" s="79"/>
      <c r="N167" s="278"/>
      <c r="O167" s="274"/>
      <c r="P167" s="273"/>
      <c r="Q167" s="274">
        <f t="shared" si="1"/>
        <v>0</v>
      </c>
      <c r="R167" s="275"/>
      <c r="S167" s="62"/>
      <c r="T167" s="122"/>
    </row>
    <row r="168" ht="21.75" customHeight="1">
      <c r="A168" s="85">
        <f t="shared" si="2"/>
        <v>164</v>
      </c>
      <c r="B168" s="87"/>
      <c r="C168" s="269"/>
      <c r="D168" s="269"/>
      <c r="E168" s="270"/>
      <c r="F168" s="79"/>
      <c r="G168" s="279"/>
      <c r="H168" s="281"/>
      <c r="I168" s="277"/>
      <c r="J168" s="276"/>
      <c r="K168" s="272"/>
      <c r="L168" s="79"/>
      <c r="M168" s="79"/>
      <c r="N168" s="278"/>
      <c r="O168" s="274"/>
      <c r="P168" s="273"/>
      <c r="Q168" s="274">
        <f t="shared" si="1"/>
        <v>0</v>
      </c>
      <c r="R168" s="275"/>
      <c r="S168" s="62"/>
      <c r="T168" s="122"/>
    </row>
    <row r="169" ht="21.75" customHeight="1">
      <c r="A169" s="85">
        <f t="shared" si="2"/>
        <v>165</v>
      </c>
      <c r="B169" s="87"/>
      <c r="C169" s="269"/>
      <c r="D169" s="269"/>
      <c r="E169" s="270"/>
      <c r="F169" s="79"/>
      <c r="G169" s="279"/>
      <c r="H169" s="281"/>
      <c r="I169" s="277"/>
      <c r="J169" s="276"/>
      <c r="K169" s="272"/>
      <c r="L169" s="79"/>
      <c r="M169" s="79"/>
      <c r="N169" s="278"/>
      <c r="O169" s="274"/>
      <c r="P169" s="273"/>
      <c r="Q169" s="274">
        <f t="shared" si="1"/>
        <v>0</v>
      </c>
      <c r="R169" s="275"/>
      <c r="S169" s="62"/>
      <c r="T169" s="122"/>
    </row>
    <row r="170" ht="21.75" customHeight="1">
      <c r="A170" s="85">
        <f t="shared" si="2"/>
        <v>166</v>
      </c>
      <c r="B170" s="87"/>
      <c r="C170" s="269"/>
      <c r="D170" s="269"/>
      <c r="E170" s="270"/>
      <c r="F170" s="79"/>
      <c r="G170" s="279"/>
      <c r="H170" s="281"/>
      <c r="I170" s="277"/>
      <c r="J170" s="276"/>
      <c r="K170" s="272"/>
      <c r="L170" s="79"/>
      <c r="M170" s="79"/>
      <c r="N170" s="278"/>
      <c r="O170" s="274"/>
      <c r="P170" s="273"/>
      <c r="Q170" s="274">
        <f t="shared" si="1"/>
        <v>0</v>
      </c>
      <c r="R170" s="275"/>
      <c r="S170" s="62"/>
      <c r="T170" s="122"/>
    </row>
    <row r="171" ht="21.75" customHeight="1">
      <c r="A171" s="85">
        <f t="shared" si="2"/>
        <v>167</v>
      </c>
      <c r="B171" s="87"/>
      <c r="C171" s="269"/>
      <c r="D171" s="269"/>
      <c r="E171" s="270"/>
      <c r="F171" s="79"/>
      <c r="G171" s="279"/>
      <c r="H171" s="281"/>
      <c r="I171" s="277"/>
      <c r="J171" s="276"/>
      <c r="K171" s="272"/>
      <c r="L171" s="79"/>
      <c r="M171" s="79"/>
      <c r="N171" s="278"/>
      <c r="O171" s="274"/>
      <c r="P171" s="273"/>
      <c r="Q171" s="274">
        <f t="shared" si="1"/>
        <v>0</v>
      </c>
      <c r="R171" s="275"/>
      <c r="S171" s="62"/>
      <c r="T171" s="122"/>
    </row>
    <row r="172" ht="21.75" customHeight="1">
      <c r="A172" s="85">
        <f t="shared" si="2"/>
        <v>168</v>
      </c>
      <c r="B172" s="87"/>
      <c r="C172" s="269"/>
      <c r="D172" s="269"/>
      <c r="E172" s="270"/>
      <c r="F172" s="79"/>
      <c r="G172" s="279"/>
      <c r="H172" s="281"/>
      <c r="I172" s="277"/>
      <c r="J172" s="276"/>
      <c r="K172" s="272"/>
      <c r="L172" s="79"/>
      <c r="M172" s="79"/>
      <c r="N172" s="278"/>
      <c r="O172" s="274"/>
      <c r="P172" s="273"/>
      <c r="Q172" s="274">
        <f t="shared" si="1"/>
        <v>0</v>
      </c>
      <c r="R172" s="275"/>
      <c r="S172" s="62"/>
      <c r="T172" s="122"/>
    </row>
    <row r="173" ht="21.75" customHeight="1">
      <c r="A173" s="85">
        <f t="shared" si="2"/>
        <v>169</v>
      </c>
      <c r="B173" s="87"/>
      <c r="C173" s="269"/>
      <c r="D173" s="269"/>
      <c r="E173" s="270"/>
      <c r="F173" s="79"/>
      <c r="G173" s="279"/>
      <c r="H173" s="281"/>
      <c r="I173" s="277"/>
      <c r="J173" s="276"/>
      <c r="K173" s="272"/>
      <c r="L173" s="79"/>
      <c r="M173" s="79"/>
      <c r="N173" s="278"/>
      <c r="O173" s="274"/>
      <c r="P173" s="273"/>
      <c r="Q173" s="274">
        <f t="shared" si="1"/>
        <v>0</v>
      </c>
      <c r="R173" s="275"/>
      <c r="S173" s="62"/>
      <c r="T173" s="122"/>
    </row>
    <row r="174" ht="21.75" customHeight="1">
      <c r="A174" s="85">
        <f t="shared" si="2"/>
        <v>170</v>
      </c>
      <c r="B174" s="87"/>
      <c r="C174" s="269"/>
      <c r="D174" s="269"/>
      <c r="E174" s="270"/>
      <c r="F174" s="79"/>
      <c r="G174" s="279"/>
      <c r="H174" s="281"/>
      <c r="I174" s="277"/>
      <c r="J174" s="276"/>
      <c r="K174" s="272"/>
      <c r="L174" s="79"/>
      <c r="M174" s="79"/>
      <c r="N174" s="278"/>
      <c r="O174" s="274"/>
      <c r="P174" s="273"/>
      <c r="Q174" s="274">
        <f t="shared" si="1"/>
        <v>0</v>
      </c>
      <c r="R174" s="275"/>
      <c r="S174" s="62"/>
      <c r="T174" s="122"/>
    </row>
    <row r="175" ht="21.75" customHeight="1">
      <c r="A175" s="85">
        <f t="shared" si="2"/>
        <v>171</v>
      </c>
      <c r="B175" s="87"/>
      <c r="C175" s="269"/>
      <c r="D175" s="269"/>
      <c r="E175" s="270"/>
      <c r="F175" s="79"/>
      <c r="G175" s="279"/>
      <c r="H175" s="281"/>
      <c r="I175" s="277"/>
      <c r="J175" s="276"/>
      <c r="K175" s="272"/>
      <c r="L175" s="79"/>
      <c r="M175" s="79"/>
      <c r="N175" s="278"/>
      <c r="O175" s="274"/>
      <c r="P175" s="273"/>
      <c r="Q175" s="274">
        <f t="shared" si="1"/>
        <v>0</v>
      </c>
      <c r="R175" s="275"/>
      <c r="S175" s="62"/>
      <c r="T175" s="122"/>
    </row>
    <row r="176" ht="21.75" customHeight="1">
      <c r="A176" s="85">
        <f t="shared" si="2"/>
        <v>172</v>
      </c>
      <c r="B176" s="87"/>
      <c r="C176" s="269"/>
      <c r="D176" s="269"/>
      <c r="E176" s="270"/>
      <c r="F176" s="79"/>
      <c r="G176" s="279"/>
      <c r="H176" s="281"/>
      <c r="I176" s="277"/>
      <c r="J176" s="276"/>
      <c r="K176" s="272"/>
      <c r="L176" s="79"/>
      <c r="M176" s="79"/>
      <c r="N176" s="278"/>
      <c r="O176" s="274"/>
      <c r="P176" s="273"/>
      <c r="Q176" s="274">
        <f t="shared" si="1"/>
        <v>0</v>
      </c>
      <c r="R176" s="275"/>
      <c r="S176" s="62"/>
      <c r="T176" s="122"/>
    </row>
    <row r="177" ht="21.75" customHeight="1">
      <c r="A177" s="85">
        <f t="shared" si="2"/>
        <v>173</v>
      </c>
      <c r="B177" s="87"/>
      <c r="C177" s="269"/>
      <c r="D177" s="269"/>
      <c r="E177" s="270"/>
      <c r="F177" s="79"/>
      <c r="G177" s="279"/>
      <c r="H177" s="281"/>
      <c r="I177" s="277"/>
      <c r="J177" s="276"/>
      <c r="K177" s="272"/>
      <c r="L177" s="79"/>
      <c r="M177" s="79"/>
      <c r="N177" s="278"/>
      <c r="O177" s="274"/>
      <c r="P177" s="273"/>
      <c r="Q177" s="274">
        <f t="shared" si="1"/>
        <v>0</v>
      </c>
      <c r="R177" s="275"/>
      <c r="S177" s="62"/>
      <c r="T177" s="122"/>
    </row>
    <row r="178" ht="21.75" customHeight="1">
      <c r="A178" s="85">
        <f t="shared" si="2"/>
        <v>174</v>
      </c>
      <c r="B178" s="87"/>
      <c r="C178" s="269"/>
      <c r="D178" s="269"/>
      <c r="E178" s="270"/>
      <c r="F178" s="79"/>
      <c r="G178" s="279"/>
      <c r="H178" s="281"/>
      <c r="I178" s="277"/>
      <c r="J178" s="276"/>
      <c r="K178" s="272"/>
      <c r="L178" s="79"/>
      <c r="M178" s="79"/>
      <c r="N178" s="278"/>
      <c r="O178" s="274"/>
      <c r="P178" s="273"/>
      <c r="Q178" s="274">
        <f t="shared" si="1"/>
        <v>0</v>
      </c>
      <c r="R178" s="275"/>
      <c r="S178" s="62"/>
      <c r="T178" s="122"/>
    </row>
    <row r="179" ht="21.75" customHeight="1">
      <c r="A179" s="85">
        <f t="shared" si="2"/>
        <v>175</v>
      </c>
      <c r="B179" s="87"/>
      <c r="C179" s="269"/>
      <c r="D179" s="269"/>
      <c r="E179" s="270"/>
      <c r="F179" s="79"/>
      <c r="G179" s="279"/>
      <c r="H179" s="281"/>
      <c r="I179" s="277"/>
      <c r="J179" s="276"/>
      <c r="K179" s="272"/>
      <c r="L179" s="79"/>
      <c r="M179" s="79"/>
      <c r="N179" s="278"/>
      <c r="O179" s="274"/>
      <c r="P179" s="273"/>
      <c r="Q179" s="274">
        <f t="shared" si="1"/>
        <v>0</v>
      </c>
      <c r="R179" s="275"/>
      <c r="S179" s="62"/>
      <c r="T179" s="122"/>
    </row>
    <row r="180" ht="21.75" customHeight="1">
      <c r="A180" s="85">
        <f t="shared" si="2"/>
        <v>176</v>
      </c>
      <c r="B180" s="87"/>
      <c r="C180" s="269"/>
      <c r="D180" s="269"/>
      <c r="E180" s="270"/>
      <c r="F180" s="79"/>
      <c r="G180" s="279"/>
      <c r="H180" s="281"/>
      <c r="I180" s="277"/>
      <c r="J180" s="276"/>
      <c r="K180" s="272"/>
      <c r="L180" s="79"/>
      <c r="M180" s="79"/>
      <c r="N180" s="278"/>
      <c r="O180" s="274"/>
      <c r="P180" s="273"/>
      <c r="Q180" s="274">
        <f t="shared" si="1"/>
        <v>0</v>
      </c>
      <c r="R180" s="275"/>
      <c r="S180" s="62"/>
      <c r="T180" s="122"/>
    </row>
    <row r="181" ht="21.75" customHeight="1">
      <c r="A181" s="85">
        <f t="shared" si="2"/>
        <v>177</v>
      </c>
      <c r="B181" s="87"/>
      <c r="C181" s="269"/>
      <c r="D181" s="269"/>
      <c r="E181" s="270"/>
      <c r="F181" s="79"/>
      <c r="G181" s="279"/>
      <c r="H181" s="281"/>
      <c r="I181" s="277"/>
      <c r="J181" s="276"/>
      <c r="K181" s="272"/>
      <c r="L181" s="79"/>
      <c r="M181" s="79"/>
      <c r="N181" s="278"/>
      <c r="O181" s="274"/>
      <c r="P181" s="273"/>
      <c r="Q181" s="274">
        <f t="shared" si="1"/>
        <v>0</v>
      </c>
      <c r="R181" s="275"/>
      <c r="S181" s="62"/>
      <c r="T181" s="122"/>
    </row>
    <row r="182" ht="21.75" customHeight="1">
      <c r="A182" s="85">
        <f t="shared" si="2"/>
        <v>178</v>
      </c>
      <c r="B182" s="87"/>
      <c r="C182" s="269"/>
      <c r="D182" s="269"/>
      <c r="E182" s="270"/>
      <c r="F182" s="79"/>
      <c r="G182" s="279"/>
      <c r="H182" s="281"/>
      <c r="I182" s="277"/>
      <c r="J182" s="276"/>
      <c r="K182" s="272"/>
      <c r="L182" s="79"/>
      <c r="M182" s="79"/>
      <c r="N182" s="278"/>
      <c r="O182" s="274"/>
      <c r="P182" s="273"/>
      <c r="Q182" s="274">
        <f t="shared" si="1"/>
        <v>0</v>
      </c>
      <c r="R182" s="275"/>
      <c r="S182" s="62"/>
      <c r="T182" s="122"/>
    </row>
    <row r="183" ht="21.75" customHeight="1">
      <c r="A183" s="85">
        <f t="shared" si="2"/>
        <v>179</v>
      </c>
      <c r="B183" s="87"/>
      <c r="C183" s="269"/>
      <c r="D183" s="269"/>
      <c r="E183" s="270"/>
      <c r="F183" s="79"/>
      <c r="G183" s="279"/>
      <c r="H183" s="281"/>
      <c r="I183" s="277"/>
      <c r="J183" s="276"/>
      <c r="K183" s="272"/>
      <c r="L183" s="79"/>
      <c r="M183" s="79"/>
      <c r="N183" s="278"/>
      <c r="O183" s="274"/>
      <c r="P183" s="273"/>
      <c r="Q183" s="274">
        <f t="shared" si="1"/>
        <v>0</v>
      </c>
      <c r="R183" s="275"/>
      <c r="S183" s="62"/>
      <c r="T183" s="122"/>
    </row>
    <row r="184" ht="21.75" customHeight="1">
      <c r="A184" s="85">
        <f t="shared" si="2"/>
        <v>180</v>
      </c>
      <c r="B184" s="87"/>
      <c r="C184" s="269"/>
      <c r="D184" s="269"/>
      <c r="E184" s="270"/>
      <c r="F184" s="79"/>
      <c r="G184" s="279"/>
      <c r="H184" s="281"/>
      <c r="I184" s="277"/>
      <c r="J184" s="276"/>
      <c r="K184" s="272"/>
      <c r="L184" s="79"/>
      <c r="M184" s="79"/>
      <c r="N184" s="278"/>
      <c r="O184" s="274"/>
      <c r="P184" s="273"/>
      <c r="Q184" s="274">
        <f t="shared" si="1"/>
        <v>0</v>
      </c>
      <c r="R184" s="275"/>
      <c r="S184" s="62"/>
      <c r="T184" s="122"/>
    </row>
    <row r="185" ht="21.75" customHeight="1">
      <c r="A185" s="85">
        <f t="shared" si="2"/>
        <v>181</v>
      </c>
      <c r="B185" s="87"/>
      <c r="C185" s="269"/>
      <c r="D185" s="269"/>
      <c r="E185" s="270"/>
      <c r="F185" s="79"/>
      <c r="G185" s="279"/>
      <c r="H185" s="281"/>
      <c r="I185" s="277"/>
      <c r="J185" s="276"/>
      <c r="K185" s="272"/>
      <c r="L185" s="79"/>
      <c r="M185" s="79"/>
      <c r="N185" s="278"/>
      <c r="O185" s="274"/>
      <c r="P185" s="273"/>
      <c r="Q185" s="274">
        <f t="shared" si="1"/>
        <v>0</v>
      </c>
      <c r="R185" s="275"/>
      <c r="S185" s="62"/>
      <c r="T185" s="122"/>
    </row>
    <row r="186" ht="21.75" customHeight="1">
      <c r="A186" s="85">
        <f t="shared" si="2"/>
        <v>182</v>
      </c>
      <c r="B186" s="87"/>
      <c r="C186" s="269"/>
      <c r="D186" s="269"/>
      <c r="E186" s="270"/>
      <c r="F186" s="79"/>
      <c r="G186" s="279"/>
      <c r="H186" s="281"/>
      <c r="I186" s="277"/>
      <c r="J186" s="276"/>
      <c r="K186" s="272"/>
      <c r="L186" s="79"/>
      <c r="M186" s="79"/>
      <c r="N186" s="278"/>
      <c r="O186" s="274"/>
      <c r="P186" s="273"/>
      <c r="Q186" s="274">
        <f t="shared" si="1"/>
        <v>0</v>
      </c>
      <c r="R186" s="275"/>
      <c r="S186" s="62"/>
      <c r="T186" s="122"/>
    </row>
    <row r="187" ht="21.75" customHeight="1">
      <c r="A187" s="85">
        <f t="shared" si="2"/>
        <v>183</v>
      </c>
      <c r="B187" s="87"/>
      <c r="C187" s="269"/>
      <c r="D187" s="269"/>
      <c r="E187" s="270"/>
      <c r="F187" s="79"/>
      <c r="G187" s="279"/>
      <c r="H187" s="281"/>
      <c r="I187" s="277"/>
      <c r="J187" s="276"/>
      <c r="K187" s="272"/>
      <c r="L187" s="79"/>
      <c r="M187" s="79"/>
      <c r="N187" s="278"/>
      <c r="O187" s="274"/>
      <c r="P187" s="273"/>
      <c r="Q187" s="274">
        <f t="shared" si="1"/>
        <v>0</v>
      </c>
      <c r="R187" s="275"/>
      <c r="S187" s="62"/>
      <c r="T187" s="122"/>
    </row>
    <row r="188" ht="21.75" customHeight="1">
      <c r="A188" s="85">
        <f t="shared" si="2"/>
        <v>184</v>
      </c>
      <c r="B188" s="87"/>
      <c r="C188" s="269"/>
      <c r="D188" s="269"/>
      <c r="E188" s="270"/>
      <c r="F188" s="79"/>
      <c r="G188" s="279"/>
      <c r="H188" s="281"/>
      <c r="I188" s="277"/>
      <c r="J188" s="276"/>
      <c r="K188" s="272"/>
      <c r="L188" s="79"/>
      <c r="M188" s="79"/>
      <c r="N188" s="278"/>
      <c r="O188" s="274"/>
      <c r="P188" s="273"/>
      <c r="Q188" s="274">
        <f t="shared" si="1"/>
        <v>0</v>
      </c>
      <c r="R188" s="275"/>
      <c r="S188" s="62"/>
      <c r="T188" s="122"/>
    </row>
    <row r="189" ht="21.75" customHeight="1">
      <c r="A189" s="85">
        <f t="shared" si="2"/>
        <v>185</v>
      </c>
      <c r="B189" s="87"/>
      <c r="C189" s="269"/>
      <c r="D189" s="269"/>
      <c r="E189" s="270"/>
      <c r="F189" s="79"/>
      <c r="G189" s="279"/>
      <c r="H189" s="281"/>
      <c r="I189" s="277"/>
      <c r="J189" s="276"/>
      <c r="K189" s="272"/>
      <c r="L189" s="79"/>
      <c r="M189" s="79"/>
      <c r="N189" s="278"/>
      <c r="O189" s="274"/>
      <c r="P189" s="273"/>
      <c r="Q189" s="274">
        <f t="shared" si="1"/>
        <v>0</v>
      </c>
      <c r="R189" s="275"/>
      <c r="S189" s="62"/>
      <c r="T189" s="122"/>
    </row>
    <row r="190" ht="21.75" customHeight="1">
      <c r="A190" s="85">
        <f t="shared" si="2"/>
        <v>186</v>
      </c>
      <c r="B190" s="87"/>
      <c r="C190" s="269"/>
      <c r="D190" s="269"/>
      <c r="E190" s="270"/>
      <c r="F190" s="79"/>
      <c r="G190" s="279"/>
      <c r="H190" s="281"/>
      <c r="I190" s="277"/>
      <c r="J190" s="276"/>
      <c r="K190" s="272"/>
      <c r="L190" s="79"/>
      <c r="M190" s="79"/>
      <c r="N190" s="278"/>
      <c r="O190" s="274"/>
      <c r="P190" s="273"/>
      <c r="Q190" s="274">
        <f t="shared" si="1"/>
        <v>0</v>
      </c>
      <c r="R190" s="275"/>
      <c r="S190" s="62"/>
      <c r="T190" s="122"/>
    </row>
    <row r="191" ht="21.75" customHeight="1">
      <c r="A191" s="85">
        <f t="shared" si="2"/>
        <v>187</v>
      </c>
      <c r="B191" s="87"/>
      <c r="C191" s="269"/>
      <c r="D191" s="269"/>
      <c r="E191" s="270"/>
      <c r="F191" s="79"/>
      <c r="G191" s="279"/>
      <c r="H191" s="281"/>
      <c r="I191" s="277"/>
      <c r="J191" s="276"/>
      <c r="K191" s="272"/>
      <c r="L191" s="79"/>
      <c r="M191" s="79"/>
      <c r="N191" s="278"/>
      <c r="O191" s="274"/>
      <c r="P191" s="273"/>
      <c r="Q191" s="274">
        <f t="shared" si="1"/>
        <v>0</v>
      </c>
      <c r="R191" s="275"/>
      <c r="S191" s="62"/>
      <c r="T191" s="122"/>
    </row>
    <row r="192" ht="21.75" customHeight="1">
      <c r="A192" s="85">
        <f t="shared" si="2"/>
        <v>188</v>
      </c>
      <c r="B192" s="87"/>
      <c r="C192" s="269"/>
      <c r="D192" s="269"/>
      <c r="E192" s="270"/>
      <c r="F192" s="79"/>
      <c r="G192" s="279"/>
      <c r="H192" s="281"/>
      <c r="I192" s="277"/>
      <c r="J192" s="276"/>
      <c r="K192" s="272"/>
      <c r="L192" s="79"/>
      <c r="M192" s="79"/>
      <c r="N192" s="278"/>
      <c r="O192" s="274"/>
      <c r="P192" s="273"/>
      <c r="Q192" s="274">
        <f t="shared" si="1"/>
        <v>0</v>
      </c>
      <c r="R192" s="275"/>
      <c r="S192" s="62"/>
      <c r="T192" s="122"/>
    </row>
    <row r="193" ht="21.75" customHeight="1">
      <c r="A193" s="85">
        <f t="shared" si="2"/>
        <v>189</v>
      </c>
      <c r="B193" s="87"/>
      <c r="C193" s="269"/>
      <c r="D193" s="269"/>
      <c r="E193" s="270"/>
      <c r="F193" s="79"/>
      <c r="G193" s="279"/>
      <c r="H193" s="281"/>
      <c r="I193" s="277"/>
      <c r="J193" s="276"/>
      <c r="K193" s="272"/>
      <c r="L193" s="79"/>
      <c r="M193" s="79"/>
      <c r="N193" s="278"/>
      <c r="O193" s="274"/>
      <c r="P193" s="273"/>
      <c r="Q193" s="274">
        <f t="shared" si="1"/>
        <v>0</v>
      </c>
      <c r="R193" s="275"/>
      <c r="S193" s="62"/>
      <c r="T193" s="122"/>
    </row>
    <row r="194" ht="21.75" customHeight="1">
      <c r="A194" s="85">
        <f t="shared" si="2"/>
        <v>190</v>
      </c>
      <c r="B194" s="87"/>
      <c r="C194" s="269"/>
      <c r="D194" s="269"/>
      <c r="E194" s="270"/>
      <c r="F194" s="79"/>
      <c r="G194" s="279"/>
      <c r="H194" s="281"/>
      <c r="I194" s="277"/>
      <c r="J194" s="276"/>
      <c r="K194" s="272"/>
      <c r="L194" s="79"/>
      <c r="M194" s="79"/>
      <c r="N194" s="278"/>
      <c r="O194" s="274"/>
      <c r="P194" s="273"/>
      <c r="Q194" s="274">
        <f t="shared" si="1"/>
        <v>0</v>
      </c>
      <c r="R194" s="275"/>
      <c r="S194" s="62"/>
      <c r="T194" s="122"/>
    </row>
    <row r="195" ht="21.75" customHeight="1">
      <c r="A195" s="85">
        <f t="shared" si="2"/>
        <v>191</v>
      </c>
      <c r="B195" s="87"/>
      <c r="C195" s="269"/>
      <c r="D195" s="269"/>
      <c r="E195" s="270"/>
      <c r="F195" s="79"/>
      <c r="G195" s="279"/>
      <c r="H195" s="281"/>
      <c r="I195" s="277"/>
      <c r="J195" s="276"/>
      <c r="K195" s="272"/>
      <c r="L195" s="79"/>
      <c r="M195" s="79"/>
      <c r="N195" s="278"/>
      <c r="O195" s="274"/>
      <c r="P195" s="273"/>
      <c r="Q195" s="274">
        <f t="shared" si="1"/>
        <v>0</v>
      </c>
      <c r="R195" s="275"/>
      <c r="S195" s="62"/>
      <c r="T195" s="122"/>
    </row>
    <row r="196" ht="21.75" customHeight="1">
      <c r="A196" s="85">
        <f t="shared" si="2"/>
        <v>192</v>
      </c>
      <c r="B196" s="87"/>
      <c r="C196" s="269"/>
      <c r="D196" s="269"/>
      <c r="E196" s="270"/>
      <c r="F196" s="79"/>
      <c r="G196" s="279"/>
      <c r="H196" s="281"/>
      <c r="I196" s="277"/>
      <c r="J196" s="276"/>
      <c r="K196" s="272"/>
      <c r="L196" s="79"/>
      <c r="M196" s="79"/>
      <c r="N196" s="278"/>
      <c r="O196" s="274"/>
      <c r="P196" s="273"/>
      <c r="Q196" s="274">
        <f t="shared" si="1"/>
        <v>0</v>
      </c>
      <c r="R196" s="275"/>
      <c r="S196" s="62"/>
      <c r="T196" s="122"/>
    </row>
    <row r="197" ht="21.75" customHeight="1">
      <c r="A197" s="85">
        <f t="shared" si="2"/>
        <v>193</v>
      </c>
      <c r="B197" s="87"/>
      <c r="C197" s="269"/>
      <c r="D197" s="269"/>
      <c r="E197" s="270"/>
      <c r="F197" s="79"/>
      <c r="G197" s="279"/>
      <c r="H197" s="281"/>
      <c r="I197" s="277"/>
      <c r="J197" s="276"/>
      <c r="K197" s="272"/>
      <c r="L197" s="79"/>
      <c r="M197" s="79"/>
      <c r="N197" s="278"/>
      <c r="O197" s="274"/>
      <c r="P197" s="273"/>
      <c r="Q197" s="274">
        <f t="shared" si="1"/>
        <v>0</v>
      </c>
      <c r="R197" s="275"/>
      <c r="S197" s="62"/>
      <c r="T197" s="122"/>
    </row>
    <row r="198" ht="21.75" customHeight="1">
      <c r="A198" s="85">
        <f t="shared" si="2"/>
        <v>194</v>
      </c>
      <c r="B198" s="87"/>
      <c r="C198" s="269"/>
      <c r="D198" s="269"/>
      <c r="E198" s="270"/>
      <c r="F198" s="79"/>
      <c r="G198" s="279"/>
      <c r="H198" s="281"/>
      <c r="I198" s="277"/>
      <c r="J198" s="276"/>
      <c r="K198" s="272"/>
      <c r="L198" s="79"/>
      <c r="M198" s="79"/>
      <c r="N198" s="278"/>
      <c r="O198" s="274"/>
      <c r="P198" s="273"/>
      <c r="Q198" s="274">
        <f t="shared" si="1"/>
        <v>0</v>
      </c>
      <c r="R198" s="275"/>
      <c r="S198" s="62"/>
      <c r="T198" s="122"/>
    </row>
    <row r="199" ht="21.75" customHeight="1">
      <c r="A199" s="85">
        <f t="shared" si="2"/>
        <v>195</v>
      </c>
      <c r="B199" s="87"/>
      <c r="C199" s="269"/>
      <c r="D199" s="269"/>
      <c r="E199" s="270"/>
      <c r="F199" s="79"/>
      <c r="G199" s="279"/>
      <c r="H199" s="281"/>
      <c r="I199" s="277"/>
      <c r="J199" s="276"/>
      <c r="K199" s="272"/>
      <c r="L199" s="79"/>
      <c r="M199" s="79"/>
      <c r="N199" s="278"/>
      <c r="O199" s="274"/>
      <c r="P199" s="273"/>
      <c r="Q199" s="274">
        <f t="shared" si="1"/>
        <v>0</v>
      </c>
      <c r="R199" s="275"/>
      <c r="S199" s="62"/>
      <c r="T199" s="122"/>
    </row>
    <row r="200" ht="21.75" customHeight="1">
      <c r="A200" s="85">
        <f t="shared" si="2"/>
        <v>196</v>
      </c>
      <c r="B200" s="87"/>
      <c r="C200" s="269"/>
      <c r="D200" s="269"/>
      <c r="E200" s="270"/>
      <c r="F200" s="79"/>
      <c r="G200" s="279"/>
      <c r="H200" s="281"/>
      <c r="I200" s="277"/>
      <c r="J200" s="276"/>
      <c r="K200" s="272"/>
      <c r="L200" s="79"/>
      <c r="M200" s="79"/>
      <c r="N200" s="278"/>
      <c r="O200" s="274"/>
      <c r="P200" s="273"/>
      <c r="Q200" s="274">
        <f t="shared" si="1"/>
        <v>0</v>
      </c>
      <c r="R200" s="275"/>
      <c r="S200" s="62"/>
      <c r="T200" s="122"/>
    </row>
    <row r="201" ht="21.75" customHeight="1">
      <c r="A201" s="85">
        <f t="shared" si="2"/>
        <v>197</v>
      </c>
      <c r="B201" s="87"/>
      <c r="C201" s="269"/>
      <c r="D201" s="269"/>
      <c r="E201" s="270"/>
      <c r="F201" s="79"/>
      <c r="G201" s="279"/>
      <c r="H201" s="281"/>
      <c r="I201" s="277"/>
      <c r="J201" s="276"/>
      <c r="K201" s="272"/>
      <c r="L201" s="79"/>
      <c r="M201" s="79"/>
      <c r="N201" s="278"/>
      <c r="O201" s="274"/>
      <c r="P201" s="273"/>
      <c r="Q201" s="274">
        <f t="shared" si="1"/>
        <v>0</v>
      </c>
      <c r="R201" s="275"/>
      <c r="S201" s="62"/>
      <c r="T201" s="122"/>
    </row>
    <row r="202" ht="21.75" customHeight="1">
      <c r="A202" s="85">
        <f t="shared" si="2"/>
        <v>198</v>
      </c>
      <c r="B202" s="87"/>
      <c r="C202" s="269"/>
      <c r="D202" s="269"/>
      <c r="E202" s="270"/>
      <c r="F202" s="79"/>
      <c r="G202" s="279"/>
      <c r="H202" s="281"/>
      <c r="I202" s="277"/>
      <c r="J202" s="276"/>
      <c r="K202" s="272"/>
      <c r="L202" s="79"/>
      <c r="M202" s="79"/>
      <c r="N202" s="278"/>
      <c r="O202" s="274"/>
      <c r="P202" s="273"/>
      <c r="Q202" s="274">
        <f t="shared" si="1"/>
        <v>0</v>
      </c>
      <c r="R202" s="275"/>
      <c r="S202" s="62"/>
      <c r="T202" s="122"/>
    </row>
    <row r="203" ht="21.75" customHeight="1">
      <c r="A203" s="85">
        <f t="shared" si="2"/>
        <v>199</v>
      </c>
      <c r="B203" s="87"/>
      <c r="C203" s="269"/>
      <c r="D203" s="269"/>
      <c r="E203" s="270"/>
      <c r="F203" s="79"/>
      <c r="G203" s="279"/>
      <c r="H203" s="281"/>
      <c r="I203" s="277"/>
      <c r="J203" s="276"/>
      <c r="K203" s="272"/>
      <c r="L203" s="79"/>
      <c r="M203" s="79"/>
      <c r="N203" s="278"/>
      <c r="O203" s="274"/>
      <c r="P203" s="273"/>
      <c r="Q203" s="274">
        <f t="shared" si="1"/>
        <v>0</v>
      </c>
      <c r="R203" s="275"/>
      <c r="S203" s="62"/>
      <c r="T203" s="122"/>
    </row>
    <row r="204" ht="21.75" customHeight="1">
      <c r="A204" s="85">
        <f t="shared" si="2"/>
        <v>200</v>
      </c>
      <c r="B204" s="87"/>
      <c r="C204" s="269"/>
      <c r="D204" s="269"/>
      <c r="E204" s="270"/>
      <c r="F204" s="79"/>
      <c r="G204" s="79"/>
      <c r="H204" s="79"/>
      <c r="I204" s="271"/>
      <c r="J204" s="79"/>
      <c r="K204" s="271"/>
      <c r="L204" s="79"/>
      <c r="M204" s="79"/>
      <c r="N204" s="82"/>
      <c r="O204" s="273"/>
      <c r="P204" s="273"/>
      <c r="Q204" s="274">
        <f t="shared" si="1"/>
        <v>0</v>
      </c>
      <c r="R204" s="275"/>
      <c r="S204" s="62"/>
      <c r="T204" s="122"/>
    </row>
    <row r="205" ht="21.75" customHeight="1">
      <c r="A205" s="95"/>
      <c r="B205" s="207"/>
      <c r="C205" s="95"/>
      <c r="D205" s="95"/>
      <c r="E205" s="95"/>
      <c r="F205" s="95"/>
      <c r="G205" s="96" t="s">
        <v>178</v>
      </c>
      <c r="H205" s="97">
        <f t="shared" ref="H205:I205" si="3">COUNTIF(H4:H204,"X")</f>
        <v>11</v>
      </c>
      <c r="I205" s="97">
        <f t="shared" si="3"/>
        <v>1</v>
      </c>
      <c r="J205" s="98">
        <f>SUM(J4:J204)</f>
        <v>1320</v>
      </c>
      <c r="K205" s="50"/>
      <c r="L205" s="50"/>
      <c r="M205" s="134"/>
      <c r="N205" s="98">
        <f t="shared" ref="N205:O205" si="4">SUM(N4:N204)</f>
        <v>1320</v>
      </c>
      <c r="O205" s="98">
        <f t="shared" si="4"/>
        <v>0</v>
      </c>
      <c r="P205" s="95"/>
      <c r="Q205" s="134"/>
      <c r="R205" s="134"/>
      <c r="S205" s="63"/>
      <c r="T205" s="1"/>
    </row>
    <row r="206" ht="19.5" customHeight="1">
      <c r="A206" s="2"/>
      <c r="B206" s="24"/>
      <c r="C206" s="2"/>
      <c r="D206" s="2"/>
      <c r="E206" s="2"/>
      <c r="F206" s="2"/>
      <c r="G206" s="100" t="s">
        <v>179</v>
      </c>
      <c r="H206" s="101">
        <v>50.0</v>
      </c>
      <c r="I206" s="101">
        <v>50.0</v>
      </c>
      <c r="J206" s="283">
        <f>SUM(J205)</f>
        <v>1320</v>
      </c>
      <c r="K206" s="95"/>
      <c r="L206" s="2"/>
      <c r="M206" s="1"/>
      <c r="N206" s="102">
        <f>SUM(N205:O205)</f>
        <v>1320</v>
      </c>
      <c r="O206" s="103"/>
      <c r="P206" s="2"/>
      <c r="Q206" s="1"/>
      <c r="R206" s="1"/>
      <c r="S206" s="63"/>
      <c r="T206" s="1"/>
    </row>
    <row r="207" ht="19.5" customHeight="1">
      <c r="A207" s="2"/>
      <c r="B207" s="24"/>
      <c r="C207" s="2"/>
      <c r="D207" s="169"/>
      <c r="E207" s="1"/>
      <c r="F207" s="1"/>
      <c r="G207" s="106" t="s">
        <v>180</v>
      </c>
      <c r="H207" s="107">
        <f t="shared" ref="H207:I207" si="5">H206-H205</f>
        <v>39</v>
      </c>
      <c r="I207" s="107">
        <f t="shared" si="5"/>
        <v>49</v>
      </c>
      <c r="J207" s="284" t="s">
        <v>181</v>
      </c>
      <c r="K207" s="2"/>
      <c r="L207" s="2"/>
      <c r="M207" s="1"/>
      <c r="N207" s="108" t="s">
        <v>182</v>
      </c>
      <c r="O207" s="109"/>
      <c r="P207" s="104"/>
      <c r="Q207" s="1"/>
      <c r="R207" s="1"/>
      <c r="S207" s="63"/>
      <c r="T207" s="1"/>
    </row>
    <row r="208" ht="19.5" customHeight="1">
      <c r="A208" s="2"/>
      <c r="B208" s="24"/>
      <c r="C208" s="2"/>
      <c r="D208" s="169"/>
      <c r="E208" s="1"/>
      <c r="F208" s="1"/>
      <c r="G208" s="2"/>
      <c r="H208" s="110">
        <v>150.0</v>
      </c>
      <c r="I208" s="110">
        <v>150.0</v>
      </c>
      <c r="J208" s="2"/>
      <c r="K208" s="2"/>
      <c r="L208" s="2"/>
      <c r="M208" s="1"/>
      <c r="N208" s="104"/>
      <c r="O208" s="104"/>
      <c r="P208" s="104"/>
      <c r="Q208" s="1"/>
      <c r="R208" s="1"/>
      <c r="S208" s="63"/>
      <c r="T208" s="122" t="s">
        <v>68</v>
      </c>
    </row>
    <row r="209" ht="19.5" customHeight="1">
      <c r="A209" s="2"/>
      <c r="B209" s="24"/>
      <c r="C209" s="2"/>
      <c r="D209" s="169"/>
      <c r="E209" s="1"/>
      <c r="F209" s="1"/>
      <c r="G209" s="2"/>
      <c r="H209" s="111">
        <f t="shared" ref="H209:I209" si="6">H207*H208</f>
        <v>5850</v>
      </c>
      <c r="I209" s="111">
        <f t="shared" si="6"/>
        <v>7350</v>
      </c>
      <c r="J209" s="2"/>
      <c r="K209" s="2"/>
      <c r="L209" s="2"/>
      <c r="M209" s="1"/>
      <c r="N209" s="104"/>
      <c r="O209" s="104"/>
      <c r="P209" s="104"/>
      <c r="Q209" s="1"/>
      <c r="R209" s="1"/>
      <c r="S209" s="63"/>
      <c r="T209" s="1"/>
    </row>
    <row r="210" ht="19.5" customHeight="1">
      <c r="A210" s="2"/>
      <c r="B210" s="24"/>
      <c r="C210" s="2"/>
      <c r="D210" s="169"/>
      <c r="E210" s="1"/>
      <c r="F210" s="1"/>
      <c r="G210" s="2"/>
      <c r="H210" s="112">
        <f>H209+I209</f>
        <v>13200</v>
      </c>
      <c r="I210" s="109"/>
      <c r="J210" s="2"/>
      <c r="K210" s="2"/>
      <c r="L210" s="2"/>
      <c r="M210" s="1"/>
      <c r="N210" s="104"/>
      <c r="O210" s="104"/>
      <c r="P210" s="104"/>
      <c r="Q210" s="1"/>
      <c r="R210" s="1"/>
      <c r="S210" s="63"/>
      <c r="T210" s="1"/>
    </row>
    <row r="211" ht="19.5" customHeight="1">
      <c r="A211" s="2"/>
      <c r="B211" s="24"/>
      <c r="C211" s="2"/>
      <c r="D211" s="169"/>
      <c r="E211" s="1"/>
      <c r="F211" s="1"/>
      <c r="G211" s="2"/>
      <c r="H211" s="2"/>
      <c r="I211" s="2"/>
      <c r="J211" s="2"/>
      <c r="K211" s="2"/>
      <c r="L211" s="2"/>
      <c r="M211" s="1"/>
      <c r="N211" s="1"/>
      <c r="O211" s="1"/>
      <c r="P211" s="1"/>
      <c r="Q211" s="1"/>
      <c r="R211" s="1"/>
      <c r="S211" s="63"/>
      <c r="T211" s="1"/>
    </row>
    <row r="212" ht="19.5" customHeight="1">
      <c r="A212" s="2"/>
      <c r="B212" s="24"/>
      <c r="C212" s="2"/>
      <c r="D212" s="169"/>
      <c r="E212" s="1"/>
      <c r="F212" s="1"/>
      <c r="G212" s="2"/>
      <c r="H212" s="2"/>
      <c r="I212" s="2"/>
      <c r="J212" s="2"/>
      <c r="K212" s="2"/>
      <c r="L212" s="2"/>
      <c r="M212" s="1"/>
      <c r="N212" s="1"/>
      <c r="O212" s="1"/>
      <c r="P212" s="1"/>
      <c r="Q212" s="1"/>
      <c r="R212" s="1"/>
      <c r="S212" s="63"/>
      <c r="T212" s="1"/>
    </row>
    <row r="213" ht="19.5" customHeight="1">
      <c r="A213" s="2"/>
      <c r="B213" s="24"/>
      <c r="C213" s="2"/>
      <c r="D213" s="169"/>
      <c r="E213" s="1"/>
      <c r="F213" s="1"/>
      <c r="G213" s="2"/>
      <c r="H213" s="2"/>
      <c r="I213" s="2"/>
      <c r="J213" s="2"/>
      <c r="K213" s="2"/>
      <c r="L213" s="2"/>
      <c r="M213" s="1"/>
      <c r="N213" s="1"/>
      <c r="O213" s="1"/>
      <c r="P213" s="1"/>
      <c r="Q213" s="1"/>
      <c r="R213" s="1"/>
      <c r="S213" s="63"/>
      <c r="T213" s="1"/>
    </row>
    <row r="214" ht="19.5" customHeight="1">
      <c r="A214" s="2"/>
      <c r="B214" s="24"/>
      <c r="C214" s="2"/>
      <c r="D214" s="169"/>
      <c r="E214" s="1"/>
      <c r="F214" s="1"/>
      <c r="G214" s="2"/>
      <c r="H214" s="2"/>
      <c r="I214" s="2"/>
      <c r="J214" s="2"/>
      <c r="K214" s="2"/>
      <c r="L214" s="2"/>
      <c r="M214" s="1"/>
      <c r="N214" s="1"/>
      <c r="O214" s="1"/>
      <c r="P214" s="1"/>
      <c r="Q214" s="1"/>
      <c r="R214" s="1"/>
      <c r="S214" s="63"/>
      <c r="T214" s="1"/>
    </row>
  </sheetData>
  <autoFilter ref="$A$4:$T$210"/>
  <customSheetViews>
    <customSheetView guid="{A9B8627E-26B2-4201-803A-467C3700F329}" filter="1" showAutoFilter="1">
      <autoFilter ref="$A$2:$T$214"/>
    </customSheetView>
    <customSheetView guid="{E5EE51B3-DE45-4D2E-9071-A5BED79D171F}" filter="1" showAutoFilter="1">
      <autoFilter ref="$A$2:$T$214"/>
    </customSheetView>
    <customSheetView guid="{BA335440-5B37-4C05-BCDC-9CD4D4923240}" filter="1" showAutoFilter="1">
      <autoFilter ref="$A$1:$T$214"/>
    </customSheetView>
    <customSheetView guid="{BD076BCF-39B8-44C5-BF95-7B82C910DEB0}" filter="1" showAutoFilter="1">
      <autoFilter ref="$A$4:$T$210"/>
    </customSheetView>
  </customSheetViews>
  <mergeCells count="6">
    <mergeCell ref="A2:M2"/>
    <mergeCell ref="A3:F3"/>
    <mergeCell ref="G3:J3"/>
    <mergeCell ref="N206:O206"/>
    <mergeCell ref="N207:O207"/>
    <mergeCell ref="H210:I210"/>
  </mergeCells>
  <conditionalFormatting sqref="M5:M204 R5:R204">
    <cfRule type="containsText" dxfId="3" priority="1" operator="containsText" text="fh">
      <formula>NOT(ISERROR(SEARCH(("fh"),(M5))))</formula>
    </cfRule>
  </conditionalFormatting>
  <conditionalFormatting sqref="K1:L1 L4:L204 M4 K5:K204 O8:O14 O16:O18 N18 K206:L209 K211:L214">
    <cfRule type="containsText" dxfId="0" priority="2" operator="containsText" text="COBR">
      <formula>NOT(ISERROR(SEARCH(("COBR"),(K1))))</formula>
    </cfRule>
  </conditionalFormatting>
  <conditionalFormatting sqref="K1:L1 L4:L204 M4 K5:K204 O8:O14 O16:O18 N18 K206:L209 K211:L214">
    <cfRule type="containsText" dxfId="1" priority="3" operator="containsText" text="INTE">
      <formula>NOT(ISERROR(SEARCH(("INTE"),(K1))))</formula>
    </cfRule>
  </conditionalFormatting>
  <conditionalFormatting sqref="K1:L1 L4:L204 M4 K5:K204 J206 K206:L209 N206 K211:L214">
    <cfRule type="containsText" dxfId="2" priority="4" operator="containsText" text="DESC">
      <formula>NOT(ISERROR(SEARCH(("DESC"),(K1))))</formula>
    </cfRule>
  </conditionalFormatting>
  <dataValidations>
    <dataValidation type="list" allowBlank="1" showErrorMessage="1" sqref="M5:M204">
      <formula1>CUENTAS</formula1>
    </dataValidation>
    <dataValidation type="list" allowBlank="1" showErrorMessage="1" sqref="P5:P204">
      <formula1>VENDEDOR</formula1>
    </dataValidation>
    <dataValidation type="list" allowBlank="1" showErrorMessage="1" sqref="K5:L204">
      <formula1>SITUACION</formula1>
    </dataValidation>
  </dataValidations>
  <printOptions gridLines="1" horizontalCentered="1"/>
  <pageMargins bottom="0.6" footer="0.0" header="0.0" left="0.18446313842671508" right="0.1947110905615326" top="0.2152069948311676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13.13"/>
    <col customWidth="1" min="4" max="4" width="30.38"/>
    <col customWidth="1" min="5" max="6" width="19.5"/>
    <col customWidth="1" min="7" max="7" width="18.63"/>
    <col customWidth="1" min="8" max="8" width="11.75"/>
    <col customWidth="1" min="9" max="11" width="12.63"/>
    <col customWidth="1" min="12" max="12" width="14.38"/>
    <col customWidth="1" min="13" max="13" width="14.75"/>
    <col customWidth="1" min="14" max="15" width="12.63"/>
    <col customWidth="1" min="16" max="19" width="21.63"/>
    <col customWidth="1" min="20" max="20" width="2.25"/>
  </cols>
  <sheetData>
    <row r="1" ht="19.5" customHeight="1">
      <c r="A1" s="186"/>
      <c r="B1" s="209"/>
      <c r="C1" s="58"/>
      <c r="D1" s="139"/>
      <c r="E1" s="139"/>
      <c r="F1" s="139"/>
      <c r="G1" s="58"/>
      <c r="H1" s="58"/>
      <c r="I1" s="58"/>
      <c r="J1" s="58"/>
      <c r="K1" s="58"/>
      <c r="L1" s="58"/>
      <c r="M1" s="139"/>
      <c r="N1" s="169"/>
      <c r="O1" s="169"/>
      <c r="P1" s="217"/>
      <c r="Q1" s="217"/>
      <c r="R1" s="169"/>
      <c r="S1" s="169"/>
      <c r="T1" s="169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211"/>
      <c r="O2" s="212"/>
      <c r="P2" s="217"/>
      <c r="Q2" s="217"/>
      <c r="R2" s="212"/>
      <c r="S2" s="212"/>
      <c r="T2" s="169"/>
    </row>
    <row r="3" ht="30.75" customHeight="1">
      <c r="A3" s="117" t="s">
        <v>891</v>
      </c>
      <c r="B3" s="60"/>
      <c r="C3" s="60"/>
      <c r="D3" s="60"/>
      <c r="E3" s="60"/>
      <c r="F3" s="60"/>
      <c r="G3" s="67" t="s">
        <v>892</v>
      </c>
      <c r="H3" s="60"/>
      <c r="I3" s="60"/>
      <c r="J3" s="214"/>
      <c r="K3" s="214"/>
      <c r="L3" s="214"/>
      <c r="M3" s="215"/>
      <c r="N3" s="216"/>
      <c r="O3" s="217"/>
      <c r="P3" s="217"/>
      <c r="Q3" s="217"/>
      <c r="R3" s="217"/>
      <c r="S3" s="212"/>
      <c r="T3" s="169"/>
    </row>
    <row r="4" ht="27.0" customHeight="1">
      <c r="A4" s="73" t="s">
        <v>0</v>
      </c>
      <c r="B4" s="219" t="s">
        <v>7</v>
      </c>
      <c r="C4" s="73" t="s">
        <v>8</v>
      </c>
      <c r="D4" s="73" t="s">
        <v>9</v>
      </c>
      <c r="E4" s="73" t="s">
        <v>10</v>
      </c>
      <c r="F4" s="73" t="s">
        <v>11</v>
      </c>
      <c r="G4" s="73" t="s">
        <v>12</v>
      </c>
      <c r="H4" s="220">
        <v>45667.0</v>
      </c>
      <c r="I4" s="220">
        <v>46040.0</v>
      </c>
      <c r="J4" s="221" t="s">
        <v>15</v>
      </c>
      <c r="K4" s="221" t="s">
        <v>16</v>
      </c>
      <c r="L4" s="221" t="s">
        <v>17</v>
      </c>
      <c r="M4" s="221" t="s">
        <v>18</v>
      </c>
      <c r="N4" s="222" t="s">
        <v>19</v>
      </c>
      <c r="O4" s="222" t="s">
        <v>20</v>
      </c>
      <c r="P4" s="222" t="s">
        <v>21</v>
      </c>
      <c r="Q4" s="222" t="s">
        <v>22</v>
      </c>
      <c r="R4" s="73" t="s">
        <v>74</v>
      </c>
      <c r="S4" s="211"/>
      <c r="T4" s="105"/>
    </row>
    <row r="5" ht="21.75" customHeight="1">
      <c r="A5" s="224">
        <v>1.0</v>
      </c>
      <c r="B5" s="78">
        <v>46013.0</v>
      </c>
      <c r="C5" s="79">
        <v>4.4402809E7</v>
      </c>
      <c r="D5" s="80" t="s">
        <v>893</v>
      </c>
      <c r="E5" s="226" t="s">
        <v>894</v>
      </c>
      <c r="F5" s="79" t="s">
        <v>296</v>
      </c>
      <c r="G5" s="79">
        <v>9.59379754E8</v>
      </c>
      <c r="H5" s="242" t="s">
        <v>104</v>
      </c>
      <c r="I5" s="79"/>
      <c r="J5" s="79">
        <v>185.0</v>
      </c>
      <c r="K5" s="79"/>
      <c r="L5" s="79" t="s">
        <v>80</v>
      </c>
      <c r="M5" s="79" t="s">
        <v>81</v>
      </c>
      <c r="N5" s="82">
        <v>185.0</v>
      </c>
      <c r="O5" s="227"/>
      <c r="P5" s="82" t="s">
        <v>50</v>
      </c>
      <c r="Q5" s="278">
        <f t="shared" ref="Q5:Q31" si="1">N5+O5</f>
        <v>185</v>
      </c>
      <c r="R5" s="84"/>
      <c r="S5" s="211"/>
      <c r="T5" s="169"/>
    </row>
    <row r="6" ht="21.75" customHeight="1">
      <c r="A6" s="228">
        <f t="shared" ref="A6:A31" si="2">A5+1</f>
        <v>2</v>
      </c>
      <c r="B6" s="86">
        <v>46015.0</v>
      </c>
      <c r="C6" s="151">
        <v>4.332871E7</v>
      </c>
      <c r="D6" s="151" t="s">
        <v>895</v>
      </c>
      <c r="E6" s="168" t="s">
        <v>896</v>
      </c>
      <c r="F6" s="154" t="s">
        <v>218</v>
      </c>
      <c r="G6" s="154" t="s">
        <v>897</v>
      </c>
      <c r="H6" s="242" t="s">
        <v>104</v>
      </c>
      <c r="I6" s="243"/>
      <c r="J6" s="242">
        <v>100.0</v>
      </c>
      <c r="K6" s="242">
        <v>90.0</v>
      </c>
      <c r="L6" s="154" t="s">
        <v>93</v>
      </c>
      <c r="M6" s="154" t="s">
        <v>81</v>
      </c>
      <c r="N6" s="244">
        <v>100.0</v>
      </c>
      <c r="O6" s="244">
        <v>90.0</v>
      </c>
      <c r="P6" s="245" t="s">
        <v>45</v>
      </c>
      <c r="Q6" s="278">
        <f t="shared" si="1"/>
        <v>190</v>
      </c>
      <c r="R6" s="229"/>
      <c r="S6" s="211"/>
      <c r="T6" s="230"/>
    </row>
    <row r="7" ht="21.75" customHeight="1">
      <c r="A7" s="228">
        <f t="shared" si="2"/>
        <v>3</v>
      </c>
      <c r="B7" s="88">
        <v>46016.0</v>
      </c>
      <c r="C7" s="151"/>
      <c r="D7" s="151" t="s">
        <v>898</v>
      </c>
      <c r="E7" s="168" t="s">
        <v>899</v>
      </c>
      <c r="F7" s="154"/>
      <c r="G7" s="154"/>
      <c r="H7" s="242" t="s">
        <v>104</v>
      </c>
      <c r="I7" s="243"/>
      <c r="J7" s="242">
        <v>80.0</v>
      </c>
      <c r="K7" s="242">
        <v>85.0</v>
      </c>
      <c r="L7" s="154" t="s">
        <v>80</v>
      </c>
      <c r="M7" s="154" t="s">
        <v>81</v>
      </c>
      <c r="N7" s="244">
        <v>80.0</v>
      </c>
      <c r="O7" s="244">
        <v>85.0</v>
      </c>
      <c r="P7" s="245" t="s">
        <v>47</v>
      </c>
      <c r="Q7" s="278">
        <f t="shared" si="1"/>
        <v>165</v>
      </c>
      <c r="R7" s="229" t="s">
        <v>900</v>
      </c>
      <c r="S7" s="211"/>
      <c r="T7" s="230"/>
    </row>
    <row r="8" ht="21.75" customHeight="1">
      <c r="A8" s="228">
        <f t="shared" si="2"/>
        <v>4</v>
      </c>
      <c r="B8" s="88">
        <v>46016.0</v>
      </c>
      <c r="C8" s="151"/>
      <c r="D8" s="151" t="s">
        <v>901</v>
      </c>
      <c r="E8" s="168" t="s">
        <v>899</v>
      </c>
      <c r="F8" s="154"/>
      <c r="G8" s="154"/>
      <c r="H8" s="242" t="s">
        <v>104</v>
      </c>
      <c r="I8" s="243"/>
      <c r="J8" s="242">
        <v>80.0</v>
      </c>
      <c r="K8" s="242">
        <v>85.0</v>
      </c>
      <c r="L8" s="154" t="s">
        <v>80</v>
      </c>
      <c r="M8" s="154" t="s">
        <v>81</v>
      </c>
      <c r="N8" s="244">
        <v>80.0</v>
      </c>
      <c r="O8" s="244">
        <v>85.0</v>
      </c>
      <c r="P8" s="245" t="s">
        <v>47</v>
      </c>
      <c r="Q8" s="278">
        <f t="shared" si="1"/>
        <v>165</v>
      </c>
      <c r="R8" s="229" t="s">
        <v>900</v>
      </c>
      <c r="S8" s="211"/>
      <c r="T8" s="230"/>
    </row>
    <row r="9" ht="21.75" customHeight="1">
      <c r="A9" s="228">
        <f t="shared" si="2"/>
        <v>5</v>
      </c>
      <c r="B9" s="78">
        <v>46024.0</v>
      </c>
      <c r="C9" s="151">
        <v>4.0030613E7</v>
      </c>
      <c r="D9" s="151" t="s">
        <v>902</v>
      </c>
      <c r="E9" s="168" t="s">
        <v>903</v>
      </c>
      <c r="F9" s="154" t="s">
        <v>158</v>
      </c>
      <c r="G9" s="154" t="s">
        <v>904</v>
      </c>
      <c r="H9" s="242" t="s">
        <v>104</v>
      </c>
      <c r="I9" s="243"/>
      <c r="J9" s="242">
        <v>190.0</v>
      </c>
      <c r="K9" s="242"/>
      <c r="L9" s="154" t="s">
        <v>80</v>
      </c>
      <c r="M9" s="154" t="s">
        <v>98</v>
      </c>
      <c r="N9" s="244">
        <v>190.0</v>
      </c>
      <c r="O9" s="244"/>
      <c r="P9" s="245" t="s">
        <v>50</v>
      </c>
      <c r="Q9" s="278">
        <f t="shared" si="1"/>
        <v>190</v>
      </c>
      <c r="R9" s="229"/>
      <c r="S9" s="211"/>
      <c r="T9" s="230"/>
    </row>
    <row r="10" ht="21.75" customHeight="1">
      <c r="A10" s="228">
        <f t="shared" si="2"/>
        <v>6</v>
      </c>
      <c r="B10" s="86">
        <v>46022.0</v>
      </c>
      <c r="C10" s="151">
        <v>9257561.0</v>
      </c>
      <c r="D10" s="151" t="s">
        <v>905</v>
      </c>
      <c r="E10" s="168" t="s">
        <v>359</v>
      </c>
      <c r="F10" s="154" t="s">
        <v>582</v>
      </c>
      <c r="G10" s="154" t="s">
        <v>906</v>
      </c>
      <c r="H10" s="242" t="s">
        <v>104</v>
      </c>
      <c r="I10" s="243"/>
      <c r="J10" s="242">
        <v>185.0</v>
      </c>
      <c r="K10" s="242"/>
      <c r="L10" s="154" t="s">
        <v>80</v>
      </c>
      <c r="M10" s="154" t="s">
        <v>98</v>
      </c>
      <c r="N10" s="244">
        <v>185.0</v>
      </c>
      <c r="O10" s="244"/>
      <c r="P10" s="245" t="s">
        <v>45</v>
      </c>
      <c r="Q10" s="278">
        <f t="shared" si="1"/>
        <v>185</v>
      </c>
      <c r="R10" s="229"/>
      <c r="S10" s="211"/>
      <c r="T10" s="230"/>
    </row>
    <row r="11" ht="21.75" customHeight="1">
      <c r="A11" s="228">
        <f t="shared" si="2"/>
        <v>7</v>
      </c>
      <c r="B11" s="175">
        <v>46027.0</v>
      </c>
      <c r="C11" s="130">
        <v>4.2048172E7</v>
      </c>
      <c r="D11" s="190" t="s">
        <v>162</v>
      </c>
      <c r="E11" s="130" t="s">
        <v>163</v>
      </c>
      <c r="F11" s="190" t="s">
        <v>907</v>
      </c>
      <c r="G11" s="154"/>
      <c r="H11" s="242" t="s">
        <v>104</v>
      </c>
      <c r="I11" s="242"/>
      <c r="J11" s="242">
        <v>190.0</v>
      </c>
      <c r="K11" s="242"/>
      <c r="L11" s="154" t="s">
        <v>80</v>
      </c>
      <c r="M11" s="154" t="s">
        <v>81</v>
      </c>
      <c r="N11" s="244">
        <v>190.0</v>
      </c>
      <c r="O11" s="244"/>
      <c r="P11" s="245" t="s">
        <v>44</v>
      </c>
      <c r="Q11" s="278">
        <f t="shared" si="1"/>
        <v>190</v>
      </c>
      <c r="R11" s="229"/>
      <c r="S11" s="211"/>
      <c r="T11" s="230"/>
    </row>
    <row r="12" ht="21.75" customHeight="1">
      <c r="A12" s="228">
        <f t="shared" si="2"/>
        <v>8</v>
      </c>
      <c r="B12" s="88">
        <v>46027.0</v>
      </c>
      <c r="C12" s="151"/>
      <c r="D12" s="151" t="s">
        <v>908</v>
      </c>
      <c r="E12" s="168"/>
      <c r="F12" s="154"/>
      <c r="G12" s="154"/>
      <c r="H12" s="242" t="s">
        <v>104</v>
      </c>
      <c r="I12" s="243"/>
      <c r="J12" s="242">
        <v>50.0</v>
      </c>
      <c r="K12" s="242">
        <v>130.0</v>
      </c>
      <c r="L12" s="154" t="s">
        <v>93</v>
      </c>
      <c r="M12" s="154" t="s">
        <v>81</v>
      </c>
      <c r="N12" s="244">
        <v>50.0</v>
      </c>
      <c r="O12" s="244">
        <v>130.0</v>
      </c>
      <c r="P12" s="245" t="s">
        <v>47</v>
      </c>
      <c r="Q12" s="278">
        <f t="shared" si="1"/>
        <v>180</v>
      </c>
      <c r="R12" s="229"/>
      <c r="S12" s="211"/>
      <c r="T12" s="230"/>
    </row>
    <row r="13" ht="21.75" customHeight="1">
      <c r="A13" s="228">
        <f t="shared" si="2"/>
        <v>9</v>
      </c>
      <c r="B13" s="88">
        <v>46028.0</v>
      </c>
      <c r="C13" s="151"/>
      <c r="D13" s="151" t="s">
        <v>909</v>
      </c>
      <c r="E13" s="168"/>
      <c r="F13" s="154"/>
      <c r="G13" s="154"/>
      <c r="H13" s="242" t="s">
        <v>104</v>
      </c>
      <c r="I13" s="243"/>
      <c r="J13" s="242">
        <v>160.0</v>
      </c>
      <c r="K13" s="242"/>
      <c r="L13" s="154" t="s">
        <v>80</v>
      </c>
      <c r="M13" s="154" t="s">
        <v>81</v>
      </c>
      <c r="N13" s="244">
        <v>160.0</v>
      </c>
      <c r="O13" s="244"/>
      <c r="P13" s="245" t="s">
        <v>47</v>
      </c>
      <c r="Q13" s="278">
        <f t="shared" si="1"/>
        <v>160</v>
      </c>
      <c r="R13" s="229"/>
      <c r="S13" s="211"/>
      <c r="T13" s="230"/>
    </row>
    <row r="14" ht="21.75" customHeight="1">
      <c r="A14" s="228">
        <f t="shared" si="2"/>
        <v>10</v>
      </c>
      <c r="N14" s="244"/>
      <c r="O14" s="244"/>
      <c r="P14" s="245"/>
      <c r="Q14" s="278">
        <f t="shared" si="1"/>
        <v>0</v>
      </c>
      <c r="R14" s="229"/>
      <c r="S14" s="211"/>
      <c r="T14" s="230"/>
    </row>
    <row r="15" ht="21.75" customHeight="1">
      <c r="A15" s="228">
        <f t="shared" si="2"/>
        <v>11</v>
      </c>
      <c r="B15" s="78">
        <v>46029.0</v>
      </c>
      <c r="C15" s="151">
        <v>4.6819641E7</v>
      </c>
      <c r="D15" s="151" t="s">
        <v>910</v>
      </c>
      <c r="E15" s="168" t="s">
        <v>911</v>
      </c>
      <c r="F15" s="154" t="s">
        <v>455</v>
      </c>
      <c r="G15" s="154" t="s">
        <v>912</v>
      </c>
      <c r="H15" s="242" t="s">
        <v>79</v>
      </c>
      <c r="I15" s="243"/>
      <c r="J15" s="242">
        <v>190.0</v>
      </c>
      <c r="K15" s="242"/>
      <c r="L15" s="154" t="s">
        <v>80</v>
      </c>
      <c r="M15" s="154" t="s">
        <v>81</v>
      </c>
      <c r="N15" s="244">
        <v>190.0</v>
      </c>
      <c r="O15" s="244"/>
      <c r="P15" s="245" t="s">
        <v>50</v>
      </c>
      <c r="Q15" s="278">
        <f t="shared" si="1"/>
        <v>190</v>
      </c>
      <c r="R15" s="229"/>
      <c r="S15" s="211"/>
      <c r="T15" s="230"/>
    </row>
    <row r="16" ht="21.75" customHeight="1">
      <c r="A16" s="228">
        <f t="shared" si="2"/>
        <v>12</v>
      </c>
      <c r="B16" s="86">
        <v>46027.0</v>
      </c>
      <c r="C16" s="151">
        <v>4.6123466E7</v>
      </c>
      <c r="D16" s="152" t="s">
        <v>358</v>
      </c>
      <c r="E16" s="153" t="s">
        <v>359</v>
      </c>
      <c r="F16" s="154" t="s">
        <v>226</v>
      </c>
      <c r="G16" s="161" t="s">
        <v>360</v>
      </c>
      <c r="H16" s="242" t="s">
        <v>79</v>
      </c>
      <c r="I16" s="243"/>
      <c r="J16" s="242">
        <v>225.0</v>
      </c>
      <c r="K16" s="242">
        <v>225.0</v>
      </c>
      <c r="L16" s="154" t="s">
        <v>93</v>
      </c>
      <c r="M16" s="154" t="s">
        <v>81</v>
      </c>
      <c r="N16" s="244">
        <v>225.0</v>
      </c>
      <c r="O16" s="244">
        <v>225.0</v>
      </c>
      <c r="P16" s="245" t="s">
        <v>45</v>
      </c>
      <c r="Q16" s="278">
        <f t="shared" si="1"/>
        <v>450</v>
      </c>
      <c r="R16" s="229"/>
      <c r="S16" s="211"/>
      <c r="T16" s="230"/>
    </row>
    <row r="17" ht="21.75" customHeight="1">
      <c r="A17" s="228">
        <f t="shared" si="2"/>
        <v>13</v>
      </c>
      <c r="B17" s="86">
        <v>46026.0</v>
      </c>
      <c r="C17" s="154">
        <v>4.4836199E7</v>
      </c>
      <c r="D17" s="151" t="s">
        <v>913</v>
      </c>
      <c r="E17" s="168" t="s">
        <v>914</v>
      </c>
      <c r="F17" s="154" t="s">
        <v>694</v>
      </c>
      <c r="G17" s="161" t="s">
        <v>915</v>
      </c>
      <c r="H17" s="242" t="s">
        <v>79</v>
      </c>
      <c r="I17" s="243"/>
      <c r="J17" s="242">
        <v>50.0</v>
      </c>
      <c r="K17" s="242">
        <v>120.0</v>
      </c>
      <c r="L17" s="154" t="s">
        <v>93</v>
      </c>
      <c r="M17" s="154" t="s">
        <v>81</v>
      </c>
      <c r="N17" s="244">
        <v>50.0</v>
      </c>
      <c r="O17" s="244">
        <v>120.0</v>
      </c>
      <c r="P17" s="245" t="s">
        <v>45</v>
      </c>
      <c r="Q17" s="278">
        <f t="shared" si="1"/>
        <v>170</v>
      </c>
      <c r="R17" s="229"/>
      <c r="S17" s="211"/>
      <c r="T17" s="230"/>
    </row>
    <row r="18" ht="21.75" customHeight="1">
      <c r="A18" s="228">
        <f t="shared" si="2"/>
        <v>14</v>
      </c>
      <c r="B18" s="132">
        <v>46029.0</v>
      </c>
      <c r="C18" s="151">
        <v>7.6240906E7</v>
      </c>
      <c r="D18" s="151" t="s">
        <v>916</v>
      </c>
      <c r="E18" s="168" t="s">
        <v>917</v>
      </c>
      <c r="F18" s="154" t="s">
        <v>771</v>
      </c>
      <c r="G18" s="154" t="s">
        <v>918</v>
      </c>
      <c r="H18" s="242" t="s">
        <v>104</v>
      </c>
      <c r="I18" s="243"/>
      <c r="J18" s="242">
        <v>166.66</v>
      </c>
      <c r="K18" s="242"/>
      <c r="L18" s="154" t="s">
        <v>80</v>
      </c>
      <c r="M18" s="154" t="s">
        <v>81</v>
      </c>
      <c r="N18" s="244">
        <v>166.66</v>
      </c>
      <c r="O18" s="244"/>
      <c r="P18" s="245" t="s">
        <v>44</v>
      </c>
      <c r="Q18" s="278">
        <f t="shared" si="1"/>
        <v>166.66</v>
      </c>
      <c r="R18" s="229"/>
      <c r="S18" s="211"/>
      <c r="T18" s="230"/>
    </row>
    <row r="19" ht="21.75" customHeight="1">
      <c r="A19" s="228">
        <f t="shared" si="2"/>
        <v>15</v>
      </c>
      <c r="B19" s="132">
        <v>46029.0</v>
      </c>
      <c r="C19" s="151">
        <v>7.1461985E7</v>
      </c>
      <c r="D19" s="151" t="s">
        <v>919</v>
      </c>
      <c r="E19" s="168" t="s">
        <v>920</v>
      </c>
      <c r="F19" s="154" t="s">
        <v>771</v>
      </c>
      <c r="G19" s="154" t="s">
        <v>918</v>
      </c>
      <c r="H19" s="242" t="s">
        <v>104</v>
      </c>
      <c r="I19" s="243"/>
      <c r="J19" s="242">
        <v>166.66</v>
      </c>
      <c r="K19" s="242"/>
      <c r="L19" s="154" t="s">
        <v>80</v>
      </c>
      <c r="M19" s="154" t="s">
        <v>81</v>
      </c>
      <c r="N19" s="244">
        <v>166.66</v>
      </c>
      <c r="O19" s="244"/>
      <c r="P19" s="245" t="s">
        <v>44</v>
      </c>
      <c r="Q19" s="278">
        <f t="shared" si="1"/>
        <v>166.66</v>
      </c>
      <c r="R19" s="229"/>
      <c r="S19" s="211"/>
      <c r="T19" s="230"/>
    </row>
    <row r="20" ht="21.75" customHeight="1">
      <c r="A20" s="228">
        <f t="shared" si="2"/>
        <v>16</v>
      </c>
      <c r="B20" s="132">
        <v>46029.0</v>
      </c>
      <c r="C20" s="151">
        <v>1.018346E7</v>
      </c>
      <c r="D20" s="151" t="s">
        <v>921</v>
      </c>
      <c r="E20" s="168" t="s">
        <v>922</v>
      </c>
      <c r="F20" s="154" t="s">
        <v>771</v>
      </c>
      <c r="G20" s="154" t="s">
        <v>918</v>
      </c>
      <c r="H20" s="242" t="s">
        <v>104</v>
      </c>
      <c r="I20" s="243"/>
      <c r="J20" s="242">
        <v>166.66</v>
      </c>
      <c r="K20" s="242"/>
      <c r="L20" s="154" t="s">
        <v>80</v>
      </c>
      <c r="M20" s="154" t="s">
        <v>81</v>
      </c>
      <c r="N20" s="244">
        <v>166.6</v>
      </c>
      <c r="O20" s="244"/>
      <c r="P20" s="245" t="s">
        <v>44</v>
      </c>
      <c r="Q20" s="278">
        <f t="shared" si="1"/>
        <v>166.6</v>
      </c>
      <c r="R20" s="229"/>
      <c r="S20" s="211"/>
      <c r="T20" s="230"/>
    </row>
    <row r="21" ht="21.75" customHeight="1">
      <c r="A21" s="228">
        <f t="shared" si="2"/>
        <v>17</v>
      </c>
      <c r="B21" s="88">
        <v>46030.0</v>
      </c>
      <c r="C21" s="151"/>
      <c r="D21" s="151" t="s">
        <v>923</v>
      </c>
      <c r="E21" s="168"/>
      <c r="F21" s="154" t="s">
        <v>924</v>
      </c>
      <c r="G21" s="154"/>
      <c r="H21" s="242" t="s">
        <v>104</v>
      </c>
      <c r="I21" s="243"/>
      <c r="J21" s="242">
        <v>190.0</v>
      </c>
      <c r="K21" s="242"/>
      <c r="L21" s="154" t="s">
        <v>80</v>
      </c>
      <c r="M21" s="154" t="s">
        <v>81</v>
      </c>
      <c r="N21" s="244">
        <v>190.0</v>
      </c>
      <c r="O21" s="244"/>
      <c r="P21" s="245" t="s">
        <v>47</v>
      </c>
      <c r="Q21" s="278">
        <f t="shared" si="1"/>
        <v>190</v>
      </c>
      <c r="R21" s="229"/>
      <c r="S21" s="211"/>
      <c r="T21" s="230"/>
    </row>
    <row r="22" ht="21.75" customHeight="1">
      <c r="A22" s="228">
        <f t="shared" si="2"/>
        <v>18</v>
      </c>
      <c r="B22" s="132">
        <v>46030.0</v>
      </c>
      <c r="C22" s="151">
        <v>7524514.0</v>
      </c>
      <c r="D22" s="151" t="s">
        <v>925</v>
      </c>
      <c r="E22" s="168" t="s">
        <v>926</v>
      </c>
      <c r="F22" s="154" t="s">
        <v>927</v>
      </c>
      <c r="G22" s="154" t="s">
        <v>928</v>
      </c>
      <c r="H22" s="242" t="s">
        <v>104</v>
      </c>
      <c r="I22" s="243"/>
      <c r="J22" s="242">
        <v>95.0</v>
      </c>
      <c r="K22" s="242">
        <v>95.0</v>
      </c>
      <c r="L22" s="154" t="s">
        <v>93</v>
      </c>
      <c r="M22" s="154" t="s">
        <v>81</v>
      </c>
      <c r="N22" s="244">
        <v>95.0</v>
      </c>
      <c r="O22" s="244">
        <v>95.0</v>
      </c>
      <c r="P22" s="245" t="s">
        <v>44</v>
      </c>
      <c r="Q22" s="278">
        <f t="shared" si="1"/>
        <v>190</v>
      </c>
      <c r="R22" s="229"/>
      <c r="S22" s="211"/>
      <c r="T22" s="230"/>
    </row>
    <row r="23" ht="21.75" customHeight="1">
      <c r="A23" s="228">
        <f t="shared" si="2"/>
        <v>19</v>
      </c>
      <c r="B23" s="285">
        <v>46027.0</v>
      </c>
      <c r="C23" s="151"/>
      <c r="D23" s="151" t="s">
        <v>929</v>
      </c>
      <c r="E23" s="168"/>
      <c r="F23" s="154"/>
      <c r="G23" s="154"/>
      <c r="H23" s="242" t="s">
        <v>104</v>
      </c>
      <c r="I23" s="243"/>
      <c r="J23" s="242">
        <v>0.0</v>
      </c>
      <c r="K23" s="242"/>
      <c r="L23" s="154" t="s">
        <v>80</v>
      </c>
      <c r="M23" s="154" t="s">
        <v>81</v>
      </c>
      <c r="N23" s="244">
        <v>0.0</v>
      </c>
      <c r="O23" s="244"/>
      <c r="P23" s="245"/>
      <c r="Q23" s="278">
        <f t="shared" si="1"/>
        <v>0</v>
      </c>
      <c r="R23" s="229"/>
      <c r="S23" s="211"/>
      <c r="T23" s="230"/>
    </row>
    <row r="24" ht="21.75" customHeight="1">
      <c r="A24" s="228">
        <f t="shared" si="2"/>
        <v>20</v>
      </c>
      <c r="B24" s="285">
        <v>46027.0</v>
      </c>
      <c r="C24" s="151"/>
      <c r="D24" s="151" t="s">
        <v>930</v>
      </c>
      <c r="E24" s="168"/>
      <c r="F24" s="154"/>
      <c r="G24" s="154"/>
      <c r="H24" s="242" t="s">
        <v>104</v>
      </c>
      <c r="I24" s="243"/>
      <c r="J24" s="242">
        <v>0.0</v>
      </c>
      <c r="K24" s="242"/>
      <c r="L24" s="154" t="s">
        <v>80</v>
      </c>
      <c r="M24" s="154" t="s">
        <v>81</v>
      </c>
      <c r="N24" s="244">
        <v>0.0</v>
      </c>
      <c r="O24" s="244"/>
      <c r="P24" s="245"/>
      <c r="Q24" s="278">
        <f t="shared" si="1"/>
        <v>0</v>
      </c>
      <c r="R24" s="229"/>
      <c r="S24" s="211"/>
      <c r="T24" s="230"/>
    </row>
    <row r="25" ht="21.75" customHeight="1">
      <c r="A25" s="228">
        <f t="shared" si="2"/>
        <v>21</v>
      </c>
      <c r="B25" s="86">
        <v>46030.0</v>
      </c>
      <c r="C25" s="151">
        <v>4.2945424E7</v>
      </c>
      <c r="D25" s="152" t="s">
        <v>931</v>
      </c>
      <c r="E25" s="168" t="s">
        <v>932</v>
      </c>
      <c r="F25" s="154" t="s">
        <v>582</v>
      </c>
      <c r="G25" s="154"/>
      <c r="H25" s="242" t="s">
        <v>79</v>
      </c>
      <c r="I25" s="243"/>
      <c r="J25" s="242">
        <v>85.0</v>
      </c>
      <c r="K25" s="242">
        <v>85.0</v>
      </c>
      <c r="L25" s="154" t="s">
        <v>93</v>
      </c>
      <c r="M25" s="154" t="s">
        <v>81</v>
      </c>
      <c r="N25" s="244">
        <v>85.0</v>
      </c>
      <c r="O25" s="244">
        <v>85.0</v>
      </c>
      <c r="P25" s="245" t="s">
        <v>45</v>
      </c>
      <c r="Q25" s="278">
        <f t="shared" si="1"/>
        <v>170</v>
      </c>
      <c r="R25" s="229"/>
      <c r="S25" s="211"/>
      <c r="T25" s="230"/>
    </row>
    <row r="26" ht="21.75" customHeight="1">
      <c r="A26" s="228">
        <f t="shared" si="2"/>
        <v>22</v>
      </c>
      <c r="B26" s="88">
        <v>46031.0</v>
      </c>
      <c r="C26" s="151">
        <v>7.0919834E7</v>
      </c>
      <c r="D26" s="151" t="s">
        <v>485</v>
      </c>
      <c r="E26" s="168" t="s">
        <v>933</v>
      </c>
      <c r="F26" s="154"/>
      <c r="G26" s="154"/>
      <c r="H26" s="242" t="s">
        <v>104</v>
      </c>
      <c r="I26" s="243"/>
      <c r="J26" s="242">
        <v>190.0</v>
      </c>
      <c r="K26" s="242"/>
      <c r="L26" s="154" t="s">
        <v>80</v>
      </c>
      <c r="M26" s="154" t="s">
        <v>81</v>
      </c>
      <c r="N26" s="244">
        <v>190.0</v>
      </c>
      <c r="O26" s="244"/>
      <c r="P26" s="245" t="s">
        <v>47</v>
      </c>
      <c r="Q26" s="278">
        <f t="shared" si="1"/>
        <v>190</v>
      </c>
      <c r="R26" s="229"/>
      <c r="S26" s="211"/>
      <c r="T26" s="230"/>
    </row>
    <row r="27" ht="21.75" customHeight="1">
      <c r="A27" s="228">
        <f t="shared" si="2"/>
        <v>23</v>
      </c>
      <c r="B27" s="132">
        <v>46031.0</v>
      </c>
      <c r="C27" s="286" t="s">
        <v>934</v>
      </c>
      <c r="D27" s="149" t="s">
        <v>935</v>
      </c>
      <c r="E27" s="179" t="s">
        <v>936</v>
      </c>
      <c r="F27" s="286" t="s">
        <v>666</v>
      </c>
      <c r="G27" s="286" t="s">
        <v>937</v>
      </c>
      <c r="H27" s="242" t="s">
        <v>104</v>
      </c>
      <c r="I27" s="243"/>
      <c r="J27" s="242">
        <v>190.0</v>
      </c>
      <c r="K27" s="242"/>
      <c r="L27" s="154" t="s">
        <v>80</v>
      </c>
      <c r="M27" s="154"/>
      <c r="N27" s="244">
        <v>190.0</v>
      </c>
      <c r="O27" s="244"/>
      <c r="P27" s="245" t="s">
        <v>44</v>
      </c>
      <c r="Q27" s="278">
        <f t="shared" si="1"/>
        <v>190</v>
      </c>
      <c r="R27" s="229"/>
      <c r="S27" s="211"/>
      <c r="T27" s="230"/>
    </row>
    <row r="28" ht="21.75" customHeight="1">
      <c r="A28" s="228">
        <f t="shared" si="2"/>
        <v>24</v>
      </c>
      <c r="B28" s="287">
        <v>46031.0</v>
      </c>
      <c r="C28" s="151">
        <v>2.5661264E7</v>
      </c>
      <c r="D28" s="151" t="s">
        <v>938</v>
      </c>
      <c r="E28" s="168"/>
      <c r="F28" s="154" t="s">
        <v>141</v>
      </c>
      <c r="G28" s="154"/>
      <c r="H28" s="242" t="s">
        <v>79</v>
      </c>
      <c r="I28" s="243"/>
      <c r="J28" s="242">
        <v>190.0</v>
      </c>
      <c r="K28" s="242"/>
      <c r="L28" s="154" t="s">
        <v>80</v>
      </c>
      <c r="M28" s="154" t="s">
        <v>81</v>
      </c>
      <c r="N28" s="244">
        <v>190.0</v>
      </c>
      <c r="O28" s="244"/>
      <c r="P28" s="245" t="s">
        <v>50</v>
      </c>
      <c r="Q28" s="278">
        <f t="shared" si="1"/>
        <v>190</v>
      </c>
      <c r="R28" s="229"/>
      <c r="S28" s="211"/>
      <c r="T28" s="230"/>
    </row>
    <row r="29" ht="21.75" customHeight="1">
      <c r="A29" s="228">
        <f t="shared" si="2"/>
        <v>25</v>
      </c>
      <c r="B29" s="88">
        <v>46031.0</v>
      </c>
      <c r="C29" s="79"/>
      <c r="D29" s="80" t="s">
        <v>799</v>
      </c>
      <c r="E29" s="226"/>
      <c r="F29" s="79"/>
      <c r="G29" s="79"/>
      <c r="H29" s="81" t="s">
        <v>104</v>
      </c>
      <c r="I29" s="79"/>
      <c r="J29" s="79">
        <v>150.0</v>
      </c>
      <c r="K29" s="79"/>
      <c r="L29" s="79" t="s">
        <v>80</v>
      </c>
      <c r="M29" s="79" t="s">
        <v>800</v>
      </c>
      <c r="N29" s="244">
        <v>150.0</v>
      </c>
      <c r="O29" s="244"/>
      <c r="P29" s="245" t="s">
        <v>47</v>
      </c>
      <c r="Q29" s="278">
        <f t="shared" si="1"/>
        <v>150</v>
      </c>
      <c r="R29" s="229"/>
      <c r="S29" s="211"/>
      <c r="T29" s="230"/>
    </row>
    <row r="30" ht="21.75" customHeight="1">
      <c r="A30" s="228">
        <f t="shared" si="2"/>
        <v>26</v>
      </c>
      <c r="B30" s="87"/>
      <c r="C30" s="151"/>
      <c r="D30" s="151"/>
      <c r="E30" s="168"/>
      <c r="F30" s="154"/>
      <c r="G30" s="154"/>
      <c r="H30" s="242"/>
      <c r="I30" s="243"/>
      <c r="J30" s="242"/>
      <c r="K30" s="242"/>
      <c r="L30" s="154"/>
      <c r="M30" s="154"/>
      <c r="N30" s="244"/>
      <c r="O30" s="244"/>
      <c r="P30" s="245"/>
      <c r="Q30" s="278">
        <f t="shared" si="1"/>
        <v>0</v>
      </c>
      <c r="R30" s="229"/>
      <c r="S30" s="211"/>
      <c r="T30" s="230"/>
    </row>
    <row r="31" ht="21.75" customHeight="1">
      <c r="A31" s="228">
        <f t="shared" si="2"/>
        <v>27</v>
      </c>
      <c r="B31" s="87"/>
      <c r="C31" s="79"/>
      <c r="D31" s="80"/>
      <c r="E31" s="226"/>
      <c r="F31" s="79"/>
      <c r="G31" s="79"/>
      <c r="H31" s="81"/>
      <c r="I31" s="79"/>
      <c r="J31" s="79"/>
      <c r="K31" s="79"/>
      <c r="L31" s="79"/>
      <c r="M31" s="79"/>
      <c r="N31" s="82"/>
      <c r="O31" s="227"/>
      <c r="P31" s="82"/>
      <c r="Q31" s="278">
        <f t="shared" si="1"/>
        <v>0</v>
      </c>
      <c r="R31" s="84"/>
      <c r="S31" s="211"/>
      <c r="T31" s="230"/>
    </row>
    <row r="32" ht="21.75" customHeight="1">
      <c r="A32" s="233" t="s">
        <v>79</v>
      </c>
      <c r="B32" s="87"/>
      <c r="C32" s="151"/>
      <c r="D32" s="151"/>
      <c r="E32" s="168"/>
      <c r="F32" s="154"/>
      <c r="G32" s="154"/>
      <c r="H32" s="242"/>
      <c r="I32" s="243"/>
      <c r="J32" s="242"/>
      <c r="K32" s="242"/>
      <c r="L32" s="154"/>
      <c r="M32" s="154"/>
      <c r="N32" s="244"/>
      <c r="O32" s="244"/>
      <c r="P32" s="245"/>
      <c r="Q32" s="278"/>
      <c r="R32" s="229"/>
      <c r="S32" s="211"/>
      <c r="T32" s="230"/>
    </row>
    <row r="33" ht="21.75" customHeight="1">
      <c r="A33" s="233" t="s">
        <v>79</v>
      </c>
      <c r="B33" s="87"/>
      <c r="C33" s="151"/>
      <c r="D33" s="240"/>
      <c r="E33" s="168"/>
      <c r="F33" s="154"/>
      <c r="G33" s="154"/>
      <c r="H33" s="242"/>
      <c r="I33" s="243"/>
      <c r="J33" s="242"/>
      <c r="K33" s="242"/>
      <c r="L33" s="154"/>
      <c r="M33" s="154"/>
      <c r="N33" s="244"/>
      <c r="O33" s="244"/>
      <c r="P33" s="245"/>
      <c r="Q33" s="278"/>
      <c r="R33" s="229"/>
      <c r="S33" s="211"/>
      <c r="T33" s="230"/>
    </row>
    <row r="34" ht="21.75" customHeight="1">
      <c r="A34" s="233" t="s">
        <v>79</v>
      </c>
      <c r="B34" s="87"/>
      <c r="C34" s="151"/>
      <c r="D34" s="240"/>
      <c r="E34" s="168"/>
      <c r="F34" s="154"/>
      <c r="G34" s="154"/>
      <c r="H34" s="242"/>
      <c r="I34" s="243"/>
      <c r="J34" s="242"/>
      <c r="K34" s="242"/>
      <c r="L34" s="154"/>
      <c r="M34" s="154"/>
      <c r="N34" s="244"/>
      <c r="O34" s="244"/>
      <c r="P34" s="245"/>
      <c r="Q34" s="278"/>
      <c r="R34" s="229"/>
      <c r="S34" s="211"/>
      <c r="T34" s="230"/>
    </row>
    <row r="35" ht="21.75" customHeight="1">
      <c r="A35" s="233" t="s">
        <v>79</v>
      </c>
      <c r="B35" s="87"/>
      <c r="C35" s="151"/>
      <c r="D35" s="151"/>
      <c r="E35" s="168"/>
      <c r="F35" s="154"/>
      <c r="G35" s="154"/>
      <c r="H35" s="242"/>
      <c r="I35" s="243"/>
      <c r="J35" s="242"/>
      <c r="K35" s="242"/>
      <c r="L35" s="154"/>
      <c r="M35" s="154"/>
      <c r="N35" s="244"/>
      <c r="O35" s="244"/>
      <c r="P35" s="245"/>
      <c r="Q35" s="278"/>
      <c r="R35" s="229"/>
      <c r="S35" s="211"/>
      <c r="T35" s="230"/>
    </row>
    <row r="36" ht="21.75" customHeight="1">
      <c r="A36" s="234">
        <v>1.0</v>
      </c>
      <c r="B36" s="78">
        <v>46008.0</v>
      </c>
      <c r="C36" s="79">
        <v>4.4681923E7</v>
      </c>
      <c r="D36" s="80" t="s">
        <v>188</v>
      </c>
      <c r="E36" s="79" t="s">
        <v>189</v>
      </c>
      <c r="F36" s="79" t="s">
        <v>190</v>
      </c>
      <c r="G36" s="79" t="s">
        <v>191</v>
      </c>
      <c r="H36" s="81"/>
      <c r="I36" s="79" t="s">
        <v>79</v>
      </c>
      <c r="J36" s="79">
        <v>0.0</v>
      </c>
      <c r="K36" s="79"/>
      <c r="L36" s="79"/>
      <c r="M36" s="79"/>
      <c r="N36" s="82">
        <v>0.0</v>
      </c>
      <c r="O36" s="227"/>
      <c r="P36" s="82" t="s">
        <v>50</v>
      </c>
      <c r="Q36" s="278">
        <f t="shared" ref="Q36:Q66" si="3">N36+O36</f>
        <v>0</v>
      </c>
      <c r="R36" s="84" t="s">
        <v>939</v>
      </c>
      <c r="S36" s="211"/>
      <c r="T36" s="230"/>
    </row>
    <row r="37" ht="21.75" customHeight="1">
      <c r="A37" s="235">
        <f t="shared" ref="A37:A62" si="4">A36+1</f>
        <v>2</v>
      </c>
      <c r="B37" s="78">
        <v>46008.0</v>
      </c>
      <c r="C37" s="79"/>
      <c r="D37" s="80" t="s">
        <v>192</v>
      </c>
      <c r="E37" s="79" t="s">
        <v>189</v>
      </c>
      <c r="F37" s="79" t="s">
        <v>190</v>
      </c>
      <c r="G37" s="79" t="s">
        <v>191</v>
      </c>
      <c r="H37" s="242"/>
      <c r="I37" s="242" t="s">
        <v>79</v>
      </c>
      <c r="J37" s="242">
        <v>0.0</v>
      </c>
      <c r="K37" s="242"/>
      <c r="L37" s="154"/>
      <c r="M37" s="154"/>
      <c r="N37" s="244">
        <v>0.0</v>
      </c>
      <c r="O37" s="244"/>
      <c r="P37" s="245" t="s">
        <v>50</v>
      </c>
      <c r="Q37" s="278">
        <f t="shared" si="3"/>
        <v>0</v>
      </c>
      <c r="R37" s="84" t="s">
        <v>939</v>
      </c>
      <c r="S37" s="211"/>
      <c r="T37" s="230"/>
    </row>
    <row r="38" ht="21.75" customHeight="1">
      <c r="A38" s="235">
        <f t="shared" si="4"/>
        <v>3</v>
      </c>
      <c r="B38" s="88">
        <v>46032.0</v>
      </c>
      <c r="C38" s="151"/>
      <c r="D38" s="151" t="s">
        <v>940</v>
      </c>
      <c r="E38" s="168"/>
      <c r="F38" s="168"/>
      <c r="G38" s="154"/>
      <c r="H38" s="242"/>
      <c r="I38" s="242" t="s">
        <v>79</v>
      </c>
      <c r="J38" s="242">
        <v>95.0</v>
      </c>
      <c r="K38" s="242">
        <v>95.0</v>
      </c>
      <c r="L38" s="154" t="s">
        <v>93</v>
      </c>
      <c r="M38" s="154" t="s">
        <v>81</v>
      </c>
      <c r="N38" s="244">
        <v>95.0</v>
      </c>
      <c r="O38" s="244">
        <v>95.0</v>
      </c>
      <c r="P38" s="245" t="s">
        <v>47</v>
      </c>
      <c r="Q38" s="278">
        <f t="shared" si="3"/>
        <v>190</v>
      </c>
      <c r="R38" s="229"/>
      <c r="S38" s="211"/>
      <c r="T38" s="230"/>
    </row>
    <row r="39" ht="21.75" customHeight="1">
      <c r="A39" s="235">
        <f t="shared" si="4"/>
        <v>4</v>
      </c>
      <c r="B39" s="78">
        <v>46028.0</v>
      </c>
      <c r="C39" s="288" t="s">
        <v>941</v>
      </c>
      <c r="D39" s="289" t="s">
        <v>942</v>
      </c>
      <c r="E39" s="168" t="s">
        <v>943</v>
      </c>
      <c r="F39" s="154" t="s">
        <v>455</v>
      </c>
      <c r="G39" s="154" t="s">
        <v>944</v>
      </c>
      <c r="H39" s="242"/>
      <c r="I39" s="242" t="s">
        <v>104</v>
      </c>
      <c r="J39" s="242">
        <v>100.0</v>
      </c>
      <c r="K39" s="242">
        <v>90.0</v>
      </c>
      <c r="L39" s="154" t="s">
        <v>93</v>
      </c>
      <c r="M39" s="154" t="s">
        <v>81</v>
      </c>
      <c r="N39" s="244">
        <v>100.0</v>
      </c>
      <c r="O39" s="244">
        <v>0.0</v>
      </c>
      <c r="P39" s="245" t="s">
        <v>50</v>
      </c>
      <c r="Q39" s="278">
        <f t="shared" si="3"/>
        <v>100</v>
      </c>
      <c r="R39" s="229"/>
      <c r="S39" s="211"/>
      <c r="T39" s="230"/>
    </row>
    <row r="40" ht="21.75" customHeight="1">
      <c r="A40" s="235">
        <f t="shared" si="4"/>
        <v>5</v>
      </c>
      <c r="B40" s="78">
        <v>46035.0</v>
      </c>
      <c r="C40" s="151">
        <v>2.0029573E7</v>
      </c>
      <c r="D40" s="151" t="s">
        <v>945</v>
      </c>
      <c r="E40" s="168" t="s">
        <v>946</v>
      </c>
      <c r="F40" s="168" t="s">
        <v>947</v>
      </c>
      <c r="G40" s="154" t="s">
        <v>948</v>
      </c>
      <c r="H40" s="242"/>
      <c r="I40" s="242" t="s">
        <v>79</v>
      </c>
      <c r="J40" s="242">
        <v>95.0</v>
      </c>
      <c r="K40" s="242">
        <v>95.0</v>
      </c>
      <c r="L40" s="154" t="s">
        <v>93</v>
      </c>
      <c r="M40" s="154" t="s">
        <v>81</v>
      </c>
      <c r="N40" s="244">
        <v>95.0</v>
      </c>
      <c r="O40" s="244">
        <v>95.0</v>
      </c>
      <c r="P40" s="245" t="s">
        <v>50</v>
      </c>
      <c r="Q40" s="278">
        <f t="shared" si="3"/>
        <v>190</v>
      </c>
      <c r="R40" s="229"/>
      <c r="S40" s="211"/>
      <c r="T40" s="230"/>
    </row>
    <row r="41" ht="21.75" customHeight="1">
      <c r="A41" s="235">
        <f t="shared" si="4"/>
        <v>6</v>
      </c>
      <c r="B41" s="78">
        <v>46035.0</v>
      </c>
      <c r="C41" s="151">
        <v>4.9035262E7</v>
      </c>
      <c r="D41" s="151" t="s">
        <v>949</v>
      </c>
      <c r="E41" s="168" t="s">
        <v>950</v>
      </c>
      <c r="F41" s="168" t="s">
        <v>451</v>
      </c>
      <c r="G41" s="154" t="s">
        <v>214</v>
      </c>
      <c r="H41" s="242"/>
      <c r="I41" s="242" t="s">
        <v>79</v>
      </c>
      <c r="J41" s="242">
        <v>190.0</v>
      </c>
      <c r="K41" s="242"/>
      <c r="L41" s="154" t="s">
        <v>80</v>
      </c>
      <c r="M41" s="154" t="s">
        <v>81</v>
      </c>
      <c r="N41" s="244">
        <v>190.0</v>
      </c>
      <c r="O41" s="244"/>
      <c r="P41" s="245" t="s">
        <v>50</v>
      </c>
      <c r="Q41" s="278">
        <f t="shared" si="3"/>
        <v>190</v>
      </c>
      <c r="R41" s="229"/>
      <c r="S41" s="211"/>
      <c r="T41" s="230"/>
    </row>
    <row r="42" ht="21.75" customHeight="1">
      <c r="A42" s="235">
        <f t="shared" si="4"/>
        <v>7</v>
      </c>
      <c r="B42" s="167">
        <v>46036.0</v>
      </c>
      <c r="C42" s="79">
        <v>2.2314008E7</v>
      </c>
      <c r="D42" s="80" t="s">
        <v>434</v>
      </c>
      <c r="E42" s="168"/>
      <c r="F42" s="168"/>
      <c r="G42" s="154"/>
      <c r="H42" s="242"/>
      <c r="I42" s="242" t="s">
        <v>104</v>
      </c>
      <c r="J42" s="242">
        <v>0.0</v>
      </c>
      <c r="K42" s="242"/>
      <c r="L42" s="154"/>
      <c r="M42" s="154"/>
      <c r="N42" s="244">
        <v>0.0</v>
      </c>
      <c r="O42" s="244"/>
      <c r="P42" s="245" t="s">
        <v>47</v>
      </c>
      <c r="Q42" s="278">
        <f t="shared" si="3"/>
        <v>0</v>
      </c>
      <c r="R42" s="229"/>
      <c r="S42" s="211"/>
      <c r="T42" s="230"/>
    </row>
    <row r="43" ht="21.75" customHeight="1">
      <c r="A43" s="235">
        <f t="shared" si="4"/>
        <v>8</v>
      </c>
      <c r="B43" s="132">
        <v>46036.0</v>
      </c>
      <c r="C43" s="149">
        <v>7.6601657E7</v>
      </c>
      <c r="D43" s="178" t="s">
        <v>492</v>
      </c>
      <c r="E43" s="179" t="s">
        <v>951</v>
      </c>
      <c r="F43" s="158" t="s">
        <v>494</v>
      </c>
      <c r="I43" s="190" t="s">
        <v>104</v>
      </c>
      <c r="J43" s="242">
        <v>150.0</v>
      </c>
      <c r="L43" s="154" t="s">
        <v>80</v>
      </c>
      <c r="N43" s="244">
        <v>150.0</v>
      </c>
      <c r="O43" s="244"/>
      <c r="P43" s="245" t="s">
        <v>44</v>
      </c>
      <c r="Q43" s="278">
        <f t="shared" si="3"/>
        <v>150</v>
      </c>
      <c r="R43" s="229"/>
      <c r="S43" s="211"/>
      <c r="T43" s="230"/>
    </row>
    <row r="44" ht="21.75" customHeight="1">
      <c r="A44" s="235">
        <f t="shared" si="4"/>
        <v>9</v>
      </c>
      <c r="B44" s="88">
        <v>46037.0</v>
      </c>
      <c r="C44" s="151">
        <v>1.0477399E7</v>
      </c>
      <c r="D44" s="151" t="s">
        <v>952</v>
      </c>
      <c r="E44" s="168"/>
      <c r="F44" s="168"/>
      <c r="G44" s="154"/>
      <c r="H44" s="242"/>
      <c r="I44" s="242" t="s">
        <v>104</v>
      </c>
      <c r="J44" s="242">
        <v>95.0</v>
      </c>
      <c r="K44" s="242">
        <v>95.0</v>
      </c>
      <c r="L44" s="154" t="s">
        <v>93</v>
      </c>
      <c r="M44" s="154" t="s">
        <v>81</v>
      </c>
      <c r="N44" s="244">
        <v>95.0</v>
      </c>
      <c r="O44" s="244">
        <v>95.0</v>
      </c>
      <c r="P44" s="245" t="s">
        <v>47</v>
      </c>
      <c r="Q44" s="278">
        <f t="shared" si="3"/>
        <v>190</v>
      </c>
      <c r="R44" s="229"/>
      <c r="S44" s="211"/>
      <c r="T44" s="230"/>
    </row>
    <row r="45" ht="21.75" customHeight="1">
      <c r="A45" s="235">
        <f t="shared" si="4"/>
        <v>10</v>
      </c>
      <c r="B45" s="78">
        <v>46037.0</v>
      </c>
      <c r="C45" s="151">
        <v>4.1271985E7</v>
      </c>
      <c r="D45" s="151" t="s">
        <v>953</v>
      </c>
      <c r="E45" s="168" t="s">
        <v>954</v>
      </c>
      <c r="F45" s="168" t="s">
        <v>96</v>
      </c>
      <c r="G45" s="154" t="s">
        <v>955</v>
      </c>
      <c r="H45" s="242"/>
      <c r="I45" s="242" t="s">
        <v>79</v>
      </c>
      <c r="J45" s="242">
        <v>50.0</v>
      </c>
      <c r="K45" s="242">
        <v>140.0</v>
      </c>
      <c r="L45" s="154" t="s">
        <v>93</v>
      </c>
      <c r="M45" s="154" t="s">
        <v>81</v>
      </c>
      <c r="N45" s="244">
        <v>50.0</v>
      </c>
      <c r="O45" s="244">
        <v>140.0</v>
      </c>
      <c r="P45" s="245" t="s">
        <v>50</v>
      </c>
      <c r="Q45" s="278">
        <f t="shared" si="3"/>
        <v>190</v>
      </c>
      <c r="R45" s="229"/>
      <c r="S45" s="211"/>
      <c r="T45" s="230"/>
    </row>
    <row r="46" ht="21.75" customHeight="1">
      <c r="A46" s="235">
        <f t="shared" si="4"/>
        <v>11</v>
      </c>
      <c r="B46" s="86">
        <v>46037.0</v>
      </c>
      <c r="C46" s="151">
        <v>4.1590522E7</v>
      </c>
      <c r="D46" s="151" t="s">
        <v>435</v>
      </c>
      <c r="E46" s="168" t="s">
        <v>436</v>
      </c>
      <c r="F46" s="168" t="s">
        <v>437</v>
      </c>
      <c r="G46" s="154" t="s">
        <v>438</v>
      </c>
      <c r="H46" s="242"/>
      <c r="I46" s="242" t="s">
        <v>79</v>
      </c>
      <c r="J46" s="242">
        <v>0.0</v>
      </c>
      <c r="K46" s="242"/>
      <c r="L46" s="154"/>
      <c r="M46" s="154"/>
      <c r="N46" s="244">
        <v>0.0</v>
      </c>
      <c r="O46" s="244"/>
      <c r="P46" s="245" t="s">
        <v>45</v>
      </c>
      <c r="Q46" s="278">
        <f t="shared" si="3"/>
        <v>0</v>
      </c>
      <c r="R46" s="229" t="s">
        <v>956</v>
      </c>
      <c r="S46" s="211"/>
      <c r="T46" s="230"/>
    </row>
    <row r="47" ht="21.75" customHeight="1">
      <c r="A47" s="235">
        <f t="shared" si="4"/>
        <v>12</v>
      </c>
      <c r="B47" s="86">
        <v>46037.0</v>
      </c>
      <c r="C47" s="151">
        <v>4.2689847E7</v>
      </c>
      <c r="D47" s="151" t="s">
        <v>439</v>
      </c>
      <c r="E47" s="168" t="s">
        <v>440</v>
      </c>
      <c r="F47" s="168" t="s">
        <v>437</v>
      </c>
      <c r="G47" s="154"/>
      <c r="H47" s="242"/>
      <c r="I47" s="242" t="s">
        <v>79</v>
      </c>
      <c r="J47" s="242">
        <v>0.0</v>
      </c>
      <c r="K47" s="242"/>
      <c r="L47" s="154"/>
      <c r="M47" s="154"/>
      <c r="N47" s="244">
        <v>0.0</v>
      </c>
      <c r="O47" s="244"/>
      <c r="P47" s="245" t="s">
        <v>45</v>
      </c>
      <c r="Q47" s="278">
        <f t="shared" si="3"/>
        <v>0</v>
      </c>
      <c r="R47" s="229"/>
      <c r="S47" s="211"/>
      <c r="T47" s="230"/>
    </row>
    <row r="48" ht="21.75" customHeight="1">
      <c r="A48" s="235">
        <f t="shared" si="4"/>
        <v>13</v>
      </c>
      <c r="B48" s="88">
        <v>46037.0</v>
      </c>
      <c r="C48" s="151">
        <v>4.6314782E7</v>
      </c>
      <c r="D48" s="151" t="s">
        <v>957</v>
      </c>
      <c r="E48" s="168"/>
      <c r="F48" s="168"/>
      <c r="G48" s="154"/>
      <c r="H48" s="242"/>
      <c r="I48" s="242" t="s">
        <v>104</v>
      </c>
      <c r="J48" s="242">
        <v>190.0</v>
      </c>
      <c r="K48" s="242"/>
      <c r="L48" s="154" t="s">
        <v>80</v>
      </c>
      <c r="M48" s="154" t="s">
        <v>143</v>
      </c>
      <c r="N48" s="244">
        <v>174.28</v>
      </c>
      <c r="O48" s="244"/>
      <c r="P48" s="245" t="s">
        <v>47</v>
      </c>
      <c r="Q48" s="278">
        <f t="shared" si="3"/>
        <v>174.28</v>
      </c>
      <c r="R48" s="229"/>
      <c r="S48" s="211"/>
      <c r="T48" s="230"/>
    </row>
    <row r="49" ht="21.75" customHeight="1">
      <c r="A49" s="235">
        <f t="shared" si="4"/>
        <v>14</v>
      </c>
      <c r="B49" s="78">
        <v>46372.0</v>
      </c>
      <c r="C49" s="89">
        <v>7.51447752E8</v>
      </c>
      <c r="D49" s="127" t="s">
        <v>958</v>
      </c>
      <c r="E49" s="131" t="s">
        <v>959</v>
      </c>
      <c r="F49" s="168" t="s">
        <v>960</v>
      </c>
      <c r="G49" s="154"/>
      <c r="H49" s="242"/>
      <c r="I49" s="242" t="s">
        <v>79</v>
      </c>
      <c r="J49" s="242">
        <v>185.0</v>
      </c>
      <c r="K49" s="242"/>
      <c r="L49" s="154" t="s">
        <v>80</v>
      </c>
      <c r="M49" s="154" t="s">
        <v>81</v>
      </c>
      <c r="N49" s="244">
        <v>185.0</v>
      </c>
      <c r="O49" s="244"/>
      <c r="P49" s="245" t="s">
        <v>50</v>
      </c>
      <c r="Q49" s="278">
        <f t="shared" si="3"/>
        <v>185</v>
      </c>
      <c r="R49" s="229"/>
      <c r="S49" s="211"/>
      <c r="T49" s="230"/>
    </row>
    <row r="50" ht="21.75" customHeight="1">
      <c r="A50" s="235">
        <f t="shared" si="4"/>
        <v>15</v>
      </c>
      <c r="B50" s="78">
        <v>46038.0</v>
      </c>
      <c r="C50" s="288" t="s">
        <v>961</v>
      </c>
      <c r="D50" s="127" t="s">
        <v>962</v>
      </c>
      <c r="E50" s="168" t="s">
        <v>963</v>
      </c>
      <c r="F50" s="168" t="s">
        <v>195</v>
      </c>
      <c r="G50" s="154" t="s">
        <v>964</v>
      </c>
      <c r="H50" s="242"/>
      <c r="I50" s="242" t="s">
        <v>79</v>
      </c>
      <c r="J50" s="242">
        <v>190.0</v>
      </c>
      <c r="K50" s="242"/>
      <c r="L50" s="154" t="s">
        <v>80</v>
      </c>
      <c r="M50" s="154" t="s">
        <v>278</v>
      </c>
      <c r="N50" s="244">
        <v>190.0</v>
      </c>
      <c r="O50" s="244"/>
      <c r="P50" s="245" t="s">
        <v>50</v>
      </c>
      <c r="Q50" s="278">
        <f t="shared" si="3"/>
        <v>190</v>
      </c>
      <c r="R50" s="229"/>
      <c r="S50" s="211"/>
      <c r="T50" s="230"/>
    </row>
    <row r="51" ht="21.75" customHeight="1">
      <c r="A51" s="235">
        <f t="shared" si="4"/>
        <v>16</v>
      </c>
      <c r="B51" s="78">
        <v>46038.0</v>
      </c>
      <c r="C51" s="151">
        <v>7.6799413E7</v>
      </c>
      <c r="D51" s="151" t="s">
        <v>503</v>
      </c>
      <c r="E51" s="168" t="s">
        <v>504</v>
      </c>
      <c r="F51" s="168" t="s">
        <v>141</v>
      </c>
      <c r="G51" s="154" t="s">
        <v>505</v>
      </c>
      <c r="H51" s="242"/>
      <c r="I51" s="242" t="s">
        <v>79</v>
      </c>
      <c r="J51" s="242">
        <v>100.0</v>
      </c>
      <c r="K51" s="242">
        <v>350.0</v>
      </c>
      <c r="L51" s="154" t="s">
        <v>93</v>
      </c>
      <c r="M51" s="154" t="s">
        <v>81</v>
      </c>
      <c r="N51" s="244">
        <v>100.0</v>
      </c>
      <c r="O51" s="244">
        <v>350.0</v>
      </c>
      <c r="P51" s="245" t="s">
        <v>50</v>
      </c>
      <c r="Q51" s="278">
        <f t="shared" si="3"/>
        <v>450</v>
      </c>
      <c r="R51" s="229"/>
      <c r="S51" s="211"/>
      <c r="T51" s="230"/>
    </row>
    <row r="52" ht="21.75" customHeight="1">
      <c r="A52" s="235">
        <f t="shared" si="4"/>
        <v>17</v>
      </c>
      <c r="B52" s="88">
        <v>46038.0</v>
      </c>
      <c r="C52" s="151">
        <v>4.0369991E7</v>
      </c>
      <c r="D52" s="151" t="s">
        <v>965</v>
      </c>
      <c r="E52" s="168"/>
      <c r="F52" s="168"/>
      <c r="G52" s="154"/>
      <c r="H52" s="242"/>
      <c r="I52" s="242" t="s">
        <v>104</v>
      </c>
      <c r="J52" s="242">
        <v>100.0</v>
      </c>
      <c r="K52" s="242">
        <v>90.0</v>
      </c>
      <c r="L52" s="154" t="s">
        <v>93</v>
      </c>
      <c r="M52" s="154" t="s">
        <v>81</v>
      </c>
      <c r="N52" s="244">
        <v>100.0</v>
      </c>
      <c r="O52" s="244">
        <v>90.0</v>
      </c>
      <c r="P52" s="245" t="s">
        <v>47</v>
      </c>
      <c r="Q52" s="278">
        <f t="shared" si="3"/>
        <v>190</v>
      </c>
      <c r="R52" s="229"/>
      <c r="S52" s="211"/>
      <c r="T52" s="230"/>
    </row>
    <row r="53" ht="21.75" customHeight="1">
      <c r="A53" s="235">
        <f t="shared" si="4"/>
        <v>18</v>
      </c>
      <c r="B53" s="78">
        <v>46039.0</v>
      </c>
      <c r="C53" s="151">
        <v>7.4551908E7</v>
      </c>
      <c r="D53" s="151" t="s">
        <v>966</v>
      </c>
      <c r="E53" s="168" t="s">
        <v>967</v>
      </c>
      <c r="F53" s="168" t="s">
        <v>807</v>
      </c>
      <c r="G53" s="154"/>
      <c r="H53" s="242"/>
      <c r="I53" s="242" t="s">
        <v>79</v>
      </c>
      <c r="J53" s="242">
        <v>180.0</v>
      </c>
      <c r="K53" s="242"/>
      <c r="L53" s="154" t="s">
        <v>80</v>
      </c>
      <c r="M53" s="154" t="s">
        <v>81</v>
      </c>
      <c r="N53" s="244">
        <v>180.0</v>
      </c>
      <c r="O53" s="244"/>
      <c r="P53" s="245" t="s">
        <v>50</v>
      </c>
      <c r="Q53" s="278">
        <f t="shared" si="3"/>
        <v>180</v>
      </c>
      <c r="R53" s="229"/>
      <c r="S53" s="211"/>
      <c r="T53" s="230"/>
    </row>
    <row r="54" ht="21.75" customHeight="1">
      <c r="A54" s="235">
        <f t="shared" si="4"/>
        <v>19</v>
      </c>
      <c r="B54" s="192">
        <v>46039.0</v>
      </c>
      <c r="C54" s="89">
        <v>4.1831539E7</v>
      </c>
      <c r="D54" s="89" t="s">
        <v>968</v>
      </c>
      <c r="E54" s="131" t="s">
        <v>969</v>
      </c>
      <c r="F54" s="89" t="s">
        <v>970</v>
      </c>
      <c r="G54" s="154" t="s">
        <v>971</v>
      </c>
      <c r="H54" s="242"/>
      <c r="I54" s="242" t="s">
        <v>79</v>
      </c>
      <c r="J54" s="242">
        <v>190.0</v>
      </c>
      <c r="K54" s="242"/>
      <c r="L54" s="154" t="s">
        <v>80</v>
      </c>
      <c r="M54" s="154" t="s">
        <v>81</v>
      </c>
      <c r="N54" s="244">
        <v>190.0</v>
      </c>
      <c r="O54" s="244"/>
      <c r="P54" s="245" t="s">
        <v>49</v>
      </c>
      <c r="Q54" s="278">
        <f t="shared" si="3"/>
        <v>190</v>
      </c>
      <c r="R54" s="229"/>
      <c r="S54" s="211"/>
      <c r="T54" s="230"/>
    </row>
    <row r="55" ht="21.75" customHeight="1">
      <c r="A55" s="235">
        <f t="shared" si="4"/>
        <v>20</v>
      </c>
      <c r="B55" s="87"/>
      <c r="C55" s="151"/>
      <c r="D55" s="151"/>
      <c r="E55" s="168"/>
      <c r="F55" s="168"/>
      <c r="G55" s="154"/>
      <c r="H55" s="242"/>
      <c r="I55" s="243"/>
      <c r="J55" s="242"/>
      <c r="K55" s="242"/>
      <c r="L55" s="154"/>
      <c r="M55" s="154"/>
      <c r="N55" s="244"/>
      <c r="O55" s="244"/>
      <c r="P55" s="245"/>
      <c r="Q55" s="278">
        <f t="shared" si="3"/>
        <v>0</v>
      </c>
      <c r="R55" s="229"/>
      <c r="S55" s="211"/>
      <c r="T55" s="230"/>
    </row>
    <row r="56" ht="21.75" customHeight="1">
      <c r="A56" s="235">
        <f t="shared" si="4"/>
        <v>21</v>
      </c>
      <c r="B56" s="87"/>
      <c r="C56" s="151"/>
      <c r="D56" s="240"/>
      <c r="E56" s="168"/>
      <c r="F56" s="168"/>
      <c r="G56" s="154"/>
      <c r="H56" s="242"/>
      <c r="I56" s="243"/>
      <c r="J56" s="242"/>
      <c r="K56" s="242"/>
      <c r="L56" s="154"/>
      <c r="M56" s="154"/>
      <c r="N56" s="244"/>
      <c r="O56" s="244"/>
      <c r="P56" s="245"/>
      <c r="Q56" s="278">
        <f t="shared" si="3"/>
        <v>0</v>
      </c>
      <c r="R56" s="229"/>
      <c r="S56" s="211"/>
      <c r="T56" s="230"/>
    </row>
    <row r="57" ht="21.75" customHeight="1">
      <c r="A57" s="235">
        <f t="shared" si="4"/>
        <v>22</v>
      </c>
      <c r="B57" s="87"/>
      <c r="C57" s="151"/>
      <c r="D57" s="240"/>
      <c r="E57" s="168"/>
      <c r="F57" s="168"/>
      <c r="G57" s="154"/>
      <c r="H57" s="242"/>
      <c r="I57" s="243"/>
      <c r="J57" s="242"/>
      <c r="K57" s="242"/>
      <c r="L57" s="154"/>
      <c r="M57" s="154"/>
      <c r="N57" s="244"/>
      <c r="O57" s="244"/>
      <c r="P57" s="245"/>
      <c r="Q57" s="278">
        <f t="shared" si="3"/>
        <v>0</v>
      </c>
      <c r="R57" s="229"/>
      <c r="S57" s="211"/>
      <c r="T57" s="230"/>
    </row>
    <row r="58" ht="21.75" customHeight="1">
      <c r="A58" s="235">
        <f t="shared" si="4"/>
        <v>23</v>
      </c>
      <c r="B58" s="87"/>
      <c r="C58" s="151"/>
      <c r="D58" s="240"/>
      <c r="E58" s="168"/>
      <c r="F58" s="168"/>
      <c r="G58" s="154"/>
      <c r="H58" s="242"/>
      <c r="I58" s="243"/>
      <c r="J58" s="242"/>
      <c r="K58" s="242"/>
      <c r="L58" s="154"/>
      <c r="M58" s="154"/>
      <c r="N58" s="244"/>
      <c r="O58" s="244"/>
      <c r="P58" s="245"/>
      <c r="Q58" s="278">
        <f t="shared" si="3"/>
        <v>0</v>
      </c>
      <c r="R58" s="229"/>
      <c r="S58" s="211"/>
      <c r="T58" s="230"/>
    </row>
    <row r="59" ht="21.75" customHeight="1">
      <c r="A59" s="235">
        <f t="shared" si="4"/>
        <v>24</v>
      </c>
      <c r="B59" s="87"/>
      <c r="C59" s="151"/>
      <c r="D59" s="240"/>
      <c r="E59" s="168"/>
      <c r="F59" s="168"/>
      <c r="G59" s="154"/>
      <c r="H59" s="242"/>
      <c r="I59" s="243"/>
      <c r="J59" s="242"/>
      <c r="K59" s="242"/>
      <c r="L59" s="154"/>
      <c r="M59" s="154"/>
      <c r="N59" s="244"/>
      <c r="O59" s="244"/>
      <c r="P59" s="245"/>
      <c r="Q59" s="278">
        <f t="shared" si="3"/>
        <v>0</v>
      </c>
      <c r="R59" s="229"/>
      <c r="S59" s="211"/>
      <c r="T59" s="230"/>
    </row>
    <row r="60" ht="21.75" customHeight="1">
      <c r="A60" s="235">
        <f t="shared" si="4"/>
        <v>25</v>
      </c>
      <c r="B60" s="87"/>
      <c r="C60" s="151"/>
      <c r="D60" s="240"/>
      <c r="E60" s="168"/>
      <c r="F60" s="168"/>
      <c r="G60" s="154"/>
      <c r="H60" s="242"/>
      <c r="I60" s="243"/>
      <c r="J60" s="242"/>
      <c r="K60" s="242"/>
      <c r="L60" s="154"/>
      <c r="M60" s="154"/>
      <c r="N60" s="244"/>
      <c r="O60" s="244"/>
      <c r="P60" s="245"/>
      <c r="Q60" s="278">
        <f t="shared" si="3"/>
        <v>0</v>
      </c>
      <c r="R60" s="229"/>
      <c r="S60" s="211"/>
      <c r="T60" s="230"/>
    </row>
    <row r="61">
      <c r="A61" s="235">
        <f t="shared" si="4"/>
        <v>26</v>
      </c>
      <c r="B61" s="87"/>
      <c r="C61" s="151"/>
      <c r="D61" s="240"/>
      <c r="E61" s="168"/>
      <c r="F61" s="168"/>
      <c r="G61" s="154"/>
      <c r="H61" s="242"/>
      <c r="I61" s="243"/>
      <c r="J61" s="242"/>
      <c r="K61" s="242"/>
      <c r="L61" s="154"/>
      <c r="M61" s="154"/>
      <c r="N61" s="244"/>
      <c r="O61" s="244"/>
      <c r="P61" s="245"/>
      <c r="Q61" s="278">
        <f t="shared" si="3"/>
        <v>0</v>
      </c>
      <c r="R61" s="229"/>
      <c r="S61" s="211"/>
      <c r="T61" s="230"/>
    </row>
    <row r="62" ht="21.75" customHeight="1">
      <c r="A62" s="235">
        <f t="shared" si="4"/>
        <v>27</v>
      </c>
      <c r="B62" s="87"/>
      <c r="C62" s="79"/>
      <c r="D62" s="232"/>
      <c r="E62" s="226"/>
      <c r="F62" s="79"/>
      <c r="G62" s="79"/>
      <c r="H62" s="81"/>
      <c r="I62" s="79"/>
      <c r="J62" s="79"/>
      <c r="K62" s="79"/>
      <c r="L62" s="79"/>
      <c r="M62" s="79"/>
      <c r="N62" s="82"/>
      <c r="O62" s="227"/>
      <c r="P62" s="82"/>
      <c r="Q62" s="278">
        <f t="shared" si="3"/>
        <v>0</v>
      </c>
      <c r="R62" s="84"/>
      <c r="S62" s="211"/>
      <c r="T62" s="230"/>
    </row>
    <row r="63" ht="21.75" customHeight="1">
      <c r="A63" s="233" t="s">
        <v>79</v>
      </c>
      <c r="B63" s="87"/>
      <c r="C63" s="151"/>
      <c r="D63" s="240"/>
      <c r="E63" s="168"/>
      <c r="F63" s="168"/>
      <c r="G63" s="154"/>
      <c r="H63" s="242"/>
      <c r="I63" s="243"/>
      <c r="J63" s="242"/>
      <c r="K63" s="242"/>
      <c r="L63" s="154"/>
      <c r="M63" s="154"/>
      <c r="N63" s="244"/>
      <c r="O63" s="244"/>
      <c r="P63" s="245"/>
      <c r="Q63" s="278">
        <f t="shared" si="3"/>
        <v>0</v>
      </c>
      <c r="R63" s="229"/>
      <c r="S63" s="211"/>
      <c r="T63" s="230"/>
    </row>
    <row r="64" ht="21.75" customHeight="1">
      <c r="A64" s="233" t="s">
        <v>79</v>
      </c>
      <c r="B64" s="87"/>
      <c r="C64" s="151"/>
      <c r="D64" s="240"/>
      <c r="E64" s="168"/>
      <c r="F64" s="168"/>
      <c r="G64" s="154"/>
      <c r="H64" s="242"/>
      <c r="I64" s="243"/>
      <c r="J64" s="242"/>
      <c r="K64" s="242"/>
      <c r="L64" s="154"/>
      <c r="M64" s="154"/>
      <c r="N64" s="244"/>
      <c r="O64" s="244"/>
      <c r="P64" s="245"/>
      <c r="Q64" s="278">
        <f t="shared" si="3"/>
        <v>0</v>
      </c>
      <c r="R64" s="229"/>
      <c r="S64" s="211"/>
      <c r="T64" s="230"/>
    </row>
    <row r="65" ht="21.75" customHeight="1">
      <c r="A65" s="233" t="s">
        <v>79</v>
      </c>
      <c r="B65" s="87"/>
      <c r="C65" s="151"/>
      <c r="D65" s="240"/>
      <c r="E65" s="168"/>
      <c r="F65" s="168"/>
      <c r="G65" s="154"/>
      <c r="H65" s="242"/>
      <c r="I65" s="243"/>
      <c r="J65" s="242"/>
      <c r="K65" s="242"/>
      <c r="L65" s="154"/>
      <c r="M65" s="154"/>
      <c r="N65" s="244"/>
      <c r="O65" s="244"/>
      <c r="P65" s="245"/>
      <c r="Q65" s="278">
        <f t="shared" si="3"/>
        <v>0</v>
      </c>
      <c r="R65" s="229"/>
      <c r="S65" s="211"/>
      <c r="T65" s="230"/>
    </row>
    <row r="66" ht="21.75" customHeight="1">
      <c r="A66" s="233" t="s">
        <v>79</v>
      </c>
      <c r="B66" s="87"/>
      <c r="C66" s="151"/>
      <c r="D66" s="240"/>
      <c r="E66" s="168"/>
      <c r="F66" s="168"/>
      <c r="G66" s="154"/>
      <c r="H66" s="242"/>
      <c r="I66" s="243"/>
      <c r="J66" s="242"/>
      <c r="K66" s="242"/>
      <c r="L66" s="154"/>
      <c r="M66" s="154"/>
      <c r="N66" s="244"/>
      <c r="O66" s="244"/>
      <c r="P66" s="245"/>
      <c r="Q66" s="278">
        <f t="shared" si="3"/>
        <v>0</v>
      </c>
      <c r="R66" s="229"/>
      <c r="S66" s="211"/>
      <c r="T66" s="230"/>
    </row>
    <row r="67" ht="21.75" customHeight="1">
      <c r="A67" s="247"/>
      <c r="B67" s="248"/>
      <c r="C67" s="247"/>
      <c r="D67" s="247"/>
      <c r="E67" s="247"/>
      <c r="F67" s="247"/>
      <c r="G67" s="249" t="s">
        <v>178</v>
      </c>
      <c r="H67" s="250">
        <f t="shared" ref="H67:I67" si="5">COUNTIF(H4:H66,"X")</f>
        <v>24</v>
      </c>
      <c r="I67" s="250">
        <f t="shared" si="5"/>
        <v>19</v>
      </c>
      <c r="J67" s="251">
        <f t="shared" ref="J67:K67" si="6">SUM(J4:J66)</f>
        <v>5184.98</v>
      </c>
      <c r="K67" s="251">
        <f t="shared" si="6"/>
        <v>1870</v>
      </c>
      <c r="L67" s="252"/>
      <c r="M67" s="253"/>
      <c r="N67" s="251">
        <f t="shared" ref="N67:O67" si="7">SUM(N4:N66)</f>
        <v>5169.2</v>
      </c>
      <c r="O67" s="251">
        <f t="shared" si="7"/>
        <v>1780</v>
      </c>
      <c r="P67" s="247"/>
      <c r="Q67" s="105"/>
      <c r="R67" s="253"/>
      <c r="S67" s="212"/>
      <c r="T67" s="169"/>
    </row>
    <row r="68" ht="19.5" customHeight="1">
      <c r="A68" s="105"/>
      <c r="B68" s="255"/>
      <c r="C68" s="105"/>
      <c r="D68" s="105"/>
      <c r="E68" s="105"/>
      <c r="F68" s="105"/>
      <c r="G68" s="256" t="s">
        <v>179</v>
      </c>
      <c r="H68" s="257">
        <v>27.0</v>
      </c>
      <c r="I68" s="257">
        <v>27.0</v>
      </c>
      <c r="J68" s="258">
        <f>SUM(J67:K67)</f>
        <v>7054.98</v>
      </c>
      <c r="K68" s="103"/>
      <c r="L68" s="105"/>
      <c r="M68" s="169"/>
      <c r="N68" s="258">
        <f>SUM(N67:O67)</f>
        <v>6949.2</v>
      </c>
      <c r="O68" s="103"/>
      <c r="P68" s="105"/>
      <c r="Q68" s="263"/>
      <c r="R68" s="169"/>
      <c r="S68" s="212"/>
      <c r="T68" s="169"/>
    </row>
    <row r="69" ht="19.5" customHeight="1">
      <c r="A69" s="105"/>
      <c r="B69" s="255"/>
      <c r="C69" s="105"/>
      <c r="D69" s="169"/>
      <c r="E69" s="169"/>
      <c r="F69" s="169"/>
      <c r="G69" s="260" t="s">
        <v>180</v>
      </c>
      <c r="H69" s="261">
        <f t="shared" ref="H69:I69" si="8">H68-H67</f>
        <v>3</v>
      </c>
      <c r="I69" s="261">
        <f t="shared" si="8"/>
        <v>8</v>
      </c>
      <c r="J69" s="262" t="s">
        <v>181</v>
      </c>
      <c r="K69" s="109"/>
      <c r="L69" s="105"/>
      <c r="M69" s="169"/>
      <c r="N69" s="262" t="s">
        <v>182</v>
      </c>
      <c r="O69" s="109"/>
      <c r="P69" s="263"/>
      <c r="Q69" s="263"/>
      <c r="R69" s="169"/>
      <c r="S69" s="212"/>
      <c r="T69" s="169"/>
    </row>
    <row r="70" ht="19.5" customHeight="1">
      <c r="A70" s="105"/>
      <c r="B70" s="255"/>
      <c r="C70" s="105"/>
      <c r="D70" s="169"/>
      <c r="E70" s="169"/>
      <c r="F70" s="169"/>
      <c r="G70" s="105"/>
      <c r="H70" s="264">
        <v>150.0</v>
      </c>
      <c r="I70" s="264">
        <v>150.0</v>
      </c>
      <c r="J70" s="105"/>
      <c r="K70" s="105"/>
      <c r="L70" s="105"/>
      <c r="M70" s="169"/>
      <c r="N70" s="263"/>
      <c r="O70" s="263"/>
      <c r="P70" s="263"/>
      <c r="Q70" s="263"/>
      <c r="R70" s="169"/>
      <c r="S70" s="212"/>
      <c r="T70" s="230" t="s">
        <v>68</v>
      </c>
    </row>
    <row r="71" ht="19.5" customHeight="1">
      <c r="A71" s="105"/>
      <c r="B71" s="255"/>
      <c r="C71" s="105"/>
      <c r="D71" s="169"/>
      <c r="E71" s="169"/>
      <c r="F71" s="169"/>
      <c r="G71" s="105"/>
      <c r="H71" s="265">
        <f t="shared" ref="H71:I71" si="9">H69*H70</f>
        <v>450</v>
      </c>
      <c r="I71" s="265">
        <f t="shared" si="9"/>
        <v>1200</v>
      </c>
      <c r="J71" s="105"/>
      <c r="K71" s="105"/>
      <c r="L71" s="105"/>
      <c r="M71" s="169"/>
      <c r="N71" s="263"/>
      <c r="O71" s="263"/>
      <c r="P71" s="263"/>
      <c r="Q71" s="263"/>
      <c r="R71" s="169"/>
      <c r="S71" s="212"/>
      <c r="T71" s="169"/>
    </row>
    <row r="72" ht="19.5" customHeight="1">
      <c r="A72" s="105"/>
      <c r="B72" s="255"/>
      <c r="C72" s="105"/>
      <c r="D72" s="169"/>
      <c r="E72" s="169"/>
      <c r="F72" s="169"/>
      <c r="G72" s="105"/>
      <c r="H72" s="266">
        <f>SUM(H71:I71)</f>
        <v>1650</v>
      </c>
      <c r="I72" s="109"/>
      <c r="J72" s="105"/>
      <c r="K72" s="105"/>
      <c r="L72" s="105"/>
      <c r="M72" s="169"/>
      <c r="N72" s="263"/>
      <c r="O72" s="263"/>
      <c r="P72" s="263"/>
      <c r="Q72" s="169"/>
      <c r="R72" s="169"/>
      <c r="S72" s="212"/>
      <c r="T72" s="169"/>
    </row>
    <row r="73" ht="19.5" customHeight="1">
      <c r="A73" s="105"/>
      <c r="B73" s="255"/>
      <c r="C73" s="105"/>
      <c r="D73" s="169"/>
      <c r="E73" s="169"/>
      <c r="F73" s="169"/>
      <c r="G73" s="105"/>
      <c r="H73" s="105"/>
      <c r="I73" s="105"/>
      <c r="J73" s="105"/>
      <c r="K73" s="105"/>
      <c r="L73" s="105"/>
      <c r="M73" s="169"/>
      <c r="N73" s="169"/>
      <c r="O73" s="169"/>
      <c r="P73" s="169"/>
      <c r="Q73" s="169"/>
      <c r="R73" s="169"/>
      <c r="S73" s="212"/>
      <c r="T73" s="169"/>
    </row>
    <row r="74" ht="19.5" customHeight="1">
      <c r="A74" s="105"/>
      <c r="B74" s="255"/>
      <c r="C74" s="105"/>
      <c r="D74" s="169"/>
      <c r="E74" s="169"/>
      <c r="F74" s="169"/>
      <c r="G74" s="105"/>
      <c r="H74" s="105"/>
      <c r="I74" s="105"/>
      <c r="J74" s="105"/>
      <c r="K74" s="105"/>
      <c r="L74" s="105"/>
      <c r="M74" s="169"/>
      <c r="N74" s="169"/>
      <c r="O74" s="169"/>
      <c r="P74" s="169"/>
      <c r="Q74" s="169"/>
      <c r="R74" s="169"/>
      <c r="S74" s="212"/>
      <c r="T74" s="169"/>
    </row>
    <row r="75" ht="19.5" customHeight="1">
      <c r="A75" s="105"/>
      <c r="B75" s="255"/>
      <c r="C75" s="105"/>
      <c r="D75" s="169"/>
      <c r="E75" s="169"/>
      <c r="F75" s="169"/>
      <c r="G75" s="105"/>
      <c r="H75" s="105"/>
      <c r="I75" s="105"/>
      <c r="J75" s="105"/>
      <c r="K75" s="105"/>
      <c r="L75" s="105"/>
      <c r="M75" s="169"/>
      <c r="N75" s="169"/>
      <c r="O75" s="169"/>
      <c r="P75" s="169"/>
      <c r="Q75" s="169"/>
      <c r="R75" s="169"/>
      <c r="S75" s="212"/>
      <c r="T75" s="169"/>
    </row>
    <row r="76" ht="19.5" customHeight="1">
      <c r="A76" s="105"/>
      <c r="B76" s="255"/>
      <c r="C76" s="105"/>
      <c r="D76" s="169"/>
      <c r="E76" s="169"/>
      <c r="F76" s="169"/>
      <c r="G76" s="105"/>
      <c r="H76" s="105"/>
      <c r="I76" s="105"/>
      <c r="J76" s="105"/>
      <c r="K76" s="105"/>
      <c r="L76" s="105"/>
      <c r="M76" s="169"/>
      <c r="N76" s="169"/>
      <c r="O76" s="169"/>
      <c r="P76" s="169"/>
      <c r="Q76" s="105"/>
      <c r="R76" s="169"/>
      <c r="S76" s="212"/>
      <c r="T76" s="169"/>
    </row>
    <row r="77" ht="19.5" customHeight="1">
      <c r="A77" s="290"/>
      <c r="B77" s="291"/>
      <c r="C77" s="290"/>
      <c r="D77" s="252"/>
      <c r="E77" s="252"/>
      <c r="F77" s="252"/>
      <c r="G77" s="290"/>
      <c r="H77" s="290"/>
      <c r="I77" s="290"/>
      <c r="J77" s="290"/>
      <c r="K77" s="290"/>
      <c r="L77" s="290"/>
      <c r="M77" s="252"/>
      <c r="N77" s="252"/>
      <c r="O77" s="252"/>
      <c r="P77" s="252"/>
      <c r="Q77" s="263"/>
      <c r="R77" s="252"/>
      <c r="S77" s="292"/>
      <c r="T77" s="252"/>
    </row>
    <row r="78" ht="19.5" customHeight="1">
      <c r="A78" s="290"/>
      <c r="B78" s="291"/>
      <c r="C78" s="290"/>
      <c r="D78" s="252"/>
      <c r="E78" s="252"/>
      <c r="F78" s="252"/>
      <c r="G78" s="290"/>
      <c r="H78" s="290"/>
      <c r="I78" s="290"/>
      <c r="J78" s="290"/>
      <c r="K78" s="290"/>
      <c r="L78" s="290"/>
      <c r="M78" s="252"/>
      <c r="N78" s="252"/>
      <c r="O78" s="252"/>
      <c r="P78" s="252"/>
      <c r="Q78" s="263"/>
      <c r="R78" s="252"/>
      <c r="S78" s="292"/>
      <c r="T78" s="252"/>
    </row>
    <row r="79" ht="19.5" customHeight="1">
      <c r="A79" s="290"/>
      <c r="B79" s="291"/>
      <c r="C79" s="290"/>
      <c r="D79" s="252"/>
      <c r="E79" s="252"/>
      <c r="F79" s="252"/>
      <c r="G79" s="290"/>
      <c r="H79" s="290"/>
      <c r="I79" s="290"/>
      <c r="J79" s="290"/>
      <c r="K79" s="290"/>
      <c r="L79" s="290"/>
      <c r="M79" s="252"/>
      <c r="N79" s="252"/>
      <c r="O79" s="252"/>
      <c r="P79" s="252"/>
      <c r="Q79" s="263"/>
      <c r="R79" s="252"/>
      <c r="S79" s="292"/>
      <c r="T79" s="252"/>
    </row>
    <row r="80" ht="19.5" customHeight="1">
      <c r="A80" s="290"/>
      <c r="B80" s="291"/>
      <c r="C80" s="290"/>
      <c r="D80" s="252"/>
      <c r="E80" s="252"/>
      <c r="F80" s="252"/>
      <c r="G80" s="290"/>
      <c r="H80" s="290"/>
      <c r="I80" s="290"/>
      <c r="J80" s="290"/>
      <c r="K80" s="290"/>
      <c r="L80" s="290"/>
      <c r="M80" s="252"/>
      <c r="N80" s="252"/>
      <c r="O80" s="252"/>
      <c r="P80" s="252"/>
      <c r="Q80" s="263"/>
      <c r="R80" s="252"/>
      <c r="S80" s="292"/>
      <c r="T80" s="252"/>
    </row>
    <row r="81" ht="19.5" customHeight="1">
      <c r="A81" s="290"/>
      <c r="B81" s="291"/>
      <c r="C81" s="290"/>
      <c r="D81" s="252"/>
      <c r="E81" s="252"/>
      <c r="F81" s="252"/>
      <c r="G81" s="290"/>
      <c r="H81" s="290"/>
      <c r="I81" s="290"/>
      <c r="J81" s="290"/>
      <c r="K81" s="290"/>
      <c r="L81" s="290"/>
      <c r="M81" s="252"/>
      <c r="N81" s="252"/>
      <c r="O81" s="252"/>
      <c r="P81" s="252"/>
      <c r="Q81" s="169"/>
      <c r="R81" s="252"/>
      <c r="S81" s="292"/>
      <c r="T81" s="252"/>
    </row>
    <row r="82" ht="19.5" customHeight="1">
      <c r="A82" s="290"/>
      <c r="B82" s="291"/>
      <c r="C82" s="290"/>
      <c r="D82" s="252"/>
      <c r="E82" s="252"/>
      <c r="F82" s="252"/>
      <c r="G82" s="290"/>
      <c r="H82" s="290"/>
      <c r="I82" s="290"/>
      <c r="J82" s="290"/>
      <c r="K82" s="290"/>
      <c r="L82" s="290"/>
      <c r="M82" s="252"/>
      <c r="N82" s="252"/>
      <c r="O82" s="252"/>
      <c r="P82" s="252"/>
      <c r="Q82" s="169"/>
      <c r="R82" s="252"/>
      <c r="S82" s="292"/>
      <c r="T82" s="252"/>
    </row>
    <row r="83" ht="19.5" customHeight="1">
      <c r="A83" s="290"/>
      <c r="B83" s="291"/>
      <c r="C83" s="290"/>
      <c r="D83" s="252"/>
      <c r="E83" s="252"/>
      <c r="F83" s="252"/>
      <c r="G83" s="290"/>
      <c r="H83" s="290"/>
      <c r="I83" s="290"/>
      <c r="J83" s="290"/>
      <c r="K83" s="290"/>
      <c r="L83" s="290"/>
      <c r="M83" s="252"/>
      <c r="N83" s="252"/>
      <c r="O83" s="252"/>
      <c r="P83" s="252"/>
      <c r="Q83" s="169"/>
      <c r="R83" s="252"/>
      <c r="S83" s="292"/>
      <c r="T83" s="252"/>
    </row>
    <row r="84" ht="19.5" customHeight="1">
      <c r="A84" s="290"/>
      <c r="B84" s="291"/>
      <c r="C84" s="290"/>
      <c r="D84" s="252"/>
      <c r="E84" s="252"/>
      <c r="F84" s="252"/>
      <c r="G84" s="290"/>
      <c r="H84" s="290"/>
      <c r="I84" s="290"/>
      <c r="J84" s="290"/>
      <c r="K84" s="290"/>
      <c r="L84" s="290"/>
      <c r="M84" s="252"/>
      <c r="N84" s="252"/>
      <c r="O84" s="252"/>
      <c r="P84" s="252"/>
      <c r="Q84" s="169"/>
      <c r="R84" s="252"/>
      <c r="S84" s="292"/>
      <c r="T84" s="252"/>
    </row>
  </sheetData>
  <customSheetViews>
    <customSheetView guid="{BD076BCF-39B8-44C5-BF95-7B82C910DEB0}" filter="1" showAutoFilter="1">
      <autoFilter ref="$A$4:$T$84"/>
    </customSheetView>
    <customSheetView guid="{E5EE51B3-DE45-4D2E-9071-A5BED79D171F}" filter="1" showAutoFilter="1">
      <autoFilter ref="$A$2:$T$84"/>
    </customSheetView>
    <customSheetView guid="{BA335440-5B37-4C05-BCDC-9CD4D4923240}" filter="1" showAutoFilter="1">
      <autoFilter ref="$A$1:$T$84"/>
    </customSheetView>
    <customSheetView guid="{A9B8627E-26B2-4201-803A-467C3700F329}" filter="1" showAutoFilter="1">
      <autoFilter ref="$A$2:$T$84"/>
    </customSheetView>
  </customSheetViews>
  <mergeCells count="8">
    <mergeCell ref="A2:M2"/>
    <mergeCell ref="A3:F3"/>
    <mergeCell ref="G3:I3"/>
    <mergeCell ref="J68:K68"/>
    <mergeCell ref="N68:O68"/>
    <mergeCell ref="J69:K69"/>
    <mergeCell ref="N69:O69"/>
    <mergeCell ref="H72:I72"/>
  </mergeCells>
  <conditionalFormatting sqref="M5:M66 R5:R66 L49:L51">
    <cfRule type="containsText" dxfId="3" priority="1" operator="containsText" text="fh">
      <formula>NOT(ISERROR(SEARCH(("fh"),(M5))))</formula>
    </cfRule>
  </conditionalFormatting>
  <conditionalFormatting sqref="L1 L4:L66 M4 N8:O14 N16:O18 N36:O37 N45:O55 L68:L71 L73:L84">
    <cfRule type="containsText" dxfId="0" priority="2" operator="containsText" text="COBR">
      <formula>NOT(ISERROR(SEARCH(("COBR"),(L1))))</formula>
    </cfRule>
  </conditionalFormatting>
  <conditionalFormatting sqref="L1 L4:L66 M4 N8:O14 N16:O18 N36:O37 N45:O55 L68:L71 L73:L84">
    <cfRule type="containsText" dxfId="1" priority="3" operator="containsText" text="INTE">
      <formula>NOT(ISERROR(SEARCH(("INTE"),(L1))))</formula>
    </cfRule>
  </conditionalFormatting>
  <conditionalFormatting sqref="L1 L4:L66 M4 J68 L68:L71 N68 L73:L84">
    <cfRule type="containsText" dxfId="2" priority="4" operator="containsText" text="DESC">
      <formula>NOT(ISERROR(SEARCH(("DESC"),(L1))))</formula>
    </cfRule>
  </conditionalFormatting>
  <dataValidations>
    <dataValidation type="list" allowBlank="1" showErrorMessage="1" sqref="M5:M13 M15:M42 M44:M66">
      <formula1>CUENTAS</formula1>
    </dataValidation>
    <dataValidation type="list" allowBlank="1" showErrorMessage="1" sqref="P5:P66">
      <formula1>VENDEDOR</formula1>
    </dataValidation>
    <dataValidation type="list" allowBlank="1" showErrorMessage="1" sqref="L5:L13 L15:L66">
      <formula1>SITUACION</formula1>
    </dataValidation>
  </dataValidations>
  <hyperlinks>
    <hyperlink r:id="rId1" ref="E27"/>
    <hyperlink r:id="rId2" ref="E43"/>
    <hyperlink r:id="rId3" ref="E49"/>
    <hyperlink r:id="rId4" ref="E54"/>
  </hyperlinks>
  <printOptions gridLines="1" horizontalCentered="1"/>
  <pageMargins bottom="0.6" footer="0.0" header="0.0" left="0.18446313842671508" right="0.1947110905615326" top="0.21520699483116765"/>
  <pageSetup fitToHeight="0" paperSize="9" cellComments="atEnd" orientation="landscape" pageOrder="overThenDown"/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13.13"/>
    <col customWidth="1" min="4" max="4" width="30.38"/>
    <col customWidth="1" min="5" max="6" width="19.5"/>
    <col customWidth="1" min="7" max="7" width="18.63"/>
    <col customWidth="1" min="8" max="8" width="11.75"/>
    <col customWidth="1" min="9" max="11" width="12.63"/>
    <col customWidth="1" min="12" max="12" width="14.38"/>
    <col customWidth="1" min="13" max="13" width="14.75"/>
    <col customWidth="1" min="14" max="15" width="12.63"/>
    <col customWidth="1" min="16" max="19" width="21.63"/>
    <col customWidth="1" min="20" max="20" width="2.25"/>
  </cols>
  <sheetData>
    <row r="1" ht="19.5" customHeight="1">
      <c r="A1" s="186"/>
      <c r="B1" s="209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105"/>
      <c r="O1" s="105"/>
      <c r="P1" s="105"/>
      <c r="Q1" s="105"/>
      <c r="R1" s="105"/>
      <c r="S1" s="105"/>
      <c r="T1" s="105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211"/>
      <c r="O2" s="212"/>
      <c r="P2" s="212"/>
      <c r="Q2" s="212"/>
      <c r="R2" s="212"/>
      <c r="S2" s="212"/>
      <c r="T2" s="105"/>
    </row>
    <row r="3" ht="30.75" customHeight="1">
      <c r="A3" s="65" t="s">
        <v>972</v>
      </c>
      <c r="B3" s="60"/>
      <c r="C3" s="60"/>
      <c r="D3" s="60"/>
      <c r="E3" s="60"/>
      <c r="F3" s="60"/>
      <c r="G3" s="67" t="s">
        <v>27</v>
      </c>
      <c r="H3" s="60"/>
      <c r="I3" s="60"/>
      <c r="J3" s="214"/>
      <c r="K3" s="214"/>
      <c r="L3" s="214"/>
      <c r="M3" s="215"/>
      <c r="N3" s="216"/>
      <c r="O3" s="217"/>
      <c r="P3" s="217"/>
      <c r="Q3" s="217"/>
      <c r="R3" s="217"/>
      <c r="S3" s="212"/>
      <c r="T3" s="105"/>
    </row>
    <row r="4" ht="27.0" customHeight="1">
      <c r="A4" s="73" t="s">
        <v>0</v>
      </c>
      <c r="B4" s="219" t="s">
        <v>7</v>
      </c>
      <c r="C4" s="73" t="s">
        <v>8</v>
      </c>
      <c r="D4" s="73" t="s">
        <v>9</v>
      </c>
      <c r="E4" s="73" t="s">
        <v>10</v>
      </c>
      <c r="F4" s="73" t="s">
        <v>11</v>
      </c>
      <c r="G4" s="73" t="s">
        <v>12</v>
      </c>
      <c r="H4" s="220">
        <v>46028.0</v>
      </c>
      <c r="I4" s="220">
        <v>46042.0</v>
      </c>
      <c r="J4" s="221" t="s">
        <v>15</v>
      </c>
      <c r="K4" s="221" t="s">
        <v>16</v>
      </c>
      <c r="L4" s="221" t="s">
        <v>17</v>
      </c>
      <c r="M4" s="221" t="s">
        <v>18</v>
      </c>
      <c r="N4" s="222" t="s">
        <v>19</v>
      </c>
      <c r="O4" s="222" t="s">
        <v>20</v>
      </c>
      <c r="P4" s="222" t="s">
        <v>21</v>
      </c>
      <c r="Q4" s="222" t="s">
        <v>22</v>
      </c>
      <c r="R4" s="73" t="s">
        <v>74</v>
      </c>
      <c r="S4" s="211"/>
      <c r="T4" s="105"/>
    </row>
    <row r="5" ht="21.75" customHeight="1">
      <c r="A5" s="224">
        <v>1.0</v>
      </c>
      <c r="B5" s="293">
        <v>46001.0</v>
      </c>
      <c r="C5" s="294">
        <v>7.2685604E7</v>
      </c>
      <c r="D5" s="295" t="s">
        <v>973</v>
      </c>
      <c r="E5" s="296" t="s">
        <v>974</v>
      </c>
      <c r="F5" s="296" t="s">
        <v>975</v>
      </c>
      <c r="G5" s="148" t="s">
        <v>976</v>
      </c>
      <c r="H5" s="81" t="s">
        <v>104</v>
      </c>
      <c r="I5" s="79"/>
      <c r="J5" s="79">
        <v>0.0</v>
      </c>
      <c r="K5" s="79"/>
      <c r="L5" s="79"/>
      <c r="M5" s="79"/>
      <c r="N5" s="82"/>
      <c r="O5" s="227"/>
      <c r="P5" s="82"/>
      <c r="Q5" s="278">
        <f t="shared" ref="Q5:Q66" si="1">N5+O5</f>
        <v>0</v>
      </c>
      <c r="R5" s="84" t="s">
        <v>977</v>
      </c>
      <c r="S5" s="211"/>
      <c r="T5" s="105"/>
    </row>
    <row r="6" ht="21.75" customHeight="1">
      <c r="A6" s="228">
        <f t="shared" ref="A6:A31" si="2">A5+1</f>
        <v>2</v>
      </c>
      <c r="B6" s="293">
        <v>46002.0</v>
      </c>
      <c r="C6" s="294">
        <v>4.6749055E7</v>
      </c>
      <c r="D6" s="295" t="s">
        <v>978</v>
      </c>
      <c r="E6" s="296" t="s">
        <v>979</v>
      </c>
      <c r="F6" s="296" t="s">
        <v>331</v>
      </c>
      <c r="G6" s="148" t="s">
        <v>980</v>
      </c>
      <c r="H6" s="242" t="s">
        <v>104</v>
      </c>
      <c r="I6" s="243"/>
      <c r="J6" s="79">
        <v>0.0</v>
      </c>
      <c r="K6" s="242"/>
      <c r="L6" s="154"/>
      <c r="M6" s="154"/>
      <c r="N6" s="244"/>
      <c r="O6" s="244"/>
      <c r="P6" s="245"/>
      <c r="Q6" s="278">
        <f t="shared" si="1"/>
        <v>0</v>
      </c>
      <c r="R6" s="84" t="s">
        <v>977</v>
      </c>
      <c r="S6" s="211"/>
      <c r="T6" s="297"/>
    </row>
    <row r="7" ht="21.75" customHeight="1">
      <c r="A7" s="228">
        <f t="shared" si="2"/>
        <v>3</v>
      </c>
      <c r="B7" s="293">
        <v>46009.0</v>
      </c>
      <c r="C7" s="298">
        <v>1240711.0</v>
      </c>
      <c r="D7" s="299" t="s">
        <v>981</v>
      </c>
      <c r="E7" s="300" t="s">
        <v>982</v>
      </c>
      <c r="F7" s="296" t="s">
        <v>983</v>
      </c>
      <c r="G7" s="148" t="s">
        <v>984</v>
      </c>
      <c r="H7" s="242" t="s">
        <v>104</v>
      </c>
      <c r="I7" s="243"/>
      <c r="J7" s="79">
        <v>0.0</v>
      </c>
      <c r="K7" s="242"/>
      <c r="L7" s="154"/>
      <c r="M7" s="154"/>
      <c r="N7" s="244"/>
      <c r="O7" s="244"/>
      <c r="P7" s="245"/>
      <c r="Q7" s="278">
        <f t="shared" si="1"/>
        <v>0</v>
      </c>
      <c r="R7" s="84" t="s">
        <v>977</v>
      </c>
      <c r="S7" s="211"/>
      <c r="T7" s="297"/>
    </row>
    <row r="8" ht="21.75" customHeight="1">
      <c r="A8" s="228">
        <f t="shared" si="2"/>
        <v>4</v>
      </c>
      <c r="B8" s="301">
        <v>46016.0</v>
      </c>
      <c r="C8" s="151">
        <v>7.14129E7</v>
      </c>
      <c r="D8" s="240" t="s">
        <v>985</v>
      </c>
      <c r="E8" s="168" t="s">
        <v>986</v>
      </c>
      <c r="F8" s="168" t="s">
        <v>771</v>
      </c>
      <c r="G8" s="154">
        <v>9.72453322E8</v>
      </c>
      <c r="H8" s="242" t="s">
        <v>104</v>
      </c>
      <c r="I8" s="243"/>
      <c r="J8" s="79">
        <v>0.0</v>
      </c>
      <c r="K8" s="242"/>
      <c r="L8" s="154"/>
      <c r="M8" s="154"/>
      <c r="N8" s="244"/>
      <c r="O8" s="244"/>
      <c r="P8" s="245"/>
      <c r="Q8" s="278">
        <f t="shared" si="1"/>
        <v>0</v>
      </c>
      <c r="R8" s="84" t="s">
        <v>977</v>
      </c>
      <c r="S8" s="211"/>
      <c r="T8" s="297"/>
    </row>
    <row r="9" ht="21.75" customHeight="1">
      <c r="A9" s="228">
        <f t="shared" si="2"/>
        <v>5</v>
      </c>
      <c r="B9" s="132">
        <v>46017.0</v>
      </c>
      <c r="C9" s="151">
        <v>7.3851205E7</v>
      </c>
      <c r="D9" s="240" t="s">
        <v>987</v>
      </c>
      <c r="E9" s="168" t="s">
        <v>988</v>
      </c>
      <c r="F9" s="168" t="s">
        <v>190</v>
      </c>
      <c r="G9" s="154">
        <v>9.46856472E8</v>
      </c>
      <c r="H9" s="242" t="s">
        <v>104</v>
      </c>
      <c r="I9" s="243"/>
      <c r="J9" s="79">
        <v>0.0</v>
      </c>
      <c r="K9" s="242"/>
      <c r="L9" s="154"/>
      <c r="M9" s="154"/>
      <c r="N9" s="244"/>
      <c r="O9" s="244"/>
      <c r="P9" s="245"/>
      <c r="Q9" s="278">
        <f t="shared" si="1"/>
        <v>0</v>
      </c>
      <c r="R9" s="84" t="s">
        <v>977</v>
      </c>
      <c r="S9" s="211"/>
      <c r="T9" s="297"/>
    </row>
    <row r="10" ht="21.75" customHeight="1">
      <c r="A10" s="228">
        <f t="shared" si="2"/>
        <v>6</v>
      </c>
      <c r="B10" s="132">
        <v>46018.0</v>
      </c>
      <c r="C10" s="151">
        <v>7454502.0</v>
      </c>
      <c r="D10" s="240" t="s">
        <v>989</v>
      </c>
      <c r="E10" s="168" t="s">
        <v>990</v>
      </c>
      <c r="F10" s="168" t="s">
        <v>991</v>
      </c>
      <c r="G10" s="154">
        <v>9.95951313E8</v>
      </c>
      <c r="H10" s="242" t="s">
        <v>104</v>
      </c>
      <c r="I10" s="243"/>
      <c r="J10" s="79">
        <v>0.0</v>
      </c>
      <c r="K10" s="242"/>
      <c r="L10" s="154"/>
      <c r="M10" s="154"/>
      <c r="N10" s="244"/>
      <c r="O10" s="244"/>
      <c r="P10" s="245"/>
      <c r="Q10" s="278">
        <f t="shared" si="1"/>
        <v>0</v>
      </c>
      <c r="R10" s="84" t="s">
        <v>977</v>
      </c>
      <c r="S10" s="211"/>
      <c r="T10" s="297"/>
    </row>
    <row r="11" ht="21.75" customHeight="1">
      <c r="A11" s="228">
        <f t="shared" si="2"/>
        <v>7</v>
      </c>
      <c r="B11" s="132">
        <v>46018.0</v>
      </c>
      <c r="C11" s="151">
        <v>2.0609390264E10</v>
      </c>
      <c r="D11" s="240" t="s">
        <v>992</v>
      </c>
      <c r="E11" s="168" t="s">
        <v>993</v>
      </c>
      <c r="F11" s="168" t="s">
        <v>994</v>
      </c>
      <c r="G11" s="154" t="s">
        <v>995</v>
      </c>
      <c r="H11" s="242" t="s">
        <v>104</v>
      </c>
      <c r="I11" s="243"/>
      <c r="J11" s="79">
        <v>0.0</v>
      </c>
      <c r="K11" s="242"/>
      <c r="L11" s="154"/>
      <c r="M11" s="154"/>
      <c r="N11" s="244"/>
      <c r="O11" s="244"/>
      <c r="P11" s="245"/>
      <c r="Q11" s="278">
        <f t="shared" si="1"/>
        <v>0</v>
      </c>
      <c r="R11" s="84" t="s">
        <v>977</v>
      </c>
      <c r="S11" s="211"/>
      <c r="T11" s="297"/>
    </row>
    <row r="12" ht="21.75" customHeight="1">
      <c r="A12" s="228">
        <f t="shared" si="2"/>
        <v>8</v>
      </c>
      <c r="B12" s="132">
        <v>46020.0</v>
      </c>
      <c r="C12" s="151">
        <v>6.039357E7</v>
      </c>
      <c r="D12" s="240" t="s">
        <v>996</v>
      </c>
      <c r="E12" s="302" t="s">
        <v>997</v>
      </c>
      <c r="F12" s="168" t="s">
        <v>96</v>
      </c>
      <c r="G12" s="154" t="s">
        <v>998</v>
      </c>
      <c r="H12" s="242" t="s">
        <v>104</v>
      </c>
      <c r="I12" s="243"/>
      <c r="J12" s="79">
        <v>0.0</v>
      </c>
      <c r="K12" s="242"/>
      <c r="L12" s="154"/>
      <c r="M12" s="154"/>
      <c r="N12" s="244"/>
      <c r="O12" s="244"/>
      <c r="P12" s="245"/>
      <c r="Q12" s="278">
        <f t="shared" si="1"/>
        <v>0</v>
      </c>
      <c r="R12" s="84" t="s">
        <v>977</v>
      </c>
      <c r="S12" s="211"/>
      <c r="T12" s="297"/>
    </row>
    <row r="13" ht="21.75" customHeight="1">
      <c r="A13" s="228">
        <f t="shared" si="2"/>
        <v>9</v>
      </c>
      <c r="B13" s="132">
        <v>46020.0</v>
      </c>
      <c r="C13" s="151">
        <v>4.3712509E7</v>
      </c>
      <c r="D13" s="240" t="s">
        <v>999</v>
      </c>
      <c r="E13" s="168" t="s">
        <v>1000</v>
      </c>
      <c r="F13" s="168" t="s">
        <v>1001</v>
      </c>
      <c r="G13" s="154" t="s">
        <v>1002</v>
      </c>
      <c r="H13" s="242" t="s">
        <v>104</v>
      </c>
      <c r="I13" s="243"/>
      <c r="J13" s="79">
        <v>0.0</v>
      </c>
      <c r="K13" s="242"/>
      <c r="L13" s="154"/>
      <c r="M13" s="154"/>
      <c r="N13" s="244"/>
      <c r="O13" s="244"/>
      <c r="P13" s="245"/>
      <c r="Q13" s="278">
        <f t="shared" si="1"/>
        <v>0</v>
      </c>
      <c r="R13" s="84" t="s">
        <v>977</v>
      </c>
      <c r="S13" s="211"/>
      <c r="T13" s="297"/>
    </row>
    <row r="14" ht="21.75" customHeight="1">
      <c r="A14" s="228">
        <f t="shared" si="2"/>
        <v>10</v>
      </c>
      <c r="B14" s="132">
        <v>46022.0</v>
      </c>
      <c r="C14" s="151">
        <v>7.1176371E7</v>
      </c>
      <c r="D14" s="240" t="s">
        <v>1003</v>
      </c>
      <c r="E14" s="168" t="s">
        <v>1004</v>
      </c>
      <c r="F14" s="168" t="s">
        <v>1005</v>
      </c>
      <c r="G14" s="154" t="s">
        <v>1006</v>
      </c>
      <c r="H14" s="242" t="s">
        <v>104</v>
      </c>
      <c r="I14" s="243"/>
      <c r="J14" s="79">
        <v>0.0</v>
      </c>
      <c r="K14" s="242"/>
      <c r="L14" s="154"/>
      <c r="M14" s="154"/>
      <c r="N14" s="244">
        <v>0.0</v>
      </c>
      <c r="O14" s="244"/>
      <c r="P14" s="245"/>
      <c r="Q14" s="278">
        <f t="shared" si="1"/>
        <v>0</v>
      </c>
      <c r="R14" s="84" t="s">
        <v>977</v>
      </c>
      <c r="S14" s="211"/>
      <c r="T14" s="297"/>
    </row>
    <row r="15" ht="21.75" customHeight="1">
      <c r="A15" s="228">
        <f t="shared" si="2"/>
        <v>11</v>
      </c>
      <c r="B15" s="132">
        <v>46019.0</v>
      </c>
      <c r="C15" s="151">
        <v>4.7729335E7</v>
      </c>
      <c r="D15" s="240" t="s">
        <v>1007</v>
      </c>
      <c r="E15" s="168" t="s">
        <v>1008</v>
      </c>
      <c r="F15" s="168" t="s">
        <v>1009</v>
      </c>
      <c r="G15" s="154" t="s">
        <v>1010</v>
      </c>
      <c r="H15" s="242" t="s">
        <v>104</v>
      </c>
      <c r="I15" s="243"/>
      <c r="J15" s="79">
        <v>0.0</v>
      </c>
      <c r="K15" s="242"/>
      <c r="L15" s="154"/>
      <c r="M15" s="154"/>
      <c r="N15" s="244">
        <v>0.0</v>
      </c>
      <c r="O15" s="244"/>
      <c r="P15" s="245"/>
      <c r="Q15" s="278">
        <f t="shared" si="1"/>
        <v>0</v>
      </c>
      <c r="R15" s="84" t="s">
        <v>977</v>
      </c>
      <c r="S15" s="211"/>
      <c r="T15" s="297"/>
    </row>
    <row r="16" ht="21.75" customHeight="1">
      <c r="A16" s="228">
        <f t="shared" si="2"/>
        <v>12</v>
      </c>
      <c r="B16" s="132">
        <v>46013.0</v>
      </c>
      <c r="C16" s="151">
        <v>4.7162261E7</v>
      </c>
      <c r="D16" s="240" t="s">
        <v>1011</v>
      </c>
      <c r="E16" s="168" t="s">
        <v>1012</v>
      </c>
      <c r="F16" s="168" t="s">
        <v>1013</v>
      </c>
      <c r="G16" s="154" t="s">
        <v>1014</v>
      </c>
      <c r="H16" s="242" t="s">
        <v>104</v>
      </c>
      <c r="I16" s="243"/>
      <c r="J16" s="79">
        <v>0.0</v>
      </c>
      <c r="K16" s="242"/>
      <c r="L16" s="154"/>
      <c r="M16" s="154"/>
      <c r="N16" s="244">
        <v>0.0</v>
      </c>
      <c r="O16" s="244"/>
      <c r="P16" s="245"/>
      <c r="Q16" s="278">
        <f t="shared" si="1"/>
        <v>0</v>
      </c>
      <c r="R16" s="84" t="s">
        <v>977</v>
      </c>
      <c r="S16" s="211"/>
      <c r="T16" s="297"/>
    </row>
    <row r="17" ht="21.75" customHeight="1">
      <c r="A17" s="228">
        <f t="shared" si="2"/>
        <v>13</v>
      </c>
      <c r="B17" s="132">
        <v>7716111.0</v>
      </c>
      <c r="C17" s="151">
        <v>4.2588957E7</v>
      </c>
      <c r="D17" s="240" t="s">
        <v>1015</v>
      </c>
      <c r="E17" s="168"/>
      <c r="F17" s="168" t="s">
        <v>1001</v>
      </c>
      <c r="G17" s="154" t="s">
        <v>1016</v>
      </c>
      <c r="H17" s="242" t="s">
        <v>104</v>
      </c>
      <c r="I17" s="243"/>
      <c r="J17" s="79">
        <v>0.0</v>
      </c>
      <c r="K17" s="242"/>
      <c r="L17" s="154"/>
      <c r="M17" s="154"/>
      <c r="N17" s="244">
        <v>0.0</v>
      </c>
      <c r="O17" s="244"/>
      <c r="P17" s="245"/>
      <c r="Q17" s="278">
        <f t="shared" si="1"/>
        <v>0</v>
      </c>
      <c r="R17" s="84" t="s">
        <v>977</v>
      </c>
      <c r="S17" s="211"/>
      <c r="T17" s="297"/>
    </row>
    <row r="18" ht="21.75" customHeight="1">
      <c r="A18" s="228">
        <f t="shared" si="2"/>
        <v>14</v>
      </c>
      <c r="B18" s="132">
        <v>46023.0</v>
      </c>
      <c r="C18" s="151">
        <v>7.5014725E7</v>
      </c>
      <c r="D18" s="240" t="s">
        <v>1017</v>
      </c>
      <c r="E18" s="168" t="s">
        <v>1018</v>
      </c>
      <c r="F18" s="168" t="s">
        <v>1019</v>
      </c>
      <c r="G18" s="154" t="s">
        <v>1020</v>
      </c>
      <c r="H18" s="242" t="s">
        <v>104</v>
      </c>
      <c r="I18" s="243"/>
      <c r="J18" s="242">
        <v>0.0</v>
      </c>
      <c r="K18" s="242"/>
      <c r="L18" s="154"/>
      <c r="M18" s="154"/>
      <c r="N18" s="244">
        <v>0.0</v>
      </c>
      <c r="O18" s="244"/>
      <c r="P18" s="245"/>
      <c r="Q18" s="278">
        <f t="shared" si="1"/>
        <v>0</v>
      </c>
      <c r="R18" s="84" t="s">
        <v>977</v>
      </c>
      <c r="S18" s="211"/>
      <c r="T18" s="297"/>
    </row>
    <row r="19" ht="21.75" customHeight="1">
      <c r="A19" s="228">
        <f t="shared" si="2"/>
        <v>15</v>
      </c>
      <c r="B19" s="132">
        <v>46024.0</v>
      </c>
      <c r="C19" s="151" t="s">
        <v>1021</v>
      </c>
      <c r="D19" s="240" t="s">
        <v>1022</v>
      </c>
      <c r="E19" s="168" t="s">
        <v>1023</v>
      </c>
      <c r="F19" s="168" t="s">
        <v>117</v>
      </c>
      <c r="G19" s="154" t="s">
        <v>1024</v>
      </c>
      <c r="H19" s="242" t="s">
        <v>104</v>
      </c>
      <c r="I19" s="243"/>
      <c r="J19" s="242">
        <v>0.0</v>
      </c>
      <c r="K19" s="242"/>
      <c r="L19" s="154"/>
      <c r="M19" s="154"/>
      <c r="N19" s="244">
        <v>0.0</v>
      </c>
      <c r="O19" s="244"/>
      <c r="P19" s="245"/>
      <c r="Q19" s="278">
        <f t="shared" si="1"/>
        <v>0</v>
      </c>
      <c r="R19" s="84" t="s">
        <v>977</v>
      </c>
      <c r="S19" s="211"/>
      <c r="T19" s="297"/>
    </row>
    <row r="20" ht="21.75" customHeight="1">
      <c r="A20" s="228">
        <f t="shared" si="2"/>
        <v>16</v>
      </c>
      <c r="B20" s="132">
        <v>46024.0</v>
      </c>
      <c r="C20" s="238">
        <v>4.1364774E7</v>
      </c>
      <c r="D20" s="238" t="s">
        <v>1025</v>
      </c>
      <c r="E20" s="303" t="s">
        <v>1026</v>
      </c>
      <c r="F20" s="168" t="s">
        <v>1027</v>
      </c>
      <c r="G20" s="154">
        <v>9.83630248E8</v>
      </c>
      <c r="H20" s="242" t="s">
        <v>104</v>
      </c>
      <c r="I20" s="243"/>
      <c r="J20" s="242">
        <v>0.0</v>
      </c>
      <c r="K20" s="242"/>
      <c r="L20" s="154"/>
      <c r="M20" s="154"/>
      <c r="N20" s="244">
        <v>0.0</v>
      </c>
      <c r="O20" s="244"/>
      <c r="P20" s="245"/>
      <c r="Q20" s="278">
        <f t="shared" si="1"/>
        <v>0</v>
      </c>
      <c r="R20" s="229" t="s">
        <v>977</v>
      </c>
      <c r="S20" s="211"/>
      <c r="T20" s="297"/>
    </row>
    <row r="21" ht="21.75" customHeight="1">
      <c r="A21" s="228">
        <f t="shared" si="2"/>
        <v>17</v>
      </c>
      <c r="B21" s="192">
        <v>46024.0</v>
      </c>
      <c r="C21" s="151">
        <v>7.3487354E7</v>
      </c>
      <c r="D21" s="240" t="s">
        <v>1028</v>
      </c>
      <c r="E21" s="168" t="s">
        <v>1029</v>
      </c>
      <c r="F21" s="168" t="s">
        <v>1030</v>
      </c>
      <c r="G21" s="154" t="s">
        <v>1031</v>
      </c>
      <c r="H21" s="242" t="s">
        <v>104</v>
      </c>
      <c r="I21" s="243"/>
      <c r="J21" s="242" t="s">
        <v>1032</v>
      </c>
      <c r="K21" s="242"/>
      <c r="L21" s="154" t="s">
        <v>80</v>
      </c>
      <c r="M21" s="154" t="s">
        <v>98</v>
      </c>
      <c r="N21" s="244">
        <v>180.0</v>
      </c>
      <c r="O21" s="244"/>
      <c r="P21" s="245" t="s">
        <v>49</v>
      </c>
      <c r="Q21" s="278">
        <f t="shared" si="1"/>
        <v>180</v>
      </c>
      <c r="R21" s="229"/>
      <c r="S21" s="211"/>
      <c r="T21" s="297"/>
    </row>
    <row r="22" ht="21.75" customHeight="1">
      <c r="A22" s="228">
        <f t="shared" si="2"/>
        <v>18</v>
      </c>
      <c r="B22" s="132">
        <v>46026.0</v>
      </c>
      <c r="C22" s="151">
        <v>4.2048172E7</v>
      </c>
      <c r="D22" s="240" t="s">
        <v>162</v>
      </c>
      <c r="E22" s="168" t="s">
        <v>1033</v>
      </c>
      <c r="F22" s="168" t="s">
        <v>1034</v>
      </c>
      <c r="G22" s="154" t="s">
        <v>1035</v>
      </c>
      <c r="H22" s="242" t="s">
        <v>104</v>
      </c>
      <c r="I22" s="243"/>
      <c r="J22" s="242">
        <v>0.0</v>
      </c>
      <c r="K22" s="242"/>
      <c r="L22" s="154"/>
      <c r="M22" s="154"/>
      <c r="N22" s="244">
        <v>0.0</v>
      </c>
      <c r="O22" s="244"/>
      <c r="P22" s="245"/>
      <c r="Q22" s="278">
        <f t="shared" si="1"/>
        <v>0</v>
      </c>
      <c r="R22" s="229" t="s">
        <v>977</v>
      </c>
      <c r="S22" s="211"/>
      <c r="T22" s="297"/>
    </row>
    <row r="23" ht="21.75" customHeight="1">
      <c r="A23" s="228">
        <f t="shared" si="2"/>
        <v>19</v>
      </c>
      <c r="B23" s="132">
        <v>46027.0</v>
      </c>
      <c r="C23" s="151" t="s">
        <v>1036</v>
      </c>
      <c r="D23" s="240" t="s">
        <v>1037</v>
      </c>
      <c r="E23" s="168" t="s">
        <v>1038</v>
      </c>
      <c r="F23" s="168" t="s">
        <v>226</v>
      </c>
      <c r="G23" s="154" t="s">
        <v>1039</v>
      </c>
      <c r="H23" s="242" t="s">
        <v>104</v>
      </c>
      <c r="I23" s="243"/>
      <c r="J23" s="242">
        <v>0.0</v>
      </c>
      <c r="K23" s="242"/>
      <c r="L23" s="154"/>
      <c r="M23" s="154"/>
      <c r="N23" s="244">
        <v>0.0</v>
      </c>
      <c r="O23" s="244"/>
      <c r="P23" s="245"/>
      <c r="Q23" s="278">
        <f t="shared" si="1"/>
        <v>0</v>
      </c>
      <c r="R23" s="229" t="s">
        <v>977</v>
      </c>
      <c r="S23" s="211"/>
      <c r="T23" s="297"/>
    </row>
    <row r="24" ht="21.75" customHeight="1">
      <c r="A24" s="228">
        <f t="shared" si="2"/>
        <v>20</v>
      </c>
      <c r="B24" s="192">
        <v>46027.0</v>
      </c>
      <c r="C24" s="151" t="s">
        <v>1040</v>
      </c>
      <c r="D24" s="240" t="s">
        <v>1041</v>
      </c>
      <c r="E24" s="168" t="s">
        <v>1042</v>
      </c>
      <c r="F24" s="168" t="s">
        <v>1043</v>
      </c>
      <c r="G24" s="154" t="s">
        <v>1044</v>
      </c>
      <c r="H24" s="242" t="s">
        <v>104</v>
      </c>
      <c r="I24" s="243"/>
      <c r="J24" s="242" t="s">
        <v>1032</v>
      </c>
      <c r="K24" s="242"/>
      <c r="L24" s="154" t="s">
        <v>80</v>
      </c>
      <c r="M24" s="154" t="s">
        <v>98</v>
      </c>
      <c r="N24" s="244">
        <v>100.0</v>
      </c>
      <c r="O24" s="244"/>
      <c r="P24" s="245" t="s">
        <v>49</v>
      </c>
      <c r="Q24" s="278">
        <f t="shared" si="1"/>
        <v>100</v>
      </c>
      <c r="R24" s="229"/>
      <c r="S24" s="211"/>
      <c r="T24" s="297"/>
    </row>
    <row r="25" ht="21.75" customHeight="1">
      <c r="A25" s="228">
        <f t="shared" si="2"/>
        <v>21</v>
      </c>
      <c r="B25" s="192">
        <v>46030.0</v>
      </c>
      <c r="C25" s="89" t="s">
        <v>1045</v>
      </c>
      <c r="D25" s="240" t="s">
        <v>1046</v>
      </c>
      <c r="E25" s="168" t="s">
        <v>1047</v>
      </c>
      <c r="F25" s="168" t="s">
        <v>537</v>
      </c>
      <c r="G25" s="154" t="s">
        <v>1048</v>
      </c>
      <c r="H25" s="242"/>
      <c r="I25" s="243"/>
      <c r="J25" s="242" t="s">
        <v>1032</v>
      </c>
      <c r="K25" s="242"/>
      <c r="L25" s="154" t="s">
        <v>80</v>
      </c>
      <c r="M25" s="154" t="s">
        <v>81</v>
      </c>
      <c r="N25" s="244">
        <v>180.0</v>
      </c>
      <c r="O25" s="244"/>
      <c r="P25" s="245" t="s">
        <v>49</v>
      </c>
      <c r="Q25" s="278">
        <f t="shared" si="1"/>
        <v>180</v>
      </c>
      <c r="R25" s="229"/>
      <c r="S25" s="211"/>
      <c r="T25" s="297"/>
    </row>
    <row r="26" ht="21.75" customHeight="1">
      <c r="A26" s="228">
        <f t="shared" si="2"/>
        <v>22</v>
      </c>
      <c r="B26" s="132">
        <v>46030.0</v>
      </c>
      <c r="C26" s="286">
        <v>7.7087419E7</v>
      </c>
      <c r="D26" s="304" t="s">
        <v>1049</v>
      </c>
      <c r="E26" s="150" t="s">
        <v>1050</v>
      </c>
      <c r="F26" s="304"/>
      <c r="G26" s="154" t="s">
        <v>1051</v>
      </c>
      <c r="H26" s="242"/>
      <c r="I26" s="242" t="s">
        <v>104</v>
      </c>
      <c r="J26" s="242"/>
      <c r="K26" s="242"/>
      <c r="L26" s="154"/>
      <c r="M26" s="154"/>
      <c r="N26" s="244"/>
      <c r="O26" s="244"/>
      <c r="P26" s="245"/>
      <c r="Q26" s="278">
        <f t="shared" si="1"/>
        <v>0</v>
      </c>
      <c r="R26" s="229"/>
      <c r="S26" s="211"/>
      <c r="T26" s="297"/>
    </row>
    <row r="27" ht="21.75" customHeight="1">
      <c r="A27" s="228">
        <f t="shared" si="2"/>
        <v>23</v>
      </c>
      <c r="B27" s="132">
        <v>46030.0</v>
      </c>
      <c r="C27" s="151">
        <v>7.6785683E7</v>
      </c>
      <c r="D27" s="240" t="s">
        <v>1052</v>
      </c>
      <c r="E27" s="168" t="s">
        <v>1053</v>
      </c>
      <c r="F27" s="168" t="s">
        <v>1054</v>
      </c>
      <c r="G27" s="154" t="s">
        <v>1055</v>
      </c>
      <c r="H27" s="242"/>
      <c r="I27" s="242" t="s">
        <v>104</v>
      </c>
      <c r="J27" s="242">
        <v>0.0</v>
      </c>
      <c r="K27" s="242"/>
      <c r="L27" s="154" t="s">
        <v>80</v>
      </c>
      <c r="M27" s="154"/>
      <c r="N27" s="244">
        <v>0.0</v>
      </c>
      <c r="O27" s="244"/>
      <c r="P27" s="245"/>
      <c r="Q27" s="278">
        <f t="shared" si="1"/>
        <v>0</v>
      </c>
      <c r="R27" s="229" t="s">
        <v>977</v>
      </c>
      <c r="S27" s="211"/>
      <c r="T27" s="297"/>
    </row>
    <row r="28" ht="21.75" customHeight="1">
      <c r="A28" s="228">
        <f t="shared" si="2"/>
        <v>24</v>
      </c>
      <c r="B28" s="192">
        <v>46032.0</v>
      </c>
      <c r="C28" s="151">
        <v>2.6728586E7</v>
      </c>
      <c r="D28" s="240" t="s">
        <v>1056</v>
      </c>
      <c r="E28" s="168" t="s">
        <v>1057</v>
      </c>
      <c r="F28" s="168" t="s">
        <v>131</v>
      </c>
      <c r="G28" s="154" t="s">
        <v>1058</v>
      </c>
      <c r="H28" s="242"/>
      <c r="I28" s="242" t="s">
        <v>104</v>
      </c>
      <c r="J28" s="242" t="s">
        <v>1059</v>
      </c>
      <c r="K28" s="242"/>
      <c r="L28" s="154" t="s">
        <v>80</v>
      </c>
      <c r="M28" s="154" t="s">
        <v>98</v>
      </c>
      <c r="N28" s="244">
        <v>160.0</v>
      </c>
      <c r="O28" s="244"/>
      <c r="P28" s="245" t="s">
        <v>49</v>
      </c>
      <c r="Q28" s="278">
        <f t="shared" si="1"/>
        <v>160</v>
      </c>
      <c r="R28" s="229"/>
      <c r="S28" s="211"/>
      <c r="T28" s="297"/>
    </row>
    <row r="29" ht="21.75" customHeight="1">
      <c r="A29" s="228">
        <f t="shared" si="2"/>
        <v>25</v>
      </c>
      <c r="B29" s="192">
        <v>46032.0</v>
      </c>
      <c r="C29" s="89">
        <v>7.1131738E7</v>
      </c>
      <c r="D29" s="240" t="s">
        <v>1060</v>
      </c>
      <c r="E29" s="131" t="s">
        <v>1061</v>
      </c>
      <c r="F29" s="89" t="s">
        <v>1062</v>
      </c>
      <c r="G29" s="154" t="s">
        <v>1063</v>
      </c>
      <c r="H29" s="242"/>
      <c r="I29" s="242" t="s">
        <v>104</v>
      </c>
      <c r="J29" s="242" t="s">
        <v>1032</v>
      </c>
      <c r="K29" s="242"/>
      <c r="L29" s="154" t="s">
        <v>80</v>
      </c>
      <c r="M29" s="154"/>
      <c r="N29" s="244">
        <v>180.0</v>
      </c>
      <c r="O29" s="244"/>
      <c r="P29" s="245" t="s">
        <v>49</v>
      </c>
      <c r="Q29" s="278">
        <f t="shared" si="1"/>
        <v>180</v>
      </c>
      <c r="R29" s="229"/>
      <c r="S29" s="211"/>
      <c r="T29" s="297"/>
    </row>
    <row r="30" ht="21.75" customHeight="1">
      <c r="A30" s="228">
        <f t="shared" si="2"/>
        <v>26</v>
      </c>
      <c r="B30" s="86">
        <v>46034.0</v>
      </c>
      <c r="C30" s="151">
        <v>1.0741489142E10</v>
      </c>
      <c r="D30" s="240" t="s">
        <v>1064</v>
      </c>
      <c r="E30" s="168" t="s">
        <v>1065</v>
      </c>
      <c r="F30" s="168" t="s">
        <v>1066</v>
      </c>
      <c r="G30" s="155" t="s">
        <v>1067</v>
      </c>
      <c r="H30" s="305"/>
      <c r="I30" s="242" t="s">
        <v>104</v>
      </c>
      <c r="J30" s="242">
        <v>180.0</v>
      </c>
      <c r="K30" s="242"/>
      <c r="L30" s="154" t="s">
        <v>80</v>
      </c>
      <c r="M30" s="154" t="s">
        <v>81</v>
      </c>
      <c r="N30" s="244">
        <v>180.0</v>
      </c>
      <c r="O30" s="244"/>
      <c r="P30" s="245" t="s">
        <v>45</v>
      </c>
      <c r="Q30" s="278">
        <f t="shared" si="1"/>
        <v>180</v>
      </c>
      <c r="R30" s="229"/>
      <c r="S30" s="211"/>
      <c r="T30" s="297"/>
    </row>
    <row r="31" ht="21.75" customHeight="1">
      <c r="A31" s="228">
        <f t="shared" si="2"/>
        <v>27</v>
      </c>
      <c r="B31" s="132">
        <v>46035.0</v>
      </c>
      <c r="C31" s="149">
        <v>1.0719169E7</v>
      </c>
      <c r="D31" s="238" t="s">
        <v>1068</v>
      </c>
      <c r="E31" s="179" t="s">
        <v>1069</v>
      </c>
      <c r="F31" s="304" t="s">
        <v>1013</v>
      </c>
      <c r="G31" s="149">
        <v>9.90494288E8</v>
      </c>
      <c r="H31" s="81"/>
      <c r="I31" s="79" t="s">
        <v>104</v>
      </c>
      <c r="J31" s="79">
        <v>0.0</v>
      </c>
      <c r="K31" s="79"/>
      <c r="L31" s="79" t="s">
        <v>80</v>
      </c>
      <c r="M31" s="79"/>
      <c r="N31" s="82">
        <v>0.0</v>
      </c>
      <c r="O31" s="227"/>
      <c r="P31" s="82"/>
      <c r="Q31" s="278">
        <f t="shared" si="1"/>
        <v>0</v>
      </c>
      <c r="R31" s="84"/>
      <c r="S31" s="211"/>
      <c r="T31" s="297"/>
    </row>
    <row r="32" ht="21.75" customHeight="1">
      <c r="A32" s="233" t="s">
        <v>79</v>
      </c>
      <c r="B32" s="192">
        <v>46035.0</v>
      </c>
      <c r="C32" s="89">
        <v>7.0919834E7</v>
      </c>
      <c r="D32" s="89" t="s">
        <v>1070</v>
      </c>
      <c r="E32" s="130" t="s">
        <v>1071</v>
      </c>
      <c r="F32" s="89" t="s">
        <v>1072</v>
      </c>
      <c r="G32" s="154" t="s">
        <v>1073</v>
      </c>
      <c r="H32" s="242"/>
      <c r="I32" s="242" t="s">
        <v>104</v>
      </c>
      <c r="J32" s="242">
        <v>180.0</v>
      </c>
      <c r="K32" s="242"/>
      <c r="L32" s="154" t="s">
        <v>80</v>
      </c>
      <c r="M32" s="154" t="s">
        <v>164</v>
      </c>
      <c r="N32" s="244">
        <v>180.0</v>
      </c>
      <c r="O32" s="244"/>
      <c r="P32" s="245" t="s">
        <v>49</v>
      </c>
      <c r="Q32" s="278">
        <f t="shared" si="1"/>
        <v>180</v>
      </c>
      <c r="R32" s="229"/>
      <c r="S32" s="211"/>
      <c r="T32" s="297"/>
    </row>
    <row r="33" ht="21.75" customHeight="1">
      <c r="A33" s="233" t="s">
        <v>79</v>
      </c>
      <c r="B33" s="87"/>
      <c r="C33" s="151"/>
      <c r="D33" s="240" t="s">
        <v>1074</v>
      </c>
      <c r="E33" s="168" t="s">
        <v>1075</v>
      </c>
      <c r="F33" s="168"/>
      <c r="G33" s="154" t="s">
        <v>1076</v>
      </c>
      <c r="H33" s="242" t="s">
        <v>104</v>
      </c>
      <c r="I33" s="243"/>
      <c r="J33" s="242">
        <v>0.0</v>
      </c>
      <c r="K33" s="242"/>
      <c r="L33" s="154"/>
      <c r="M33" s="154">
        <v>0.0</v>
      </c>
      <c r="N33" s="244">
        <v>0.0</v>
      </c>
      <c r="O33" s="244"/>
      <c r="P33" s="245"/>
      <c r="Q33" s="278">
        <f t="shared" si="1"/>
        <v>0</v>
      </c>
      <c r="R33" s="229" t="s">
        <v>1077</v>
      </c>
      <c r="S33" s="211"/>
      <c r="T33" s="297"/>
    </row>
    <row r="34" ht="21.75" customHeight="1">
      <c r="A34" s="233" t="s">
        <v>79</v>
      </c>
      <c r="B34" s="192">
        <v>46040.0</v>
      </c>
      <c r="C34" s="151">
        <v>7.147478E7</v>
      </c>
      <c r="D34" s="240" t="s">
        <v>1078</v>
      </c>
      <c r="E34" s="168" t="s">
        <v>1079</v>
      </c>
      <c r="F34" s="168" t="s">
        <v>1080</v>
      </c>
      <c r="G34" s="154" t="s">
        <v>1081</v>
      </c>
      <c r="H34" s="242"/>
      <c r="I34" s="242" t="s">
        <v>104</v>
      </c>
      <c r="J34" s="242">
        <v>180.0</v>
      </c>
      <c r="K34" s="242"/>
      <c r="L34" s="154" t="s">
        <v>80</v>
      </c>
      <c r="M34" s="154" t="s">
        <v>81</v>
      </c>
      <c r="N34" s="244">
        <v>180.0</v>
      </c>
      <c r="O34" s="244"/>
      <c r="P34" s="245" t="s">
        <v>49</v>
      </c>
      <c r="Q34" s="278">
        <f t="shared" si="1"/>
        <v>180</v>
      </c>
      <c r="R34" s="229"/>
      <c r="S34" s="211"/>
      <c r="T34" s="297"/>
    </row>
    <row r="35" ht="21.75" customHeight="1">
      <c r="A35" s="233" t="s">
        <v>79</v>
      </c>
      <c r="B35" s="192">
        <v>46042.0</v>
      </c>
      <c r="C35" s="151">
        <v>4.2944658E7</v>
      </c>
      <c r="D35" s="240" t="s">
        <v>1082</v>
      </c>
      <c r="E35" s="168" t="s">
        <v>1083</v>
      </c>
      <c r="F35" s="168" t="s">
        <v>1084</v>
      </c>
      <c r="G35" s="154" t="s">
        <v>1085</v>
      </c>
      <c r="H35" s="242"/>
      <c r="I35" s="242" t="s">
        <v>104</v>
      </c>
      <c r="J35" s="242">
        <v>180.0</v>
      </c>
      <c r="K35" s="242"/>
      <c r="L35" s="154" t="s">
        <v>80</v>
      </c>
      <c r="M35" s="154" t="s">
        <v>81</v>
      </c>
      <c r="N35" s="244">
        <v>180.0</v>
      </c>
      <c r="O35" s="244"/>
      <c r="P35" s="245" t="s">
        <v>49</v>
      </c>
      <c r="Q35" s="278">
        <f t="shared" si="1"/>
        <v>180</v>
      </c>
      <c r="R35" s="229"/>
      <c r="S35" s="211"/>
      <c r="T35" s="297"/>
    </row>
    <row r="36" ht="21.75" customHeight="1">
      <c r="A36" s="234">
        <v>1.0</v>
      </c>
      <c r="B36" s="192">
        <v>46042.0</v>
      </c>
      <c r="C36" s="79">
        <v>4.1229116E7</v>
      </c>
      <c r="D36" s="232" t="s">
        <v>1086</v>
      </c>
      <c r="E36" s="226" t="s">
        <v>1087</v>
      </c>
      <c r="F36" s="79" t="s">
        <v>1088</v>
      </c>
      <c r="G36" s="79" t="s">
        <v>1089</v>
      </c>
      <c r="H36" s="81"/>
      <c r="I36" s="242" t="s">
        <v>104</v>
      </c>
      <c r="J36" s="242">
        <v>180.0</v>
      </c>
      <c r="K36" s="79"/>
      <c r="L36" s="79" t="s">
        <v>80</v>
      </c>
      <c r="M36" s="79" t="s">
        <v>81</v>
      </c>
      <c r="N36" s="244">
        <v>180.0</v>
      </c>
      <c r="O36" s="227"/>
      <c r="P36" s="245" t="s">
        <v>49</v>
      </c>
      <c r="Q36" s="278">
        <f t="shared" si="1"/>
        <v>180</v>
      </c>
      <c r="R36" s="84"/>
      <c r="S36" s="211"/>
      <c r="T36" s="297"/>
    </row>
    <row r="37" ht="21.75" customHeight="1">
      <c r="A37" s="235">
        <f t="shared" ref="A37:A62" si="3">A36+1</f>
        <v>2</v>
      </c>
      <c r="B37" s="87"/>
      <c r="C37" s="151"/>
      <c r="D37" s="240"/>
      <c r="E37" s="168"/>
      <c r="F37" s="168"/>
      <c r="G37" s="154"/>
      <c r="H37" s="242"/>
      <c r="I37" s="243"/>
      <c r="J37" s="242"/>
      <c r="K37" s="242"/>
      <c r="L37" s="154"/>
      <c r="M37" s="154"/>
      <c r="N37" s="244"/>
      <c r="O37" s="244"/>
      <c r="P37" s="245"/>
      <c r="Q37" s="278">
        <f t="shared" si="1"/>
        <v>0</v>
      </c>
      <c r="R37" s="229"/>
      <c r="S37" s="211"/>
      <c r="T37" s="297"/>
    </row>
    <row r="38" ht="21.75" customHeight="1">
      <c r="A38" s="235">
        <f t="shared" si="3"/>
        <v>3</v>
      </c>
      <c r="B38" s="132">
        <v>46035.0</v>
      </c>
      <c r="C38" s="151">
        <v>7.2505663E7</v>
      </c>
      <c r="D38" s="240" t="s">
        <v>1090</v>
      </c>
      <c r="E38" s="168" t="s">
        <v>1091</v>
      </c>
      <c r="F38" s="168" t="s">
        <v>226</v>
      </c>
      <c r="G38" s="154"/>
      <c r="H38" s="242"/>
      <c r="I38" s="242" t="s">
        <v>104</v>
      </c>
      <c r="J38" s="242">
        <v>180.0</v>
      </c>
      <c r="K38" s="242"/>
      <c r="L38" s="154" t="s">
        <v>80</v>
      </c>
      <c r="M38" s="154" t="s">
        <v>81</v>
      </c>
      <c r="N38" s="244">
        <v>180.0</v>
      </c>
      <c r="O38" s="244"/>
      <c r="P38" s="245" t="s">
        <v>44</v>
      </c>
      <c r="Q38" s="278">
        <f t="shared" si="1"/>
        <v>180</v>
      </c>
      <c r="R38" s="229"/>
      <c r="S38" s="211"/>
      <c r="T38" s="297"/>
    </row>
    <row r="39" ht="21.75" customHeight="1">
      <c r="A39" s="235">
        <f t="shared" si="3"/>
        <v>4</v>
      </c>
      <c r="B39" s="87"/>
      <c r="C39" s="151"/>
      <c r="D39" s="240"/>
      <c r="E39" s="168"/>
      <c r="F39" s="168"/>
      <c r="G39" s="154"/>
      <c r="H39" s="242"/>
      <c r="I39" s="243"/>
      <c r="J39" s="242"/>
      <c r="K39" s="242"/>
      <c r="L39" s="154"/>
      <c r="M39" s="154"/>
      <c r="N39" s="244"/>
      <c r="O39" s="244"/>
      <c r="P39" s="245"/>
      <c r="Q39" s="278">
        <f t="shared" si="1"/>
        <v>0</v>
      </c>
      <c r="R39" s="229"/>
      <c r="S39" s="211"/>
      <c r="T39" s="297"/>
    </row>
    <row r="40" ht="21.75" customHeight="1">
      <c r="A40" s="235">
        <f t="shared" si="3"/>
        <v>5</v>
      </c>
      <c r="B40" s="87"/>
      <c r="C40" s="151"/>
      <c r="D40" s="240" t="s">
        <v>1092</v>
      </c>
      <c r="E40" s="168" t="s">
        <v>1093</v>
      </c>
      <c r="F40" s="168"/>
      <c r="G40" s="154" t="s">
        <v>1094</v>
      </c>
      <c r="H40" s="242"/>
      <c r="I40" s="242" t="s">
        <v>104</v>
      </c>
      <c r="J40" s="242">
        <v>0.0</v>
      </c>
      <c r="K40" s="242"/>
      <c r="L40" s="154"/>
      <c r="M40" s="154"/>
      <c r="N40" s="244">
        <v>0.0</v>
      </c>
      <c r="O40" s="244"/>
      <c r="P40" s="245"/>
      <c r="Q40" s="278">
        <f t="shared" si="1"/>
        <v>0</v>
      </c>
      <c r="R40" s="229" t="s">
        <v>1077</v>
      </c>
      <c r="S40" s="211"/>
      <c r="T40" s="297"/>
    </row>
    <row r="41" ht="21.75" customHeight="1">
      <c r="A41" s="235">
        <f t="shared" si="3"/>
        <v>6</v>
      </c>
      <c r="B41" s="87"/>
      <c r="C41" s="151"/>
      <c r="D41" s="240"/>
      <c r="E41" s="168"/>
      <c r="F41" s="168"/>
      <c r="G41" s="154"/>
      <c r="H41" s="242"/>
      <c r="I41" s="243"/>
      <c r="J41" s="242"/>
      <c r="K41" s="242"/>
      <c r="L41" s="154"/>
      <c r="M41" s="154"/>
      <c r="N41" s="244"/>
      <c r="O41" s="244"/>
      <c r="P41" s="245"/>
      <c r="Q41" s="278">
        <f t="shared" si="1"/>
        <v>0</v>
      </c>
      <c r="R41" s="229"/>
      <c r="S41" s="211"/>
      <c r="T41" s="297"/>
    </row>
    <row r="42" ht="21.75" customHeight="1">
      <c r="A42" s="235">
        <f t="shared" si="3"/>
        <v>7</v>
      </c>
      <c r="B42" s="87"/>
      <c r="C42" s="151"/>
      <c r="D42" s="240"/>
      <c r="E42" s="168"/>
      <c r="F42" s="168"/>
      <c r="G42" s="154"/>
      <c r="H42" s="242"/>
      <c r="I42" s="243"/>
      <c r="J42" s="242"/>
      <c r="K42" s="242"/>
      <c r="L42" s="154"/>
      <c r="M42" s="154"/>
      <c r="N42" s="244"/>
      <c r="O42" s="244"/>
      <c r="P42" s="245"/>
      <c r="Q42" s="278">
        <f t="shared" si="1"/>
        <v>0</v>
      </c>
      <c r="R42" s="229"/>
      <c r="S42" s="211"/>
      <c r="T42" s="297"/>
    </row>
    <row r="43" ht="21.75" customHeight="1">
      <c r="A43" s="235">
        <f t="shared" si="3"/>
        <v>8</v>
      </c>
      <c r="B43" s="87"/>
      <c r="C43" s="151"/>
      <c r="D43" s="240"/>
      <c r="E43" s="168"/>
      <c r="F43" s="168"/>
      <c r="G43" s="154"/>
      <c r="H43" s="242"/>
      <c r="I43" s="243"/>
      <c r="J43" s="242"/>
      <c r="K43" s="242"/>
      <c r="L43" s="154"/>
      <c r="M43" s="154"/>
      <c r="N43" s="244"/>
      <c r="O43" s="244"/>
      <c r="P43" s="245"/>
      <c r="Q43" s="278">
        <f t="shared" si="1"/>
        <v>0</v>
      </c>
      <c r="R43" s="229"/>
      <c r="S43" s="211"/>
      <c r="T43" s="297"/>
    </row>
    <row r="44" ht="21.75" customHeight="1">
      <c r="A44" s="235">
        <f t="shared" si="3"/>
        <v>9</v>
      </c>
      <c r="B44" s="87"/>
      <c r="C44" s="151"/>
      <c r="D44" s="240"/>
      <c r="E44" s="168"/>
      <c r="F44" s="168"/>
      <c r="G44" s="154"/>
      <c r="H44" s="242"/>
      <c r="I44" s="243"/>
      <c r="J44" s="242"/>
      <c r="K44" s="242"/>
      <c r="L44" s="154"/>
      <c r="M44" s="154"/>
      <c r="N44" s="244"/>
      <c r="O44" s="244"/>
      <c r="P44" s="245"/>
      <c r="Q44" s="278">
        <f t="shared" si="1"/>
        <v>0</v>
      </c>
      <c r="R44" s="229"/>
      <c r="S44" s="211"/>
      <c r="T44" s="297"/>
    </row>
    <row r="45" ht="21.75" customHeight="1">
      <c r="A45" s="235">
        <f t="shared" si="3"/>
        <v>10</v>
      </c>
      <c r="B45" s="87"/>
      <c r="C45" s="151"/>
      <c r="D45" s="240"/>
      <c r="E45" s="168"/>
      <c r="F45" s="168"/>
      <c r="G45" s="154"/>
      <c r="H45" s="242"/>
      <c r="I45" s="243"/>
      <c r="J45" s="242"/>
      <c r="K45" s="242"/>
      <c r="L45" s="154"/>
      <c r="M45" s="154"/>
      <c r="N45" s="244"/>
      <c r="O45" s="244"/>
      <c r="P45" s="245"/>
      <c r="Q45" s="278">
        <f t="shared" si="1"/>
        <v>0</v>
      </c>
      <c r="R45" s="229"/>
      <c r="S45" s="211"/>
      <c r="T45" s="297"/>
    </row>
    <row r="46" ht="21.75" customHeight="1">
      <c r="A46" s="235">
        <f t="shared" si="3"/>
        <v>11</v>
      </c>
      <c r="B46" s="87"/>
      <c r="C46" s="151"/>
      <c r="D46" s="240"/>
      <c r="E46" s="168"/>
      <c r="F46" s="168"/>
      <c r="G46" s="154"/>
      <c r="H46" s="242"/>
      <c r="I46" s="243"/>
      <c r="J46" s="242"/>
      <c r="K46" s="242"/>
      <c r="L46" s="154"/>
      <c r="M46" s="154"/>
      <c r="N46" s="244"/>
      <c r="O46" s="244"/>
      <c r="P46" s="245"/>
      <c r="Q46" s="278">
        <f t="shared" si="1"/>
        <v>0</v>
      </c>
      <c r="R46" s="229"/>
      <c r="S46" s="211"/>
      <c r="T46" s="297"/>
    </row>
    <row r="47" ht="21.75" customHeight="1">
      <c r="A47" s="235">
        <f t="shared" si="3"/>
        <v>12</v>
      </c>
      <c r="B47" s="87"/>
      <c r="C47" s="151"/>
      <c r="D47" s="240"/>
      <c r="E47" s="168"/>
      <c r="F47" s="168"/>
      <c r="G47" s="154"/>
      <c r="H47" s="242"/>
      <c r="I47" s="243"/>
      <c r="J47" s="242"/>
      <c r="K47" s="242"/>
      <c r="L47" s="154"/>
      <c r="M47" s="154"/>
      <c r="N47" s="244"/>
      <c r="O47" s="244"/>
      <c r="P47" s="245"/>
      <c r="Q47" s="278">
        <f t="shared" si="1"/>
        <v>0</v>
      </c>
      <c r="R47" s="229"/>
      <c r="S47" s="211"/>
      <c r="T47" s="297"/>
    </row>
    <row r="48" ht="21.75" customHeight="1">
      <c r="A48" s="235">
        <f t="shared" si="3"/>
        <v>13</v>
      </c>
      <c r="B48" s="87"/>
      <c r="C48" s="151"/>
      <c r="D48" s="240"/>
      <c r="E48" s="168"/>
      <c r="F48" s="168"/>
      <c r="G48" s="154"/>
      <c r="H48" s="242"/>
      <c r="I48" s="243"/>
      <c r="J48" s="242"/>
      <c r="K48" s="242"/>
      <c r="L48" s="154"/>
      <c r="M48" s="154"/>
      <c r="N48" s="244"/>
      <c r="O48" s="244"/>
      <c r="P48" s="245"/>
      <c r="Q48" s="278">
        <f t="shared" si="1"/>
        <v>0</v>
      </c>
      <c r="R48" s="229"/>
      <c r="S48" s="211"/>
      <c r="T48" s="297"/>
    </row>
    <row r="49" ht="21.75" customHeight="1">
      <c r="A49" s="235">
        <f t="shared" si="3"/>
        <v>14</v>
      </c>
      <c r="B49" s="87"/>
      <c r="C49" s="151"/>
      <c r="D49" s="240"/>
      <c r="E49" s="168"/>
      <c r="F49" s="168"/>
      <c r="G49" s="154"/>
      <c r="H49" s="242"/>
      <c r="I49" s="243"/>
      <c r="J49" s="242"/>
      <c r="K49" s="242"/>
      <c r="L49" s="154"/>
      <c r="M49" s="154"/>
      <c r="N49" s="244"/>
      <c r="O49" s="244"/>
      <c r="P49" s="245"/>
      <c r="Q49" s="278">
        <f t="shared" si="1"/>
        <v>0</v>
      </c>
      <c r="R49" s="229"/>
      <c r="S49" s="211"/>
      <c r="T49" s="297"/>
    </row>
    <row r="50" ht="21.75" customHeight="1">
      <c r="A50" s="235">
        <f t="shared" si="3"/>
        <v>15</v>
      </c>
      <c r="B50" s="87"/>
      <c r="C50" s="151"/>
      <c r="D50" s="240"/>
      <c r="E50" s="168"/>
      <c r="F50" s="168"/>
      <c r="G50" s="154"/>
      <c r="H50" s="242"/>
      <c r="I50" s="243"/>
      <c r="J50" s="242"/>
      <c r="K50" s="242"/>
      <c r="L50" s="154"/>
      <c r="M50" s="154"/>
      <c r="N50" s="244"/>
      <c r="O50" s="244"/>
      <c r="P50" s="245"/>
      <c r="Q50" s="278">
        <f t="shared" si="1"/>
        <v>0</v>
      </c>
      <c r="R50" s="229"/>
      <c r="S50" s="211"/>
      <c r="T50" s="297"/>
    </row>
    <row r="51" ht="21.75" customHeight="1">
      <c r="A51" s="235">
        <f t="shared" si="3"/>
        <v>16</v>
      </c>
      <c r="B51" s="87"/>
      <c r="C51" s="151"/>
      <c r="D51" s="240"/>
      <c r="E51" s="168"/>
      <c r="F51" s="168"/>
      <c r="G51" s="154"/>
      <c r="H51" s="242"/>
      <c r="I51" s="243"/>
      <c r="J51" s="242"/>
      <c r="K51" s="242"/>
      <c r="L51" s="154"/>
      <c r="M51" s="154"/>
      <c r="N51" s="244"/>
      <c r="O51" s="244"/>
      <c r="P51" s="245"/>
      <c r="Q51" s="278">
        <f t="shared" si="1"/>
        <v>0</v>
      </c>
      <c r="R51" s="229"/>
      <c r="S51" s="211"/>
      <c r="T51" s="297"/>
    </row>
    <row r="52" ht="21.75" customHeight="1">
      <c r="A52" s="235">
        <f t="shared" si="3"/>
        <v>17</v>
      </c>
      <c r="B52" s="87"/>
      <c r="C52" s="151"/>
      <c r="D52" s="240"/>
      <c r="E52" s="168"/>
      <c r="F52" s="168"/>
      <c r="G52" s="154"/>
      <c r="H52" s="242"/>
      <c r="I52" s="243"/>
      <c r="J52" s="242"/>
      <c r="K52" s="242"/>
      <c r="L52" s="154"/>
      <c r="M52" s="154"/>
      <c r="N52" s="244"/>
      <c r="O52" s="244"/>
      <c r="P52" s="245"/>
      <c r="Q52" s="278">
        <f t="shared" si="1"/>
        <v>0</v>
      </c>
      <c r="R52" s="229"/>
      <c r="S52" s="211"/>
      <c r="T52" s="297"/>
    </row>
    <row r="53" ht="21.75" customHeight="1">
      <c r="A53" s="235">
        <f t="shared" si="3"/>
        <v>18</v>
      </c>
      <c r="B53" s="87"/>
      <c r="C53" s="151"/>
      <c r="D53" s="240"/>
      <c r="E53" s="168"/>
      <c r="F53" s="168"/>
      <c r="G53" s="154"/>
      <c r="H53" s="242"/>
      <c r="I53" s="243"/>
      <c r="J53" s="242"/>
      <c r="K53" s="242"/>
      <c r="L53" s="154"/>
      <c r="M53" s="154"/>
      <c r="N53" s="244"/>
      <c r="O53" s="244"/>
      <c r="P53" s="245"/>
      <c r="Q53" s="278">
        <f t="shared" si="1"/>
        <v>0</v>
      </c>
      <c r="R53" s="229"/>
      <c r="S53" s="211"/>
      <c r="T53" s="297"/>
    </row>
    <row r="54" ht="21.75" customHeight="1">
      <c r="A54" s="235">
        <f t="shared" si="3"/>
        <v>19</v>
      </c>
      <c r="B54" s="87"/>
      <c r="C54" s="151"/>
      <c r="D54" s="240"/>
      <c r="E54" s="168"/>
      <c r="F54" s="168"/>
      <c r="G54" s="154"/>
      <c r="H54" s="242"/>
      <c r="I54" s="243"/>
      <c r="J54" s="242"/>
      <c r="K54" s="242"/>
      <c r="L54" s="154"/>
      <c r="M54" s="154"/>
      <c r="N54" s="244"/>
      <c r="O54" s="244"/>
      <c r="P54" s="245"/>
      <c r="Q54" s="278">
        <f t="shared" si="1"/>
        <v>0</v>
      </c>
      <c r="R54" s="229"/>
      <c r="S54" s="211"/>
      <c r="T54" s="297"/>
    </row>
    <row r="55" ht="21.75" customHeight="1">
      <c r="A55" s="235">
        <f t="shared" si="3"/>
        <v>20</v>
      </c>
      <c r="B55" s="87"/>
      <c r="C55" s="151"/>
      <c r="D55" s="240"/>
      <c r="E55" s="168"/>
      <c r="F55" s="168"/>
      <c r="G55" s="154"/>
      <c r="H55" s="242"/>
      <c r="I55" s="243"/>
      <c r="J55" s="242"/>
      <c r="K55" s="242"/>
      <c r="L55" s="154"/>
      <c r="M55" s="154"/>
      <c r="N55" s="244"/>
      <c r="O55" s="244"/>
      <c r="P55" s="245"/>
      <c r="Q55" s="278">
        <f t="shared" si="1"/>
        <v>0</v>
      </c>
      <c r="R55" s="229"/>
      <c r="S55" s="211"/>
      <c r="T55" s="297"/>
    </row>
    <row r="56" ht="21.75" customHeight="1">
      <c r="A56" s="235">
        <f t="shared" si="3"/>
        <v>21</v>
      </c>
      <c r="B56" s="87"/>
      <c r="C56" s="151"/>
      <c r="D56" s="240"/>
      <c r="E56" s="168"/>
      <c r="F56" s="168"/>
      <c r="G56" s="154"/>
      <c r="H56" s="242"/>
      <c r="I56" s="243"/>
      <c r="J56" s="242"/>
      <c r="K56" s="242"/>
      <c r="L56" s="154"/>
      <c r="M56" s="154"/>
      <c r="N56" s="244"/>
      <c r="O56" s="244"/>
      <c r="P56" s="245"/>
      <c r="Q56" s="278">
        <f t="shared" si="1"/>
        <v>0</v>
      </c>
      <c r="R56" s="229"/>
      <c r="S56" s="211"/>
      <c r="T56" s="297"/>
    </row>
    <row r="57" ht="21.75" customHeight="1">
      <c r="A57" s="235">
        <f t="shared" si="3"/>
        <v>22</v>
      </c>
      <c r="B57" s="87"/>
      <c r="C57" s="151"/>
      <c r="D57" s="240"/>
      <c r="E57" s="168"/>
      <c r="F57" s="168"/>
      <c r="G57" s="154"/>
      <c r="H57" s="242"/>
      <c r="I57" s="243"/>
      <c r="J57" s="242"/>
      <c r="K57" s="242"/>
      <c r="L57" s="154"/>
      <c r="M57" s="154"/>
      <c r="N57" s="244"/>
      <c r="O57" s="244"/>
      <c r="P57" s="245"/>
      <c r="Q57" s="278">
        <f t="shared" si="1"/>
        <v>0</v>
      </c>
      <c r="R57" s="229"/>
      <c r="S57" s="211"/>
      <c r="T57" s="297"/>
    </row>
    <row r="58" ht="21.75" customHeight="1">
      <c r="A58" s="235">
        <f t="shared" si="3"/>
        <v>23</v>
      </c>
      <c r="B58" s="87"/>
      <c r="C58" s="151"/>
      <c r="D58" s="240"/>
      <c r="E58" s="168"/>
      <c r="F58" s="168"/>
      <c r="G58" s="154"/>
      <c r="H58" s="242"/>
      <c r="I58" s="243"/>
      <c r="J58" s="242"/>
      <c r="K58" s="242"/>
      <c r="L58" s="154"/>
      <c r="M58" s="154"/>
      <c r="N58" s="244"/>
      <c r="O58" s="244"/>
      <c r="P58" s="245"/>
      <c r="Q58" s="278">
        <f t="shared" si="1"/>
        <v>0</v>
      </c>
      <c r="R58" s="229"/>
      <c r="S58" s="211"/>
      <c r="T58" s="297"/>
    </row>
    <row r="59" ht="21.75" customHeight="1">
      <c r="A59" s="235">
        <f t="shared" si="3"/>
        <v>24</v>
      </c>
      <c r="B59" s="87"/>
      <c r="C59" s="151"/>
      <c r="D59" s="240"/>
      <c r="E59" s="168"/>
      <c r="F59" s="168"/>
      <c r="G59" s="154"/>
      <c r="H59" s="242"/>
      <c r="I59" s="243"/>
      <c r="J59" s="242"/>
      <c r="K59" s="242"/>
      <c r="L59" s="154"/>
      <c r="M59" s="154"/>
      <c r="N59" s="244"/>
      <c r="O59" s="244"/>
      <c r="P59" s="245"/>
      <c r="Q59" s="278">
        <f t="shared" si="1"/>
        <v>0</v>
      </c>
      <c r="R59" s="229"/>
      <c r="S59" s="211"/>
      <c r="T59" s="297"/>
    </row>
    <row r="60" ht="21.75" customHeight="1">
      <c r="A60" s="235">
        <f t="shared" si="3"/>
        <v>25</v>
      </c>
      <c r="B60" s="87"/>
      <c r="C60" s="151"/>
      <c r="D60" s="240"/>
      <c r="E60" s="168"/>
      <c r="F60" s="168"/>
      <c r="G60" s="154"/>
      <c r="H60" s="242"/>
      <c r="I60" s="243"/>
      <c r="J60" s="242"/>
      <c r="K60" s="242"/>
      <c r="L60" s="154"/>
      <c r="M60" s="154"/>
      <c r="N60" s="244"/>
      <c r="O60" s="244"/>
      <c r="P60" s="245"/>
      <c r="Q60" s="278">
        <f t="shared" si="1"/>
        <v>0</v>
      </c>
      <c r="R60" s="229"/>
      <c r="S60" s="211"/>
      <c r="T60" s="297"/>
    </row>
    <row r="61">
      <c r="A61" s="235">
        <f t="shared" si="3"/>
        <v>26</v>
      </c>
      <c r="B61" s="87"/>
      <c r="C61" s="151"/>
      <c r="D61" s="240"/>
      <c r="E61" s="168"/>
      <c r="F61" s="168"/>
      <c r="G61" s="154"/>
      <c r="H61" s="242"/>
      <c r="I61" s="243"/>
      <c r="J61" s="242"/>
      <c r="K61" s="242"/>
      <c r="L61" s="154"/>
      <c r="M61" s="154"/>
      <c r="N61" s="244"/>
      <c r="O61" s="244"/>
      <c r="P61" s="245"/>
      <c r="Q61" s="278">
        <f t="shared" si="1"/>
        <v>0</v>
      </c>
      <c r="R61" s="229"/>
      <c r="S61" s="211"/>
      <c r="T61" s="297"/>
    </row>
    <row r="62" ht="21.75" customHeight="1">
      <c r="A62" s="235">
        <f t="shared" si="3"/>
        <v>27</v>
      </c>
      <c r="B62" s="87"/>
      <c r="C62" s="79"/>
      <c r="D62" s="232"/>
      <c r="E62" s="226"/>
      <c r="F62" s="79"/>
      <c r="G62" s="79"/>
      <c r="H62" s="81"/>
      <c r="I62" s="79"/>
      <c r="J62" s="79"/>
      <c r="K62" s="79"/>
      <c r="L62" s="79"/>
      <c r="M62" s="79"/>
      <c r="N62" s="82"/>
      <c r="O62" s="227"/>
      <c r="P62" s="82"/>
      <c r="Q62" s="278">
        <f t="shared" si="1"/>
        <v>0</v>
      </c>
      <c r="R62" s="84" t="s">
        <v>74</v>
      </c>
      <c r="S62" s="211"/>
      <c r="T62" s="297"/>
    </row>
    <row r="63" ht="21.75" customHeight="1">
      <c r="A63" s="233" t="s">
        <v>79</v>
      </c>
      <c r="B63" s="87"/>
      <c r="C63" s="151"/>
      <c r="D63" s="240"/>
      <c r="E63" s="168"/>
      <c r="F63" s="168"/>
      <c r="G63" s="154"/>
      <c r="H63" s="242"/>
      <c r="I63" s="243"/>
      <c r="J63" s="242"/>
      <c r="K63" s="242"/>
      <c r="L63" s="154"/>
      <c r="M63" s="154"/>
      <c r="N63" s="244"/>
      <c r="O63" s="244"/>
      <c r="P63" s="245"/>
      <c r="Q63" s="278">
        <f t="shared" si="1"/>
        <v>0</v>
      </c>
      <c r="R63" s="229"/>
      <c r="S63" s="211"/>
      <c r="T63" s="297"/>
    </row>
    <row r="64" ht="21.75" customHeight="1">
      <c r="A64" s="233" t="s">
        <v>79</v>
      </c>
      <c r="B64" s="87"/>
      <c r="C64" s="151"/>
      <c r="D64" s="240"/>
      <c r="E64" s="168"/>
      <c r="F64" s="168"/>
      <c r="G64" s="154"/>
      <c r="H64" s="242"/>
      <c r="I64" s="243"/>
      <c r="J64" s="242"/>
      <c r="K64" s="242"/>
      <c r="L64" s="154"/>
      <c r="M64" s="154"/>
      <c r="N64" s="244"/>
      <c r="O64" s="244"/>
      <c r="P64" s="245"/>
      <c r="Q64" s="278">
        <f t="shared" si="1"/>
        <v>0</v>
      </c>
      <c r="R64" s="229"/>
      <c r="S64" s="211"/>
      <c r="T64" s="297"/>
    </row>
    <row r="65" ht="21.75" customHeight="1">
      <c r="A65" s="233" t="s">
        <v>79</v>
      </c>
      <c r="B65" s="87"/>
      <c r="C65" s="151"/>
      <c r="D65" s="240"/>
      <c r="E65" s="168"/>
      <c r="F65" s="168"/>
      <c r="G65" s="154"/>
      <c r="H65" s="242"/>
      <c r="I65" s="243"/>
      <c r="J65" s="242"/>
      <c r="K65" s="242"/>
      <c r="L65" s="154"/>
      <c r="M65" s="154"/>
      <c r="N65" s="244"/>
      <c r="O65" s="244"/>
      <c r="P65" s="245"/>
      <c r="Q65" s="278">
        <f t="shared" si="1"/>
        <v>0</v>
      </c>
      <c r="R65" s="229"/>
      <c r="S65" s="211"/>
      <c r="T65" s="297"/>
    </row>
    <row r="66" ht="21.75" customHeight="1">
      <c r="A66" s="233" t="s">
        <v>79</v>
      </c>
      <c r="B66" s="87"/>
      <c r="C66" s="151"/>
      <c r="D66" s="240"/>
      <c r="E66" s="168"/>
      <c r="F66" s="168"/>
      <c r="G66" s="154"/>
      <c r="H66" s="242"/>
      <c r="I66" s="243"/>
      <c r="J66" s="242"/>
      <c r="K66" s="242"/>
      <c r="L66" s="154"/>
      <c r="M66" s="154"/>
      <c r="N66" s="244"/>
      <c r="O66" s="244"/>
      <c r="P66" s="245"/>
      <c r="Q66" s="278">
        <f t="shared" si="1"/>
        <v>0</v>
      </c>
      <c r="R66" s="229"/>
      <c r="S66" s="211"/>
      <c r="T66" s="297"/>
    </row>
    <row r="67" ht="21.75" customHeight="1">
      <c r="A67" s="247"/>
      <c r="B67" s="248"/>
      <c r="C67" s="247"/>
      <c r="D67" s="247"/>
      <c r="E67" s="247"/>
      <c r="F67" s="247"/>
      <c r="G67" s="249" t="s">
        <v>178</v>
      </c>
      <c r="H67" s="250">
        <f t="shared" ref="H67:I67" si="4">COUNTIF(H4:H66,"X")</f>
        <v>21</v>
      </c>
      <c r="I67" s="250">
        <f t="shared" si="4"/>
        <v>12</v>
      </c>
      <c r="J67" s="251">
        <f t="shared" ref="J67:K67" si="5">SUM(J4:J66)</f>
        <v>1080</v>
      </c>
      <c r="K67" s="251">
        <f t="shared" si="5"/>
        <v>0</v>
      </c>
      <c r="L67" s="290"/>
      <c r="M67" s="247"/>
      <c r="N67" s="251">
        <f t="shared" ref="N67:O67" si="6">SUM(N4:N66)</f>
        <v>1880</v>
      </c>
      <c r="O67" s="251">
        <f t="shared" si="6"/>
        <v>0</v>
      </c>
      <c r="P67" s="247"/>
      <c r="Q67" s="247"/>
      <c r="R67" s="247"/>
      <c r="S67" s="212"/>
      <c r="T67" s="105"/>
    </row>
    <row r="68" ht="19.5" customHeight="1">
      <c r="A68" s="105"/>
      <c r="B68" s="255"/>
      <c r="C68" s="105"/>
      <c r="D68" s="105"/>
      <c r="E68" s="105"/>
      <c r="F68" s="105"/>
      <c r="G68" s="256" t="s">
        <v>179</v>
      </c>
      <c r="H68" s="257">
        <v>27.0</v>
      </c>
      <c r="I68" s="257">
        <v>27.0</v>
      </c>
      <c r="J68" s="258">
        <f>SUM(J67:K67)</f>
        <v>1080</v>
      </c>
      <c r="K68" s="103"/>
      <c r="L68" s="105"/>
      <c r="M68" s="105"/>
      <c r="N68" s="258">
        <f>SUM(N67:O67)</f>
        <v>1880</v>
      </c>
      <c r="O68" s="103"/>
      <c r="P68" s="105"/>
      <c r="Q68" s="105"/>
      <c r="R68" s="105"/>
      <c r="S68" s="212"/>
      <c r="T68" s="105"/>
    </row>
    <row r="69" ht="19.5" customHeight="1">
      <c r="A69" s="105"/>
      <c r="B69" s="255"/>
      <c r="C69" s="105"/>
      <c r="D69" s="105"/>
      <c r="E69" s="105"/>
      <c r="F69" s="105"/>
      <c r="G69" s="260" t="s">
        <v>180</v>
      </c>
      <c r="H69" s="261">
        <f t="shared" ref="H69:I69" si="7">H68-H67</f>
        <v>6</v>
      </c>
      <c r="I69" s="261">
        <f t="shared" si="7"/>
        <v>15</v>
      </c>
      <c r="J69" s="262" t="s">
        <v>181</v>
      </c>
      <c r="K69" s="109"/>
      <c r="L69" s="105"/>
      <c r="M69" s="105"/>
      <c r="N69" s="262" t="s">
        <v>182</v>
      </c>
      <c r="O69" s="109"/>
      <c r="P69" s="263"/>
      <c r="Q69" s="263"/>
      <c r="R69" s="105"/>
      <c r="S69" s="212"/>
      <c r="T69" s="105"/>
    </row>
    <row r="70" ht="19.5" customHeight="1">
      <c r="A70" s="105"/>
      <c r="B70" s="255"/>
      <c r="C70" s="105"/>
      <c r="D70" s="105"/>
      <c r="E70" s="105"/>
      <c r="F70" s="105"/>
      <c r="G70" s="105"/>
      <c r="H70" s="264">
        <v>150.0</v>
      </c>
      <c r="I70" s="264">
        <v>150.0</v>
      </c>
      <c r="J70" s="105"/>
      <c r="K70" s="105"/>
      <c r="L70" s="105"/>
      <c r="M70" s="105"/>
      <c r="N70" s="263"/>
      <c r="O70" s="263"/>
      <c r="P70" s="263"/>
      <c r="Q70" s="263"/>
      <c r="R70" s="105"/>
      <c r="S70" s="212"/>
      <c r="T70" s="297" t="s">
        <v>68</v>
      </c>
    </row>
    <row r="71" ht="19.5" customHeight="1">
      <c r="A71" s="105"/>
      <c r="B71" s="255"/>
      <c r="C71" s="105"/>
      <c r="D71" s="105"/>
      <c r="E71" s="105"/>
      <c r="F71" s="105"/>
      <c r="G71" s="105"/>
      <c r="H71" s="265">
        <f t="shared" ref="H71:I71" si="8">H69*H70</f>
        <v>900</v>
      </c>
      <c r="I71" s="265">
        <f t="shared" si="8"/>
        <v>2250</v>
      </c>
      <c r="J71" s="105"/>
      <c r="K71" s="105"/>
      <c r="L71" s="105"/>
      <c r="M71" s="105"/>
      <c r="N71" s="263"/>
      <c r="O71" s="263"/>
      <c r="P71" s="263"/>
      <c r="Q71" s="263"/>
      <c r="R71" s="105"/>
      <c r="S71" s="212"/>
      <c r="T71" s="105"/>
    </row>
    <row r="72" ht="19.5" customHeight="1">
      <c r="A72" s="105"/>
      <c r="B72" s="255"/>
      <c r="C72" s="105"/>
      <c r="D72" s="105"/>
      <c r="E72" s="105"/>
      <c r="F72" s="105"/>
      <c r="G72" s="105"/>
      <c r="H72" s="266">
        <f>SUM(H71:I71)</f>
        <v>3150</v>
      </c>
      <c r="I72" s="109"/>
      <c r="J72" s="105"/>
      <c r="K72" s="105"/>
      <c r="L72" s="105"/>
      <c r="M72" s="105"/>
      <c r="N72" s="263"/>
      <c r="O72" s="263"/>
      <c r="P72" s="263"/>
      <c r="Q72" s="263"/>
      <c r="R72" s="105"/>
      <c r="S72" s="212"/>
      <c r="T72" s="105"/>
    </row>
    <row r="73" ht="19.5" customHeight="1">
      <c r="A73" s="105"/>
      <c r="B73" s="25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212"/>
      <c r="T73" s="105"/>
    </row>
    <row r="74" ht="19.5" customHeight="1">
      <c r="A74" s="105"/>
      <c r="B74" s="25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212"/>
      <c r="T74" s="105"/>
    </row>
    <row r="75" ht="19.5" customHeight="1">
      <c r="A75" s="105"/>
      <c r="B75" s="25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212"/>
      <c r="T75" s="105"/>
    </row>
    <row r="76" ht="19.5" customHeight="1">
      <c r="A76" s="105"/>
      <c r="B76" s="25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212"/>
      <c r="T76" s="105"/>
    </row>
  </sheetData>
  <customSheetViews>
    <customSheetView guid="{BD076BCF-39B8-44C5-BF95-7B82C910DEB0}" filter="1" showAutoFilter="1">
      <autoFilter ref="$A$4:$T$72"/>
    </customSheetView>
    <customSheetView guid="{BA335440-5B37-4C05-BCDC-9CD4D4923240}" filter="1" showAutoFilter="1">
      <autoFilter ref="$A$1:$T$76"/>
    </customSheetView>
    <customSheetView guid="{E5EE51B3-DE45-4D2E-9071-A5BED79D171F}" filter="1" showAutoFilter="1">
      <autoFilter ref="$A$2:$T$76"/>
    </customSheetView>
    <customSheetView guid="{A9B8627E-26B2-4201-803A-467C3700F329}" filter="1" showAutoFilter="1">
      <autoFilter ref="$A$2:$T$76"/>
    </customSheetView>
  </customSheetViews>
  <mergeCells count="8">
    <mergeCell ref="A2:M2"/>
    <mergeCell ref="A3:F3"/>
    <mergeCell ref="G3:I3"/>
    <mergeCell ref="J68:K68"/>
    <mergeCell ref="N68:O68"/>
    <mergeCell ref="J69:K69"/>
    <mergeCell ref="N69:O69"/>
    <mergeCell ref="H72:I72"/>
  </mergeCells>
  <conditionalFormatting sqref="M5:M66 R5:R66 L49:L51">
    <cfRule type="containsText" dxfId="3" priority="1" operator="containsText" text="fh">
      <formula>NOT(ISERROR(SEARCH(("fh"),(M5))))</formula>
    </cfRule>
  </conditionalFormatting>
  <conditionalFormatting sqref="L1 L4:L66 M4 N8:O14 N16:O18 O36:O37 N37 N45:O55 L68:L71 L73:L76">
    <cfRule type="containsText" dxfId="0" priority="2" operator="containsText" text="COBR">
      <formula>NOT(ISERROR(SEARCH(("COBR"),(L1))))</formula>
    </cfRule>
  </conditionalFormatting>
  <conditionalFormatting sqref="L1 L4:L66 M4 N8:O14 N16:O18 O36:O37 N37 N45:O55 L68:L71 L73:L76">
    <cfRule type="containsText" dxfId="1" priority="3" operator="containsText" text="INTE">
      <formula>NOT(ISERROR(SEARCH(("INTE"),(L1))))</formula>
    </cfRule>
  </conditionalFormatting>
  <conditionalFormatting sqref="L1 L4:L66 M4 J68 L68:L71 N68 L73:L76">
    <cfRule type="containsText" dxfId="2" priority="4" operator="containsText" text="DESC">
      <formula>NOT(ISERROR(SEARCH(("DESC"),(L1))))</formula>
    </cfRule>
  </conditionalFormatting>
  <dataValidations>
    <dataValidation type="list" allowBlank="1" showErrorMessage="1" sqref="M5:M66">
      <formula1>CUENTAS</formula1>
    </dataValidation>
    <dataValidation type="list" allowBlank="1" showErrorMessage="1" sqref="P5:P66">
      <formula1>VENDEDOR</formula1>
    </dataValidation>
    <dataValidation type="list" allowBlank="1" showErrorMessage="1" sqref="L5:L66">
      <formula1>SITUACION</formula1>
    </dataValidation>
  </dataValidations>
  <hyperlinks>
    <hyperlink r:id="rId1" ref="E7"/>
    <hyperlink r:id="rId2" ref="E12"/>
    <hyperlink r:id="rId3" ref="E20"/>
    <hyperlink r:id="rId4" ref="E26"/>
    <hyperlink r:id="rId5" ref="E29"/>
    <hyperlink r:id="rId6" ref="E31"/>
  </hyperlinks>
  <printOptions gridLines="1" horizontalCentered="1"/>
  <pageMargins bottom="0.6" footer="0.0" header="0.0" left="0.18446313842671508" right="0.1947110905615326" top="0.21520699483116765"/>
  <pageSetup fitToHeight="0" paperSize="9" cellComments="atEnd" orientation="landscape" pageOrder="overThenDown"/>
  <drawing r:id="rId7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13.13"/>
    <col customWidth="1" min="4" max="4" width="30.38"/>
    <col customWidth="1" min="5" max="6" width="19.5"/>
    <col customWidth="1" min="7" max="7" width="18.63"/>
    <col customWidth="1" min="8" max="8" width="11.75"/>
    <col customWidth="1" min="9" max="9" width="10.63"/>
    <col customWidth="1" min="10" max="11" width="12.63"/>
    <col customWidth="1" min="12" max="12" width="14.38"/>
    <col customWidth="1" min="13" max="13" width="14.75"/>
    <col customWidth="1" min="14" max="15" width="12.63"/>
    <col customWidth="1" min="16" max="19" width="21.63"/>
    <col customWidth="1" min="20" max="20" width="2.25"/>
  </cols>
  <sheetData>
    <row r="1" ht="19.5" customHeight="1">
      <c r="A1" s="55"/>
      <c r="B1" s="56"/>
      <c r="C1" s="57"/>
      <c r="D1" s="139"/>
      <c r="E1" s="115"/>
      <c r="F1" s="115"/>
      <c r="G1" s="57"/>
      <c r="H1" s="57"/>
      <c r="I1" s="57"/>
      <c r="J1" s="57"/>
      <c r="K1" s="57"/>
      <c r="L1" s="57"/>
      <c r="M1" s="115"/>
      <c r="N1" s="1"/>
      <c r="O1" s="1"/>
      <c r="P1" s="1"/>
      <c r="Q1" s="1"/>
      <c r="R1" s="1"/>
      <c r="S1" s="1"/>
      <c r="T1" s="1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62"/>
      <c r="O2" s="63"/>
      <c r="P2" s="63"/>
      <c r="Q2" s="63"/>
      <c r="R2" s="63"/>
      <c r="S2" s="63"/>
      <c r="T2" s="1"/>
    </row>
    <row r="3" ht="30.75" customHeight="1">
      <c r="A3" s="117" t="s">
        <v>28</v>
      </c>
      <c r="B3" s="60"/>
      <c r="C3" s="60"/>
      <c r="D3" s="60"/>
      <c r="E3" s="60"/>
      <c r="F3" s="60"/>
      <c r="G3" s="67" t="s">
        <v>28</v>
      </c>
      <c r="H3" s="60"/>
      <c r="I3" s="60"/>
      <c r="J3" s="60"/>
      <c r="K3" s="67"/>
      <c r="L3" s="67"/>
      <c r="M3" s="68"/>
      <c r="N3" s="69"/>
      <c r="O3" s="70"/>
      <c r="P3" s="70"/>
      <c r="Q3" s="70"/>
      <c r="R3" s="70"/>
      <c r="S3" s="63"/>
      <c r="T3" s="1"/>
    </row>
    <row r="4" ht="27.0" customHeight="1">
      <c r="A4" s="73" t="s">
        <v>0</v>
      </c>
      <c r="B4" s="219" t="s">
        <v>7</v>
      </c>
      <c r="C4" s="73" t="s">
        <v>1095</v>
      </c>
      <c r="D4" s="73" t="s">
        <v>1096</v>
      </c>
      <c r="E4" s="73" t="s">
        <v>10</v>
      </c>
      <c r="F4" s="73" t="s">
        <v>11</v>
      </c>
      <c r="G4" s="73" t="s">
        <v>12</v>
      </c>
      <c r="H4" s="220"/>
      <c r="I4" s="220"/>
      <c r="J4" s="221" t="s">
        <v>15</v>
      </c>
      <c r="K4" s="221" t="s">
        <v>16</v>
      </c>
      <c r="L4" s="221" t="s">
        <v>17</v>
      </c>
      <c r="M4" s="221" t="s">
        <v>18</v>
      </c>
      <c r="N4" s="222" t="s">
        <v>19</v>
      </c>
      <c r="O4" s="222" t="s">
        <v>20</v>
      </c>
      <c r="P4" s="222" t="s">
        <v>21</v>
      </c>
      <c r="Q4" s="222" t="s">
        <v>22</v>
      </c>
      <c r="R4" s="73" t="s">
        <v>74</v>
      </c>
      <c r="S4" s="62"/>
      <c r="T4" s="2"/>
    </row>
    <row r="5" ht="21.75" customHeight="1">
      <c r="A5" s="224">
        <v>1.0</v>
      </c>
      <c r="B5" s="88">
        <v>46045.0</v>
      </c>
      <c r="C5" s="79" t="s">
        <v>1097</v>
      </c>
      <c r="D5" s="232" t="s">
        <v>1098</v>
      </c>
      <c r="E5" s="226"/>
      <c r="F5" s="79" t="s">
        <v>983</v>
      </c>
      <c r="G5" s="79"/>
      <c r="H5" s="81" t="s">
        <v>104</v>
      </c>
      <c r="I5" s="79"/>
      <c r="J5" s="79">
        <v>1700.0</v>
      </c>
      <c r="K5" s="79">
        <v>720.0</v>
      </c>
      <c r="L5" s="79" t="s">
        <v>93</v>
      </c>
      <c r="M5" s="79" t="s">
        <v>174</v>
      </c>
      <c r="N5" s="82">
        <v>1700.0</v>
      </c>
      <c r="O5" s="227">
        <v>720.0</v>
      </c>
      <c r="P5" s="82" t="s">
        <v>47</v>
      </c>
      <c r="Q5" s="83">
        <f t="shared" ref="Q5:Q14" si="1">N5+O5</f>
        <v>2420</v>
      </c>
      <c r="R5" s="84"/>
      <c r="S5" s="62"/>
      <c r="T5" s="1"/>
    </row>
    <row r="6" ht="21.75" customHeight="1">
      <c r="A6" s="228">
        <f t="shared" ref="A6:A14" si="2">A5+1</f>
        <v>2</v>
      </c>
      <c r="B6" s="87">
        <v>46044.0</v>
      </c>
      <c r="C6" s="151" t="s">
        <v>1097</v>
      </c>
      <c r="D6" s="240" t="s">
        <v>1099</v>
      </c>
      <c r="E6" s="168"/>
      <c r="F6" s="168" t="s">
        <v>121</v>
      </c>
      <c r="G6" s="154"/>
      <c r="H6" s="242" t="s">
        <v>79</v>
      </c>
      <c r="I6" s="243"/>
      <c r="J6" s="242">
        <v>1724.0</v>
      </c>
      <c r="K6" s="242"/>
      <c r="L6" s="154" t="s">
        <v>80</v>
      </c>
      <c r="M6" s="154"/>
      <c r="N6" s="244">
        <v>1724.0</v>
      </c>
      <c r="O6" s="244"/>
      <c r="P6" s="245" t="s">
        <v>43</v>
      </c>
      <c r="Q6" s="83">
        <f t="shared" si="1"/>
        <v>1724</v>
      </c>
      <c r="R6" s="229"/>
      <c r="S6" s="62"/>
      <c r="T6" s="122"/>
    </row>
    <row r="7" ht="21.75" customHeight="1">
      <c r="A7" s="228">
        <f t="shared" si="2"/>
        <v>3</v>
      </c>
      <c r="B7" s="87"/>
      <c r="C7" s="151"/>
      <c r="D7" s="240" t="s">
        <v>1100</v>
      </c>
      <c r="E7" s="168"/>
      <c r="F7" s="168"/>
      <c r="G7" s="154"/>
      <c r="H7" s="242" t="s">
        <v>79</v>
      </c>
      <c r="I7" s="243"/>
      <c r="J7" s="242">
        <v>500.0</v>
      </c>
      <c r="K7" s="242"/>
      <c r="L7" s="154"/>
      <c r="M7" s="154"/>
      <c r="N7" s="244">
        <v>500.0</v>
      </c>
      <c r="O7" s="244"/>
      <c r="P7" s="245" t="s">
        <v>43</v>
      </c>
      <c r="Q7" s="83">
        <f t="shared" si="1"/>
        <v>500</v>
      </c>
      <c r="R7" s="229"/>
      <c r="S7" s="62"/>
      <c r="T7" s="122"/>
    </row>
    <row r="8" ht="21.75" customHeight="1">
      <c r="A8" s="228">
        <f t="shared" si="2"/>
        <v>4</v>
      </c>
      <c r="B8" s="87"/>
      <c r="C8" s="151"/>
      <c r="D8" s="240"/>
      <c r="E8" s="168"/>
      <c r="F8" s="168"/>
      <c r="G8" s="154"/>
      <c r="H8" s="242"/>
      <c r="I8" s="243"/>
      <c r="J8" s="242"/>
      <c r="K8" s="242"/>
      <c r="L8" s="154"/>
      <c r="M8" s="154"/>
      <c r="N8" s="244"/>
      <c r="O8" s="244"/>
      <c r="P8" s="245"/>
      <c r="Q8" s="83">
        <f t="shared" si="1"/>
        <v>0</v>
      </c>
      <c r="R8" s="229"/>
      <c r="S8" s="62"/>
      <c r="T8" s="122"/>
    </row>
    <row r="9" ht="21.75" customHeight="1">
      <c r="A9" s="228">
        <f t="shared" si="2"/>
        <v>5</v>
      </c>
      <c r="B9" s="87"/>
      <c r="C9" s="151"/>
      <c r="D9" s="240"/>
      <c r="E9" s="168"/>
      <c r="F9" s="168"/>
      <c r="G9" s="154"/>
      <c r="H9" s="242"/>
      <c r="I9" s="243"/>
      <c r="J9" s="242"/>
      <c r="K9" s="242"/>
      <c r="L9" s="154"/>
      <c r="M9" s="154"/>
      <c r="N9" s="244"/>
      <c r="O9" s="244"/>
      <c r="P9" s="245"/>
      <c r="Q9" s="83">
        <f t="shared" si="1"/>
        <v>0</v>
      </c>
      <c r="R9" s="229"/>
      <c r="S9" s="62"/>
      <c r="T9" s="122"/>
    </row>
    <row r="10" ht="21.75" customHeight="1">
      <c r="A10" s="228">
        <f t="shared" si="2"/>
        <v>6</v>
      </c>
      <c r="B10" s="87"/>
      <c r="C10" s="151"/>
      <c r="D10" s="240"/>
      <c r="E10" s="168"/>
      <c r="F10" s="168"/>
      <c r="G10" s="154"/>
      <c r="H10" s="242"/>
      <c r="I10" s="243"/>
      <c r="J10" s="242"/>
      <c r="K10" s="242"/>
      <c r="L10" s="154"/>
      <c r="M10" s="154"/>
      <c r="N10" s="244"/>
      <c r="O10" s="244"/>
      <c r="P10" s="245"/>
      <c r="Q10" s="83">
        <f t="shared" si="1"/>
        <v>0</v>
      </c>
      <c r="R10" s="229"/>
      <c r="S10" s="62"/>
      <c r="T10" s="122"/>
    </row>
    <row r="11" ht="21.75" customHeight="1">
      <c r="A11" s="228">
        <f t="shared" si="2"/>
        <v>7</v>
      </c>
      <c r="B11" s="87"/>
      <c r="C11" s="151"/>
      <c r="D11" s="240"/>
      <c r="E11" s="168"/>
      <c r="F11" s="168"/>
      <c r="G11" s="154"/>
      <c r="H11" s="242"/>
      <c r="I11" s="243"/>
      <c r="J11" s="242"/>
      <c r="K11" s="242"/>
      <c r="L11" s="154"/>
      <c r="M11" s="154"/>
      <c r="N11" s="244"/>
      <c r="O11" s="244"/>
      <c r="P11" s="245"/>
      <c r="Q11" s="83">
        <f t="shared" si="1"/>
        <v>0</v>
      </c>
      <c r="R11" s="229"/>
      <c r="S11" s="62"/>
      <c r="T11" s="122"/>
    </row>
    <row r="12" ht="21.75" customHeight="1">
      <c r="A12" s="228">
        <f t="shared" si="2"/>
        <v>8</v>
      </c>
      <c r="B12" s="87"/>
      <c r="C12" s="151"/>
      <c r="D12" s="240"/>
      <c r="E12" s="168"/>
      <c r="F12" s="241"/>
      <c r="G12" s="154"/>
      <c r="H12" s="242"/>
      <c r="I12" s="243"/>
      <c r="J12" s="242"/>
      <c r="K12" s="242"/>
      <c r="L12" s="154"/>
      <c r="M12" s="154"/>
      <c r="N12" s="244"/>
      <c r="O12" s="244"/>
      <c r="P12" s="245"/>
      <c r="Q12" s="83">
        <f t="shared" si="1"/>
        <v>0</v>
      </c>
      <c r="R12" s="229"/>
      <c r="S12" s="62"/>
      <c r="T12" s="122"/>
    </row>
    <row r="13" ht="21.75" customHeight="1">
      <c r="A13" s="228">
        <f t="shared" si="2"/>
        <v>9</v>
      </c>
      <c r="B13" s="87"/>
      <c r="C13" s="151"/>
      <c r="D13" s="240"/>
      <c r="E13" s="168"/>
      <c r="F13" s="168"/>
      <c r="G13" s="154"/>
      <c r="H13" s="242"/>
      <c r="I13" s="243"/>
      <c r="J13" s="242"/>
      <c r="K13" s="242"/>
      <c r="L13" s="154"/>
      <c r="M13" s="154"/>
      <c r="N13" s="244"/>
      <c r="O13" s="244"/>
      <c r="P13" s="245"/>
      <c r="Q13" s="83">
        <f t="shared" si="1"/>
        <v>0</v>
      </c>
      <c r="R13" s="229"/>
      <c r="S13" s="62"/>
      <c r="T13" s="122"/>
    </row>
    <row r="14" ht="21.75" customHeight="1">
      <c r="A14" s="228">
        <f t="shared" si="2"/>
        <v>10</v>
      </c>
      <c r="B14" s="87"/>
      <c r="C14" s="151"/>
      <c r="D14" s="240"/>
      <c r="E14" s="168"/>
      <c r="F14" s="168"/>
      <c r="G14" s="154"/>
      <c r="H14" s="242"/>
      <c r="I14" s="243"/>
      <c r="J14" s="242"/>
      <c r="K14" s="242"/>
      <c r="L14" s="154"/>
      <c r="M14" s="154"/>
      <c r="N14" s="244"/>
      <c r="O14" s="244"/>
      <c r="P14" s="245"/>
      <c r="Q14" s="83">
        <f t="shared" si="1"/>
        <v>0</v>
      </c>
      <c r="R14" s="229"/>
      <c r="S14" s="62"/>
      <c r="T14" s="122"/>
    </row>
    <row r="15" ht="21.75" customHeight="1">
      <c r="A15" s="95"/>
      <c r="B15" s="95"/>
      <c r="C15" s="95"/>
      <c r="D15" s="95"/>
      <c r="E15" s="95"/>
      <c r="F15" s="95"/>
      <c r="G15" s="96" t="s">
        <v>178</v>
      </c>
      <c r="H15" s="97">
        <f t="shared" ref="H15:I15" si="3">COUNTIF(H4:H14,"X")</f>
        <v>3</v>
      </c>
      <c r="I15" s="97">
        <f t="shared" si="3"/>
        <v>0</v>
      </c>
      <c r="J15" s="98">
        <f t="shared" ref="J15:K15" si="4">SUM(J4:J14)</f>
        <v>3924</v>
      </c>
      <c r="K15" s="98">
        <f t="shared" si="4"/>
        <v>720</v>
      </c>
      <c r="L15" s="50"/>
      <c r="M15" s="134"/>
      <c r="N15" s="98">
        <f t="shared" ref="N15:O15" si="5">SUM(N4:N14)</f>
        <v>3924</v>
      </c>
      <c r="O15" s="98">
        <f t="shared" si="5"/>
        <v>720</v>
      </c>
      <c r="P15" s="95"/>
      <c r="Q15" s="95"/>
      <c r="R15" s="134"/>
      <c r="S15" s="63"/>
      <c r="T15" s="1"/>
    </row>
    <row r="16" ht="19.5" customHeight="1">
      <c r="A16" s="2"/>
      <c r="B16" s="2"/>
      <c r="C16" s="2"/>
      <c r="D16" s="2"/>
      <c r="E16" s="2"/>
      <c r="F16" s="2"/>
      <c r="G16" s="100" t="s">
        <v>179</v>
      </c>
      <c r="H16" s="101">
        <v>28.0</v>
      </c>
      <c r="I16" s="101">
        <v>28.0</v>
      </c>
      <c r="J16" s="102">
        <f>SUM(J15:K15)</f>
        <v>4644</v>
      </c>
      <c r="K16" s="103"/>
      <c r="L16" s="2"/>
      <c r="M16" s="1"/>
      <c r="N16" s="102">
        <f>SUM(N15:O15)</f>
        <v>4644</v>
      </c>
      <c r="O16" s="103"/>
      <c r="P16" s="95"/>
      <c r="Q16" s="95"/>
      <c r="R16" s="1"/>
      <c r="S16" s="63"/>
      <c r="T16" s="1"/>
    </row>
    <row r="17" ht="19.5" customHeight="1">
      <c r="A17" s="2"/>
      <c r="B17" s="104"/>
      <c r="C17" s="2"/>
      <c r="D17" s="169"/>
      <c r="E17" s="1"/>
      <c r="F17" s="1"/>
      <c r="G17" s="106" t="s">
        <v>180</v>
      </c>
      <c r="H17" s="107">
        <f t="shared" ref="H17:I17" si="6">H16-H15</f>
        <v>25</v>
      </c>
      <c r="I17" s="107">
        <f t="shared" si="6"/>
        <v>28</v>
      </c>
      <c r="J17" s="108" t="s">
        <v>181</v>
      </c>
      <c r="K17" s="109"/>
      <c r="L17" s="2"/>
      <c r="M17" s="1"/>
      <c r="N17" s="108" t="s">
        <v>182</v>
      </c>
      <c r="O17" s="109"/>
      <c r="P17" s="95"/>
      <c r="Q17" s="95"/>
      <c r="R17" s="1"/>
      <c r="S17" s="63"/>
      <c r="T17" s="1"/>
    </row>
    <row r="18" ht="19.5" customHeight="1">
      <c r="A18" s="2"/>
      <c r="B18" s="104"/>
      <c r="C18" s="2"/>
      <c r="D18" s="169"/>
      <c r="E18" s="1"/>
      <c r="F18" s="1"/>
      <c r="G18" s="2"/>
      <c r="H18" s="110">
        <v>140.0</v>
      </c>
      <c r="I18" s="110">
        <v>140.0</v>
      </c>
      <c r="J18" s="2"/>
      <c r="K18" s="2"/>
      <c r="L18" s="2"/>
      <c r="M18" s="1"/>
      <c r="N18" s="104"/>
      <c r="O18" s="104"/>
      <c r="P18" s="95"/>
      <c r="Q18" s="95"/>
      <c r="R18" s="1"/>
      <c r="S18" s="63"/>
      <c r="T18" s="122" t="s">
        <v>68</v>
      </c>
    </row>
    <row r="19" ht="19.5" customHeight="1">
      <c r="A19" s="2"/>
      <c r="B19" s="104"/>
      <c r="C19" s="2"/>
      <c r="D19" s="169"/>
      <c r="E19" s="1"/>
      <c r="F19" s="1"/>
      <c r="G19" s="2"/>
      <c r="H19" s="111">
        <f t="shared" ref="H19:I19" si="7">H17*H18</f>
        <v>3500</v>
      </c>
      <c r="I19" s="111">
        <f t="shared" si="7"/>
        <v>3920</v>
      </c>
      <c r="J19" s="2"/>
      <c r="K19" s="2"/>
      <c r="L19" s="2"/>
      <c r="M19" s="1"/>
      <c r="N19" s="104"/>
      <c r="O19" s="104"/>
      <c r="P19" s="95"/>
      <c r="Q19" s="95"/>
      <c r="R19" s="1"/>
      <c r="S19" s="63"/>
      <c r="T19" s="1"/>
    </row>
    <row r="20" ht="19.5" customHeight="1">
      <c r="A20" s="2"/>
      <c r="B20" s="104"/>
      <c r="C20" s="2"/>
      <c r="D20" s="169"/>
      <c r="E20" s="1"/>
      <c r="F20" s="1"/>
      <c r="G20" s="2"/>
      <c r="H20" s="112">
        <f>H19+I19</f>
        <v>7420</v>
      </c>
      <c r="I20" s="109"/>
      <c r="J20" s="2"/>
      <c r="K20" s="2"/>
      <c r="L20" s="2"/>
      <c r="M20" s="1"/>
      <c r="N20" s="104"/>
      <c r="O20" s="104"/>
      <c r="P20" s="95"/>
      <c r="Q20" s="95"/>
      <c r="R20" s="1"/>
      <c r="S20" s="63"/>
      <c r="T20" s="1"/>
    </row>
    <row r="21" ht="19.5" customHeight="1">
      <c r="A21" s="2"/>
      <c r="B21" s="104"/>
      <c r="C21" s="2"/>
      <c r="D21" s="169"/>
      <c r="E21" s="1"/>
      <c r="F21" s="1"/>
      <c r="G21" s="2"/>
      <c r="H21" s="2"/>
      <c r="I21" s="2"/>
      <c r="J21" s="2"/>
      <c r="K21" s="2"/>
      <c r="L21" s="2"/>
      <c r="M21" s="1"/>
      <c r="N21" s="1"/>
      <c r="O21" s="1"/>
      <c r="P21" s="95"/>
      <c r="Q21" s="95"/>
      <c r="R21" s="1"/>
      <c r="S21" s="63"/>
      <c r="T21" s="1"/>
    </row>
    <row r="22" ht="19.5" customHeight="1">
      <c r="A22" s="2"/>
      <c r="B22" s="104"/>
      <c r="C22" s="2"/>
      <c r="D22" s="169"/>
      <c r="E22" s="1"/>
      <c r="F22" s="1"/>
      <c r="G22" s="2"/>
      <c r="H22" s="2"/>
      <c r="I22" s="2"/>
      <c r="J22" s="2"/>
      <c r="K22" s="2"/>
      <c r="L22" s="2"/>
      <c r="M22" s="1"/>
      <c r="N22" s="1"/>
      <c r="O22" s="1"/>
      <c r="P22" s="95"/>
      <c r="Q22" s="95"/>
      <c r="R22" s="1"/>
      <c r="S22" s="63"/>
      <c r="T22" s="1"/>
    </row>
    <row r="23" ht="19.5" customHeight="1">
      <c r="A23" s="2"/>
      <c r="B23" s="104"/>
      <c r="C23" s="2"/>
      <c r="D23" s="169"/>
      <c r="E23" s="1"/>
      <c r="F23" s="1"/>
      <c r="G23" s="2"/>
      <c r="H23" s="2"/>
      <c r="I23" s="2"/>
      <c r="J23" s="2"/>
      <c r="K23" s="2"/>
      <c r="L23" s="2"/>
      <c r="M23" s="1"/>
      <c r="N23" s="1"/>
      <c r="O23" s="1"/>
      <c r="P23" s="95"/>
      <c r="Q23" s="95"/>
      <c r="R23" s="1"/>
      <c r="S23" s="63"/>
      <c r="T23" s="1"/>
    </row>
  </sheetData>
  <autoFilter ref="$A$4:$T$23"/>
  <customSheetViews>
    <customSheetView guid="{BA335440-5B37-4C05-BCDC-9CD4D4923240}" filter="1" showAutoFilter="1">
      <autoFilter ref="$A$1:$T$23"/>
    </customSheetView>
    <customSheetView guid="{BD076BCF-39B8-44C5-BF95-7B82C910DEB0}" filter="1" showAutoFilter="1">
      <autoFilter ref="$A$4:$T$23"/>
    </customSheetView>
    <customSheetView guid="{A9B8627E-26B2-4201-803A-467C3700F329}" filter="1" showAutoFilter="1">
      <autoFilter ref="$A$2:$T$23"/>
    </customSheetView>
    <customSheetView guid="{E5EE51B3-DE45-4D2E-9071-A5BED79D171F}" filter="1" showAutoFilter="1">
      <autoFilter ref="$A$2:$T$23"/>
    </customSheetView>
  </customSheetViews>
  <mergeCells count="8">
    <mergeCell ref="A2:M2"/>
    <mergeCell ref="A3:F3"/>
    <mergeCell ref="G3:J3"/>
    <mergeCell ref="J16:K16"/>
    <mergeCell ref="N16:O16"/>
    <mergeCell ref="J17:K17"/>
    <mergeCell ref="N17:O17"/>
    <mergeCell ref="H20:I20"/>
  </mergeCells>
  <conditionalFormatting sqref="M5:M14 R5:R14">
    <cfRule type="containsText" dxfId="3" priority="1" operator="containsText" text="fh">
      <formula>NOT(ISERROR(SEARCH(("fh"),(M5))))</formula>
    </cfRule>
  </conditionalFormatting>
  <conditionalFormatting sqref="L1 L4:L14 M4 N5:O14 L16:L19 L21:L23">
    <cfRule type="containsText" dxfId="0" priority="2" operator="containsText" text="COBR">
      <formula>NOT(ISERROR(SEARCH(("COBR"),(L1))))</formula>
    </cfRule>
  </conditionalFormatting>
  <conditionalFormatting sqref="L1 L4:L14 M4 N5:O14 L16:L19 L21:L23">
    <cfRule type="containsText" dxfId="1" priority="3" operator="containsText" text="INTE">
      <formula>NOT(ISERROR(SEARCH(("INTE"),(L1))))</formula>
    </cfRule>
  </conditionalFormatting>
  <conditionalFormatting sqref="L1 L4:L14 M4 J16 L16:L19 N16 L21:L23">
    <cfRule type="containsText" dxfId="2" priority="4" operator="containsText" text="DESC">
      <formula>NOT(ISERROR(SEARCH(("DESC"),(L1))))</formula>
    </cfRule>
  </conditionalFormatting>
  <dataValidations>
    <dataValidation type="list" allowBlank="1" showErrorMessage="1" sqref="M5:M14">
      <formula1>CUENTAS</formula1>
    </dataValidation>
    <dataValidation type="list" allowBlank="1" showErrorMessage="1" sqref="P5:P14">
      <formula1>VENDEDOR</formula1>
    </dataValidation>
    <dataValidation type="list" allowBlank="1" showErrorMessage="1" sqref="L5:L14">
      <formula1>SITUACION</formula1>
    </dataValidation>
  </dataValidations>
  <printOptions gridLines="1" horizontalCentered="1"/>
  <pageMargins bottom="0.6" footer="0.0" header="0.0" left="0.18446313842671508" right="0.1947110905615326" top="0.2152069948311676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6.13"/>
    <col customWidth="1" hidden="1" min="3" max="3" width="13.13"/>
    <col customWidth="1" min="4" max="4" width="30.38"/>
    <col customWidth="1" hidden="1" min="5" max="6" width="19.5"/>
    <col customWidth="1" hidden="1" min="7" max="7" width="18.63"/>
    <col customWidth="1" min="8" max="8" width="11.75"/>
    <col customWidth="1" min="9" max="11" width="12.63"/>
    <col customWidth="1" min="12" max="12" width="14.38"/>
    <col customWidth="1" min="13" max="13" width="14.75"/>
    <col customWidth="1" min="14" max="16" width="12.63"/>
    <col customWidth="1" min="17" max="20" width="21.63"/>
    <col customWidth="1" min="21" max="21" width="2.25"/>
  </cols>
  <sheetData>
    <row r="1" ht="19.5" customHeight="1">
      <c r="A1" s="186"/>
      <c r="B1" s="209"/>
      <c r="C1" s="58"/>
      <c r="D1" s="139"/>
      <c r="E1" s="139"/>
      <c r="F1" s="139"/>
      <c r="G1" s="58"/>
      <c r="H1" s="58"/>
      <c r="I1" s="58"/>
      <c r="J1" s="58"/>
      <c r="K1" s="58"/>
      <c r="L1" s="58"/>
      <c r="M1" s="139"/>
      <c r="N1" s="169"/>
      <c r="O1" s="169"/>
      <c r="P1" s="169"/>
      <c r="Q1" s="169"/>
      <c r="R1" s="169"/>
      <c r="S1" s="169"/>
      <c r="T1" s="169"/>
      <c r="U1" s="169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211"/>
      <c r="O2" s="211"/>
      <c r="P2" s="212"/>
      <c r="Q2" s="212"/>
      <c r="R2" s="212"/>
      <c r="S2" s="212"/>
      <c r="T2" s="212"/>
      <c r="U2" s="169"/>
    </row>
    <row r="3" ht="30.75" customHeight="1">
      <c r="A3" s="117" t="s">
        <v>1101</v>
      </c>
      <c r="B3" s="60"/>
      <c r="C3" s="60"/>
      <c r="D3" s="60"/>
      <c r="E3" s="60"/>
      <c r="F3" s="60"/>
      <c r="G3" s="67" t="s">
        <v>1102</v>
      </c>
      <c r="H3" s="60"/>
      <c r="I3" s="60"/>
      <c r="J3" s="214"/>
      <c r="K3" s="214"/>
      <c r="L3" s="214"/>
      <c r="M3" s="215"/>
      <c r="N3" s="216"/>
      <c r="O3" s="216"/>
      <c r="P3" s="217"/>
      <c r="Q3" s="217"/>
      <c r="R3" s="217"/>
      <c r="S3" s="217"/>
      <c r="T3" s="212"/>
      <c r="U3" s="169"/>
    </row>
    <row r="4" ht="27.0" customHeight="1">
      <c r="A4" s="73" t="s">
        <v>0</v>
      </c>
      <c r="B4" s="219" t="s">
        <v>7</v>
      </c>
      <c r="C4" s="73" t="s">
        <v>8</v>
      </c>
      <c r="D4" s="73" t="s">
        <v>9</v>
      </c>
      <c r="E4" s="73" t="s">
        <v>10</v>
      </c>
      <c r="F4" s="73" t="s">
        <v>11</v>
      </c>
      <c r="G4" s="73" t="s">
        <v>12</v>
      </c>
      <c r="H4" s="221" t="s">
        <v>1103</v>
      </c>
      <c r="I4" s="221" t="s">
        <v>1104</v>
      </c>
      <c r="J4" s="221" t="s">
        <v>15</v>
      </c>
      <c r="K4" s="221" t="s">
        <v>16</v>
      </c>
      <c r="L4" s="221" t="s">
        <v>17</v>
      </c>
      <c r="M4" s="221" t="s">
        <v>18</v>
      </c>
      <c r="N4" s="222" t="s">
        <v>19</v>
      </c>
      <c r="O4" s="222"/>
      <c r="P4" s="222" t="s">
        <v>20</v>
      </c>
      <c r="Q4" s="222" t="s">
        <v>21</v>
      </c>
      <c r="R4" s="222" t="s">
        <v>22</v>
      </c>
      <c r="S4" s="73" t="s">
        <v>74</v>
      </c>
      <c r="T4" s="211"/>
      <c r="U4" s="105"/>
    </row>
    <row r="5" ht="21.75" customHeight="1">
      <c r="A5" s="224">
        <v>1.0</v>
      </c>
      <c r="B5" s="306">
        <v>45991.0</v>
      </c>
      <c r="C5" s="148">
        <v>4.1318618E7</v>
      </c>
      <c r="D5" s="307" t="s">
        <v>1105</v>
      </c>
      <c r="E5" s="308" t="s">
        <v>1106</v>
      </c>
      <c r="F5" s="148" t="s">
        <v>1107</v>
      </c>
      <c r="G5" s="148" t="s">
        <v>1108</v>
      </c>
      <c r="H5" s="309" t="s">
        <v>104</v>
      </c>
      <c r="I5" s="79"/>
      <c r="J5" s="79">
        <f>300+1100</f>
        <v>1400</v>
      </c>
      <c r="K5" s="79"/>
      <c r="L5" s="79" t="s">
        <v>80</v>
      </c>
      <c r="M5" s="79" t="s">
        <v>81</v>
      </c>
      <c r="N5" s="82">
        <v>300.0</v>
      </c>
      <c r="O5" s="82">
        <v>1100.0</v>
      </c>
      <c r="P5" s="227"/>
      <c r="Q5" s="82" t="s">
        <v>44</v>
      </c>
      <c r="R5" s="83">
        <f t="shared" ref="R5:R23" si="1">N5+O5</f>
        <v>1400</v>
      </c>
      <c r="S5" s="84"/>
      <c r="T5" s="211"/>
      <c r="U5" s="169"/>
    </row>
    <row r="6" ht="21.75" customHeight="1">
      <c r="A6" s="228">
        <f t="shared" ref="A6:A34" si="2">A5+1</f>
        <v>2</v>
      </c>
      <c r="B6" s="310">
        <v>45960.0</v>
      </c>
      <c r="C6" s="296"/>
      <c r="D6" s="295" t="s">
        <v>1109</v>
      </c>
      <c r="E6" s="308"/>
      <c r="F6" s="296"/>
      <c r="G6" s="311" t="s">
        <v>1110</v>
      </c>
      <c r="H6" s="312"/>
      <c r="I6" s="313" t="s">
        <v>104</v>
      </c>
      <c r="J6" s="314">
        <v>100.0</v>
      </c>
      <c r="K6" s="313"/>
      <c r="L6" s="154" t="s">
        <v>80</v>
      </c>
      <c r="M6" s="154"/>
      <c r="N6" s="244">
        <v>100.0</v>
      </c>
      <c r="O6" s="244"/>
      <c r="P6" s="244"/>
      <c r="Q6" s="82" t="s">
        <v>44</v>
      </c>
      <c r="R6" s="83">
        <f t="shared" si="1"/>
        <v>100</v>
      </c>
      <c r="S6" s="229" t="s">
        <v>1111</v>
      </c>
      <c r="T6" s="211"/>
      <c r="U6" s="230"/>
    </row>
    <row r="7" ht="21.75" customHeight="1">
      <c r="A7" s="228">
        <f t="shared" si="2"/>
        <v>3</v>
      </c>
      <c r="B7" s="293">
        <v>45994.0</v>
      </c>
      <c r="C7" s="294">
        <v>1.025777E7</v>
      </c>
      <c r="D7" s="295" t="s">
        <v>1112</v>
      </c>
      <c r="E7" s="308" t="s">
        <v>1113</v>
      </c>
      <c r="F7" s="296" t="s">
        <v>537</v>
      </c>
      <c r="G7" s="148" t="s">
        <v>1114</v>
      </c>
      <c r="H7" s="312"/>
      <c r="I7" s="313" t="s">
        <v>104</v>
      </c>
      <c r="J7" s="313">
        <f>300+1100</f>
        <v>1400</v>
      </c>
      <c r="K7" s="313"/>
      <c r="L7" s="154" t="s">
        <v>80</v>
      </c>
      <c r="M7" s="154"/>
      <c r="N7" s="244">
        <v>300.0</v>
      </c>
      <c r="O7" s="244">
        <v>1100.0</v>
      </c>
      <c r="P7" s="244"/>
      <c r="Q7" s="82" t="s">
        <v>44</v>
      </c>
      <c r="R7" s="83">
        <f t="shared" si="1"/>
        <v>1400</v>
      </c>
      <c r="S7" s="229"/>
      <c r="T7" s="211"/>
      <c r="U7" s="230"/>
    </row>
    <row r="8" ht="21.75" customHeight="1">
      <c r="A8" s="228">
        <f t="shared" si="2"/>
        <v>4</v>
      </c>
      <c r="B8" s="293">
        <v>46000.0</v>
      </c>
      <c r="C8" s="294">
        <v>4.4028083E7</v>
      </c>
      <c r="D8" s="295" t="s">
        <v>1115</v>
      </c>
      <c r="E8" s="308" t="s">
        <v>1116</v>
      </c>
      <c r="F8" s="296" t="s">
        <v>226</v>
      </c>
      <c r="G8" s="148" t="s">
        <v>1117</v>
      </c>
      <c r="H8" s="313" t="s">
        <v>104</v>
      </c>
      <c r="I8" s="312"/>
      <c r="J8" s="313">
        <f>100+200+1000</f>
        <v>1300</v>
      </c>
      <c r="K8" s="313"/>
      <c r="L8" s="154" t="s">
        <v>80</v>
      </c>
      <c r="M8" s="154"/>
      <c r="N8" s="244">
        <v>300.0</v>
      </c>
      <c r="O8" s="244">
        <v>1000.0</v>
      </c>
      <c r="P8" s="244"/>
      <c r="Q8" s="82" t="s">
        <v>44</v>
      </c>
      <c r="R8" s="83">
        <f t="shared" si="1"/>
        <v>1300</v>
      </c>
      <c r="S8" s="229"/>
      <c r="T8" s="211"/>
      <c r="U8" s="230"/>
    </row>
    <row r="9" ht="21.75" customHeight="1">
      <c r="A9" s="228">
        <f t="shared" si="2"/>
        <v>5</v>
      </c>
      <c r="B9" s="293">
        <v>46001.0</v>
      </c>
      <c r="C9" s="294">
        <v>7.2685604E7</v>
      </c>
      <c r="D9" s="295" t="s">
        <v>973</v>
      </c>
      <c r="E9" s="308" t="s">
        <v>974</v>
      </c>
      <c r="F9" s="296" t="s">
        <v>975</v>
      </c>
      <c r="G9" s="148" t="s">
        <v>976</v>
      </c>
      <c r="H9" s="313" t="s">
        <v>104</v>
      </c>
      <c r="I9" s="312"/>
      <c r="J9" s="313">
        <f>300+1140+60</f>
        <v>1500</v>
      </c>
      <c r="K9" s="314"/>
      <c r="L9" s="154" t="s">
        <v>80</v>
      </c>
      <c r="M9" s="154"/>
      <c r="N9" s="244">
        <v>300.0</v>
      </c>
      <c r="O9" s="244">
        <v>1200</v>
      </c>
      <c r="P9" s="244"/>
      <c r="Q9" s="82" t="s">
        <v>44</v>
      </c>
      <c r="R9" s="83">
        <f t="shared" si="1"/>
        <v>1500</v>
      </c>
      <c r="S9" s="229"/>
      <c r="T9" s="211"/>
      <c r="U9" s="230"/>
    </row>
    <row r="10" ht="21.75" customHeight="1">
      <c r="A10" s="228">
        <f t="shared" si="2"/>
        <v>6</v>
      </c>
      <c r="B10" s="293">
        <v>46002.0</v>
      </c>
      <c r="C10" s="294">
        <v>4.6749055E7</v>
      </c>
      <c r="D10" s="295" t="s">
        <v>978</v>
      </c>
      <c r="E10" s="308" t="s">
        <v>979</v>
      </c>
      <c r="F10" s="296" t="s">
        <v>331</v>
      </c>
      <c r="G10" s="148" t="s">
        <v>980</v>
      </c>
      <c r="H10" s="313" t="s">
        <v>104</v>
      </c>
      <c r="I10" s="312"/>
      <c r="J10" s="313">
        <f>100+1400</f>
        <v>1500</v>
      </c>
      <c r="K10" s="313"/>
      <c r="L10" s="154" t="s">
        <v>80</v>
      </c>
      <c r="M10" s="154"/>
      <c r="N10" s="244">
        <v>100.0</v>
      </c>
      <c r="O10" s="244">
        <v>1400.0</v>
      </c>
      <c r="P10" s="244"/>
      <c r="Q10" s="82" t="s">
        <v>44</v>
      </c>
      <c r="R10" s="83">
        <f t="shared" si="1"/>
        <v>1500</v>
      </c>
      <c r="S10" s="229"/>
      <c r="T10" s="211"/>
      <c r="U10" s="230"/>
    </row>
    <row r="11" ht="21.75" customHeight="1">
      <c r="A11" s="228">
        <f t="shared" si="2"/>
        <v>7</v>
      </c>
      <c r="B11" s="306">
        <v>41260.0</v>
      </c>
      <c r="C11" s="294">
        <v>7.5240792E7</v>
      </c>
      <c r="D11" s="295" t="s">
        <v>1118</v>
      </c>
      <c r="E11" s="308" t="s">
        <v>1119</v>
      </c>
      <c r="F11" s="296" t="s">
        <v>1120</v>
      </c>
      <c r="G11" s="148" t="s">
        <v>1121</v>
      </c>
      <c r="H11" s="312"/>
      <c r="I11" s="313" t="s">
        <v>104</v>
      </c>
      <c r="J11" s="313">
        <f>300+500+500</f>
        <v>1300</v>
      </c>
      <c r="K11" s="314"/>
      <c r="L11" s="154" t="s">
        <v>80</v>
      </c>
      <c r="M11" s="154"/>
      <c r="N11" s="244">
        <f>300+500</f>
        <v>800</v>
      </c>
      <c r="O11" s="244">
        <v>500.0</v>
      </c>
      <c r="P11" s="244"/>
      <c r="Q11" s="82" t="s">
        <v>44</v>
      </c>
      <c r="R11" s="83">
        <f t="shared" si="1"/>
        <v>1300</v>
      </c>
      <c r="S11" s="229"/>
      <c r="T11" s="211"/>
      <c r="U11" s="230"/>
    </row>
    <row r="12" ht="21.75" customHeight="1">
      <c r="A12" s="228">
        <f t="shared" si="2"/>
        <v>8</v>
      </c>
      <c r="B12" s="293">
        <v>46009.0</v>
      </c>
      <c r="C12" s="298">
        <v>1240711.0</v>
      </c>
      <c r="D12" s="299" t="s">
        <v>981</v>
      </c>
      <c r="E12" s="315" t="s">
        <v>1122</v>
      </c>
      <c r="F12" s="296" t="s">
        <v>983</v>
      </c>
      <c r="G12" s="148" t="s">
        <v>984</v>
      </c>
      <c r="H12" s="312"/>
      <c r="I12" s="313" t="s">
        <v>104</v>
      </c>
      <c r="J12" s="313">
        <f>300+1200</f>
        <v>1500</v>
      </c>
      <c r="K12" s="313"/>
      <c r="L12" s="154" t="s">
        <v>80</v>
      </c>
      <c r="M12" s="154"/>
      <c r="N12" s="244">
        <v>300.0</v>
      </c>
      <c r="O12" s="244">
        <v>1200.0</v>
      </c>
      <c r="P12" s="244"/>
      <c r="Q12" s="82" t="s">
        <v>44</v>
      </c>
      <c r="R12" s="83">
        <f t="shared" si="1"/>
        <v>1500</v>
      </c>
      <c r="S12" s="229"/>
      <c r="T12" s="211"/>
      <c r="U12" s="230"/>
    </row>
    <row r="13" ht="21.75" customHeight="1">
      <c r="A13" s="228">
        <f t="shared" si="2"/>
        <v>9</v>
      </c>
      <c r="B13" s="293">
        <v>46011.0</v>
      </c>
      <c r="C13" s="294">
        <v>7.2543662E7</v>
      </c>
      <c r="D13" s="295" t="s">
        <v>1123</v>
      </c>
      <c r="E13" s="308" t="s">
        <v>1124</v>
      </c>
      <c r="F13" s="296" t="s">
        <v>96</v>
      </c>
      <c r="G13" s="148">
        <v>9.91177495E8</v>
      </c>
      <c r="H13" s="313" t="s">
        <v>104</v>
      </c>
      <c r="I13" s="312"/>
      <c r="J13" s="313">
        <f>200+1100</f>
        <v>1300</v>
      </c>
      <c r="K13" s="313"/>
      <c r="L13" s="154" t="s">
        <v>80</v>
      </c>
      <c r="M13" s="154"/>
      <c r="N13" s="244">
        <v>200.0</v>
      </c>
      <c r="O13" s="244">
        <v>1100.0</v>
      </c>
      <c r="P13" s="244"/>
      <c r="Q13" s="82" t="s">
        <v>44</v>
      </c>
      <c r="R13" s="83">
        <f t="shared" si="1"/>
        <v>1300</v>
      </c>
      <c r="S13" s="229"/>
      <c r="T13" s="211"/>
      <c r="U13" s="230"/>
    </row>
    <row r="14" ht="21.75" customHeight="1">
      <c r="A14" s="228">
        <f t="shared" si="2"/>
        <v>10</v>
      </c>
      <c r="B14" s="301">
        <v>46016.0</v>
      </c>
      <c r="C14" s="151">
        <v>7.14129E7</v>
      </c>
      <c r="D14" s="240" t="s">
        <v>985</v>
      </c>
      <c r="E14" s="304" t="s">
        <v>986</v>
      </c>
      <c r="F14" s="168" t="s">
        <v>771</v>
      </c>
      <c r="G14" s="154">
        <v>9.72453322E8</v>
      </c>
      <c r="H14" s="242" t="s">
        <v>104</v>
      </c>
      <c r="I14" s="243"/>
      <c r="J14" s="242">
        <f>200+1300</f>
        <v>1500</v>
      </c>
      <c r="K14" s="242"/>
      <c r="L14" s="154" t="s">
        <v>80</v>
      </c>
      <c r="M14" s="154" t="s">
        <v>81</v>
      </c>
      <c r="N14" s="244">
        <v>200.0</v>
      </c>
      <c r="O14" s="244">
        <v>1300.0</v>
      </c>
      <c r="P14" s="244"/>
      <c r="Q14" s="82" t="s">
        <v>44</v>
      </c>
      <c r="R14" s="83">
        <f t="shared" si="1"/>
        <v>1500</v>
      </c>
      <c r="S14" s="229"/>
      <c r="T14" s="211"/>
      <c r="U14" s="230"/>
    </row>
    <row r="15" ht="21.75" customHeight="1">
      <c r="A15" s="228">
        <f t="shared" si="2"/>
        <v>11</v>
      </c>
      <c r="B15" s="316">
        <v>44540.0</v>
      </c>
      <c r="C15" s="294">
        <v>4.6847985E7</v>
      </c>
      <c r="D15" s="295" t="s">
        <v>1125</v>
      </c>
      <c r="E15" s="308" t="s">
        <v>1126</v>
      </c>
      <c r="F15" s="296" t="s">
        <v>232</v>
      </c>
      <c r="G15" s="317"/>
      <c r="H15" s="242"/>
      <c r="I15" s="242" t="s">
        <v>104</v>
      </c>
      <c r="J15" s="242">
        <v>300.0</v>
      </c>
      <c r="K15" s="242">
        <v>500.0</v>
      </c>
      <c r="L15" s="154" t="s">
        <v>93</v>
      </c>
      <c r="M15" s="154" t="s">
        <v>81</v>
      </c>
      <c r="N15" s="318">
        <v>300.0</v>
      </c>
      <c r="O15" s="244"/>
      <c r="P15" s="244"/>
      <c r="Q15" s="82" t="s">
        <v>47</v>
      </c>
      <c r="R15" s="83">
        <f t="shared" si="1"/>
        <v>300</v>
      </c>
      <c r="S15" s="229" t="s">
        <v>1127</v>
      </c>
      <c r="T15" s="211"/>
      <c r="U15" s="230"/>
    </row>
    <row r="16" ht="21.75" customHeight="1">
      <c r="A16" s="228">
        <f t="shared" si="2"/>
        <v>12</v>
      </c>
      <c r="B16" s="316">
        <v>46013.0</v>
      </c>
      <c r="C16" s="294">
        <v>4.404829E7</v>
      </c>
      <c r="D16" s="295" t="s">
        <v>1128</v>
      </c>
      <c r="E16" s="308" t="s">
        <v>1129</v>
      </c>
      <c r="F16" s="296"/>
      <c r="G16" s="148" t="s">
        <v>1130</v>
      </c>
      <c r="H16" s="313" t="s">
        <v>104</v>
      </c>
      <c r="I16" s="243"/>
      <c r="J16" s="242">
        <v>1400.0</v>
      </c>
      <c r="K16" s="242" t="s">
        <v>71</v>
      </c>
      <c r="L16" s="154" t="s">
        <v>80</v>
      </c>
      <c r="M16" s="154" t="s">
        <v>81</v>
      </c>
      <c r="N16" s="244">
        <v>1400.0</v>
      </c>
      <c r="O16" s="244"/>
      <c r="P16" s="244"/>
      <c r="Q16" s="245" t="s">
        <v>47</v>
      </c>
      <c r="R16" s="83">
        <f t="shared" si="1"/>
        <v>1400</v>
      </c>
      <c r="S16" s="229"/>
      <c r="T16" s="211"/>
      <c r="U16" s="230"/>
    </row>
    <row r="17" ht="21.75" customHeight="1">
      <c r="A17" s="228">
        <f t="shared" si="2"/>
        <v>13</v>
      </c>
      <c r="B17" s="319"/>
      <c r="C17" s="296"/>
      <c r="D17" s="295"/>
      <c r="E17" s="308"/>
      <c r="F17" s="296"/>
      <c r="G17" s="148" t="s">
        <v>1131</v>
      </c>
      <c r="H17" s="313"/>
      <c r="I17" s="243"/>
      <c r="J17" s="242"/>
      <c r="K17" s="242"/>
      <c r="L17" s="154" t="s">
        <v>80</v>
      </c>
      <c r="M17" s="154" t="s">
        <v>81</v>
      </c>
      <c r="N17" s="244">
        <v>0.0</v>
      </c>
      <c r="O17" s="244"/>
      <c r="P17" s="244"/>
      <c r="Q17" s="245" t="s">
        <v>47</v>
      </c>
      <c r="R17" s="83">
        <f t="shared" si="1"/>
        <v>0</v>
      </c>
      <c r="S17" s="229"/>
      <c r="T17" s="211"/>
      <c r="U17" s="230"/>
    </row>
    <row r="18" ht="21.75" customHeight="1">
      <c r="A18" s="228">
        <f t="shared" si="2"/>
        <v>14</v>
      </c>
      <c r="B18" s="132">
        <v>46017.0</v>
      </c>
      <c r="C18" s="151">
        <v>7.3851205E7</v>
      </c>
      <c r="D18" s="240" t="s">
        <v>987</v>
      </c>
      <c r="E18" s="304" t="s">
        <v>988</v>
      </c>
      <c r="F18" s="168" t="s">
        <v>190</v>
      </c>
      <c r="G18" s="154">
        <v>9.46856472E8</v>
      </c>
      <c r="H18" s="242"/>
      <c r="I18" s="242" t="s">
        <v>79</v>
      </c>
      <c r="J18" s="242">
        <f t="shared" ref="J18:J20" si="3">300+1200</f>
        <v>1500</v>
      </c>
      <c r="K18" s="242"/>
      <c r="L18" s="154" t="s">
        <v>80</v>
      </c>
      <c r="M18" s="154" t="s">
        <v>164</v>
      </c>
      <c r="N18" s="244">
        <v>300.0</v>
      </c>
      <c r="O18" s="244">
        <v>1200.0</v>
      </c>
      <c r="P18" s="244"/>
      <c r="Q18" s="245" t="s">
        <v>44</v>
      </c>
      <c r="R18" s="83">
        <f t="shared" si="1"/>
        <v>1500</v>
      </c>
      <c r="S18" s="229"/>
      <c r="T18" s="211"/>
      <c r="U18" s="230"/>
    </row>
    <row r="19" ht="21.75" customHeight="1">
      <c r="A19" s="228">
        <f t="shared" si="2"/>
        <v>15</v>
      </c>
      <c r="B19" s="132">
        <v>46018.0</v>
      </c>
      <c r="C19" s="151">
        <v>7454502.0</v>
      </c>
      <c r="D19" s="240" t="s">
        <v>989</v>
      </c>
      <c r="E19" s="304"/>
      <c r="F19" s="168" t="s">
        <v>991</v>
      </c>
      <c r="G19" s="154">
        <v>9.95951313E8</v>
      </c>
      <c r="H19" s="242"/>
      <c r="I19" s="242" t="s">
        <v>104</v>
      </c>
      <c r="J19" s="242">
        <f t="shared" si="3"/>
        <v>1500</v>
      </c>
      <c r="K19" s="242"/>
      <c r="L19" s="154" t="s">
        <v>80</v>
      </c>
      <c r="M19" s="154" t="s">
        <v>98</v>
      </c>
      <c r="N19" s="244">
        <v>300.0</v>
      </c>
      <c r="O19" s="244">
        <v>1200.0</v>
      </c>
      <c r="P19" s="244"/>
      <c r="Q19" s="245" t="s">
        <v>44</v>
      </c>
      <c r="R19" s="83">
        <f t="shared" si="1"/>
        <v>1500</v>
      </c>
      <c r="S19" s="229"/>
      <c r="T19" s="211"/>
      <c r="U19" s="230"/>
    </row>
    <row r="20" ht="21.75" customHeight="1">
      <c r="A20" s="228">
        <f t="shared" si="2"/>
        <v>16</v>
      </c>
      <c r="B20" s="132">
        <v>46018.0</v>
      </c>
      <c r="C20" s="151">
        <v>2.0609390264E10</v>
      </c>
      <c r="D20" s="240" t="s">
        <v>992</v>
      </c>
      <c r="E20" s="304" t="s">
        <v>993</v>
      </c>
      <c r="F20" s="168" t="s">
        <v>994</v>
      </c>
      <c r="G20" s="154" t="s">
        <v>995</v>
      </c>
      <c r="H20" s="242" t="s">
        <v>104</v>
      </c>
      <c r="I20" s="243"/>
      <c r="J20" s="242">
        <f t="shared" si="3"/>
        <v>1500</v>
      </c>
      <c r="K20" s="242"/>
      <c r="L20" s="154" t="s">
        <v>80</v>
      </c>
      <c r="M20" s="154" t="s">
        <v>98</v>
      </c>
      <c r="N20" s="244">
        <v>300.0</v>
      </c>
      <c r="O20" s="244">
        <v>1200.0</v>
      </c>
      <c r="P20" s="244"/>
      <c r="Q20" s="245" t="s">
        <v>44</v>
      </c>
      <c r="R20" s="83">
        <f t="shared" si="1"/>
        <v>1500</v>
      </c>
      <c r="S20" s="229"/>
      <c r="T20" s="211"/>
      <c r="U20" s="230"/>
    </row>
    <row r="21" ht="21.75" customHeight="1">
      <c r="A21" s="228">
        <f t="shared" si="2"/>
        <v>17</v>
      </c>
      <c r="B21" s="132">
        <v>46019.0</v>
      </c>
      <c r="C21" s="151">
        <v>4.7729335E7</v>
      </c>
      <c r="D21" s="240" t="s">
        <v>1007</v>
      </c>
      <c r="E21" s="304" t="s">
        <v>1008</v>
      </c>
      <c r="F21" s="168" t="s">
        <v>1009</v>
      </c>
      <c r="G21" s="154" t="s">
        <v>1010</v>
      </c>
      <c r="H21" s="242"/>
      <c r="I21" s="242" t="s">
        <v>104</v>
      </c>
      <c r="J21" s="242">
        <v>1400.0</v>
      </c>
      <c r="K21" s="242"/>
      <c r="L21" s="154" t="s">
        <v>80</v>
      </c>
      <c r="M21" s="154" t="s">
        <v>164</v>
      </c>
      <c r="N21" s="244">
        <v>1400.0</v>
      </c>
      <c r="O21" s="244"/>
      <c r="P21" s="244"/>
      <c r="Q21" s="245" t="s">
        <v>44</v>
      </c>
      <c r="R21" s="83">
        <f t="shared" si="1"/>
        <v>1400</v>
      </c>
      <c r="S21" s="229"/>
      <c r="T21" s="211"/>
      <c r="U21" s="230"/>
    </row>
    <row r="22" ht="21.75" customHeight="1">
      <c r="A22" s="228">
        <f t="shared" si="2"/>
        <v>18</v>
      </c>
      <c r="B22" s="132">
        <v>46020.0</v>
      </c>
      <c r="C22" s="151">
        <v>4.8371859E7</v>
      </c>
      <c r="D22" s="240" t="s">
        <v>1132</v>
      </c>
      <c r="E22" s="304" t="s">
        <v>1133</v>
      </c>
      <c r="F22" s="168" t="s">
        <v>352</v>
      </c>
      <c r="G22" s="154" t="s">
        <v>1134</v>
      </c>
      <c r="H22" s="242" t="s">
        <v>104</v>
      </c>
      <c r="I22" s="243"/>
      <c r="J22" s="242">
        <f>300+1000</f>
        <v>1300</v>
      </c>
      <c r="K22" s="242"/>
      <c r="L22" s="154" t="s">
        <v>80</v>
      </c>
      <c r="M22" s="154" t="s">
        <v>98</v>
      </c>
      <c r="N22" s="244">
        <v>300.0</v>
      </c>
      <c r="O22" s="244">
        <v>1000.0</v>
      </c>
      <c r="P22" s="244"/>
      <c r="Q22" s="245" t="s">
        <v>44</v>
      </c>
      <c r="R22" s="83">
        <f t="shared" si="1"/>
        <v>1300</v>
      </c>
      <c r="S22" s="229"/>
      <c r="T22" s="211"/>
      <c r="U22" s="230"/>
    </row>
    <row r="23" ht="21.75" customHeight="1">
      <c r="A23" s="228">
        <f t="shared" si="2"/>
        <v>19</v>
      </c>
      <c r="B23" s="132">
        <v>46020.0</v>
      </c>
      <c r="C23" s="151">
        <v>6.039357E7</v>
      </c>
      <c r="D23" s="240" t="s">
        <v>996</v>
      </c>
      <c r="E23" s="320" t="s">
        <v>1135</v>
      </c>
      <c r="F23" s="168" t="s">
        <v>96</v>
      </c>
      <c r="G23" s="154" t="s">
        <v>998</v>
      </c>
      <c r="H23" s="242" t="s">
        <v>104</v>
      </c>
      <c r="I23" s="243"/>
      <c r="J23" s="242">
        <f>200+1300</f>
        <v>1500</v>
      </c>
      <c r="K23" s="242"/>
      <c r="L23" s="154" t="s">
        <v>80</v>
      </c>
      <c r="M23" s="154" t="s">
        <v>98</v>
      </c>
      <c r="N23" s="244">
        <v>200.0</v>
      </c>
      <c r="O23" s="244">
        <v>1300.0</v>
      </c>
      <c r="P23" s="244"/>
      <c r="Q23" s="245" t="s">
        <v>44</v>
      </c>
      <c r="R23" s="83">
        <f t="shared" si="1"/>
        <v>1500</v>
      </c>
      <c r="S23" s="229"/>
      <c r="T23" s="211"/>
      <c r="U23" s="230"/>
    </row>
    <row r="24" ht="21.75" customHeight="1">
      <c r="A24" s="228">
        <f t="shared" si="2"/>
        <v>20</v>
      </c>
      <c r="B24" s="132">
        <v>46020.0</v>
      </c>
      <c r="C24" s="151">
        <v>4.3712509E7</v>
      </c>
      <c r="D24" s="240" t="s">
        <v>999</v>
      </c>
      <c r="E24" s="304" t="s">
        <v>1000</v>
      </c>
      <c r="F24" s="168" t="s">
        <v>1001</v>
      </c>
      <c r="G24" s="154" t="s">
        <v>1002</v>
      </c>
      <c r="H24" s="242" t="s">
        <v>104</v>
      </c>
      <c r="I24" s="243"/>
      <c r="J24" s="242">
        <v>1500.0</v>
      </c>
      <c r="K24" s="242"/>
      <c r="L24" s="154" t="s">
        <v>80</v>
      </c>
      <c r="M24" s="154" t="s">
        <v>164</v>
      </c>
      <c r="N24" s="244">
        <v>1500.0</v>
      </c>
      <c r="O24" s="244"/>
      <c r="P24" s="244"/>
      <c r="Q24" s="245" t="s">
        <v>44</v>
      </c>
      <c r="R24" s="83">
        <f>N24+P24</f>
        <v>1500</v>
      </c>
      <c r="S24" s="229"/>
      <c r="T24" s="211"/>
      <c r="U24" s="230"/>
    </row>
    <row r="25" ht="21.75" customHeight="1">
      <c r="A25" s="228">
        <f t="shared" si="2"/>
        <v>21</v>
      </c>
      <c r="B25" s="132">
        <v>46022.0</v>
      </c>
      <c r="C25" s="151">
        <v>7.1176371E7</v>
      </c>
      <c r="D25" s="240" t="s">
        <v>1003</v>
      </c>
      <c r="E25" s="304" t="s">
        <v>1004</v>
      </c>
      <c r="F25" s="168" t="s">
        <v>1005</v>
      </c>
      <c r="G25" s="154" t="s">
        <v>1006</v>
      </c>
      <c r="H25" s="242" t="s">
        <v>104</v>
      </c>
      <c r="I25" s="243"/>
      <c r="J25" s="242">
        <f>300+1200</f>
        <v>1500</v>
      </c>
      <c r="K25" s="242"/>
      <c r="L25" s="154" t="s">
        <v>80</v>
      </c>
      <c r="M25" s="154" t="s">
        <v>164</v>
      </c>
      <c r="N25" s="244">
        <v>300.0</v>
      </c>
      <c r="O25" s="244">
        <v>1200.0</v>
      </c>
      <c r="P25" s="244"/>
      <c r="Q25" s="245" t="s">
        <v>44</v>
      </c>
      <c r="R25" s="83">
        <f>N25+O25</f>
        <v>1500</v>
      </c>
      <c r="S25" s="229"/>
      <c r="T25" s="211"/>
      <c r="U25" s="230"/>
    </row>
    <row r="26" ht="21.75" customHeight="1">
      <c r="A26" s="228">
        <f t="shared" si="2"/>
        <v>22</v>
      </c>
      <c r="B26" s="132">
        <v>46023.0</v>
      </c>
      <c r="C26" s="151">
        <v>7.5014725E7</v>
      </c>
      <c r="D26" s="240" t="s">
        <v>1017</v>
      </c>
      <c r="E26" s="304" t="s">
        <v>1018</v>
      </c>
      <c r="F26" s="168" t="s">
        <v>1019</v>
      </c>
      <c r="G26" s="154" t="s">
        <v>1020</v>
      </c>
      <c r="H26" s="242" t="s">
        <v>104</v>
      </c>
      <c r="I26" s="243"/>
      <c r="J26" s="242">
        <v>1500.0</v>
      </c>
      <c r="K26" s="242"/>
      <c r="L26" s="154" t="s">
        <v>80</v>
      </c>
      <c r="M26" s="154" t="s">
        <v>164</v>
      </c>
      <c r="N26" s="244">
        <v>1500.0</v>
      </c>
      <c r="O26" s="244"/>
      <c r="P26" s="244"/>
      <c r="Q26" s="245" t="s">
        <v>44</v>
      </c>
      <c r="R26" s="83">
        <f>N26+P26</f>
        <v>1500</v>
      </c>
      <c r="S26" s="229"/>
      <c r="T26" s="211"/>
      <c r="U26" s="230"/>
    </row>
    <row r="27" ht="21.75" customHeight="1">
      <c r="A27" s="228">
        <f t="shared" si="2"/>
        <v>23</v>
      </c>
      <c r="B27" s="132">
        <v>46024.0</v>
      </c>
      <c r="C27" s="151" t="s">
        <v>1021</v>
      </c>
      <c r="D27" s="240" t="s">
        <v>1022</v>
      </c>
      <c r="E27" s="304" t="s">
        <v>1023</v>
      </c>
      <c r="F27" s="168" t="s">
        <v>117</v>
      </c>
      <c r="G27" s="154" t="s">
        <v>1024</v>
      </c>
      <c r="H27" s="242" t="s">
        <v>104</v>
      </c>
      <c r="I27" s="243"/>
      <c r="J27" s="242">
        <f>200+1300</f>
        <v>1500</v>
      </c>
      <c r="K27" s="242"/>
      <c r="L27" s="154" t="s">
        <v>80</v>
      </c>
      <c r="M27" s="154" t="s">
        <v>81</v>
      </c>
      <c r="N27" s="244">
        <v>200.0</v>
      </c>
      <c r="O27" s="244">
        <v>1300.0</v>
      </c>
      <c r="P27" s="244"/>
      <c r="Q27" s="245" t="s">
        <v>44</v>
      </c>
      <c r="R27" s="83">
        <f t="shared" ref="R27:R28" si="4">N27+O27</f>
        <v>1500</v>
      </c>
      <c r="S27" s="229"/>
      <c r="T27" s="211"/>
      <c r="U27" s="230"/>
    </row>
    <row r="28" ht="21.75" customHeight="1">
      <c r="A28" s="228">
        <f t="shared" si="2"/>
        <v>24</v>
      </c>
      <c r="B28" s="132">
        <v>45659.0</v>
      </c>
      <c r="C28" s="238">
        <v>4.1364774E7</v>
      </c>
      <c r="D28" s="238" t="s">
        <v>1025</v>
      </c>
      <c r="E28" s="150" t="s">
        <v>1136</v>
      </c>
      <c r="F28" s="168" t="s">
        <v>1027</v>
      </c>
      <c r="G28" s="154"/>
      <c r="H28" s="242"/>
      <c r="I28" s="242" t="s">
        <v>104</v>
      </c>
      <c r="J28" s="242">
        <f>250+1250</f>
        <v>1500</v>
      </c>
      <c r="K28" s="242"/>
      <c r="L28" s="154" t="s">
        <v>80</v>
      </c>
      <c r="M28" s="154" t="s">
        <v>98</v>
      </c>
      <c r="N28" s="244">
        <v>250.0</v>
      </c>
      <c r="O28" s="244">
        <v>1250.0</v>
      </c>
      <c r="P28" s="244"/>
      <c r="Q28" s="245" t="s">
        <v>44</v>
      </c>
      <c r="R28" s="83">
        <f t="shared" si="4"/>
        <v>1500</v>
      </c>
      <c r="S28" s="229"/>
      <c r="T28" s="211"/>
      <c r="U28" s="230"/>
    </row>
    <row r="29" ht="21.75" customHeight="1">
      <c r="A29" s="228">
        <f t="shared" si="2"/>
        <v>25</v>
      </c>
      <c r="B29" s="132">
        <v>46026.0</v>
      </c>
      <c r="C29" s="151">
        <v>4.2048172E7</v>
      </c>
      <c r="D29" s="240" t="s">
        <v>162</v>
      </c>
      <c r="E29" s="168" t="s">
        <v>1033</v>
      </c>
      <c r="F29" s="168" t="s">
        <v>1034</v>
      </c>
      <c r="G29" s="154"/>
      <c r="H29" s="242"/>
      <c r="I29" s="242" t="s">
        <v>104</v>
      </c>
      <c r="J29" s="242">
        <f>200+1200</f>
        <v>1400</v>
      </c>
      <c r="K29" s="242"/>
      <c r="L29" s="154" t="s">
        <v>80</v>
      </c>
      <c r="M29" s="154" t="s">
        <v>81</v>
      </c>
      <c r="N29" s="244">
        <v>200.0</v>
      </c>
      <c r="O29" s="244">
        <v>1200.0</v>
      </c>
      <c r="P29" s="244"/>
      <c r="Q29" s="245" t="s">
        <v>44</v>
      </c>
      <c r="R29" s="83">
        <f>N29+O27</f>
        <v>1500</v>
      </c>
      <c r="S29" s="229"/>
      <c r="T29" s="211"/>
      <c r="U29" s="230"/>
    </row>
    <row r="30" ht="21.75" customHeight="1">
      <c r="A30" s="228">
        <f t="shared" si="2"/>
        <v>26</v>
      </c>
      <c r="B30" s="132">
        <v>46027.0</v>
      </c>
      <c r="C30" s="151" t="s">
        <v>1036</v>
      </c>
      <c r="D30" s="240" t="s">
        <v>1037</v>
      </c>
      <c r="E30" s="168" t="s">
        <v>1038</v>
      </c>
      <c r="F30" s="168" t="s">
        <v>226</v>
      </c>
      <c r="G30" s="154"/>
      <c r="H30" s="242"/>
      <c r="I30" s="242" t="s">
        <v>104</v>
      </c>
      <c r="J30" s="242">
        <f>300+1200</f>
        <v>1500</v>
      </c>
      <c r="K30" s="242"/>
      <c r="L30" s="154" t="s">
        <v>80</v>
      </c>
      <c r="M30" s="154" t="s">
        <v>81</v>
      </c>
      <c r="N30" s="244">
        <v>300.0</v>
      </c>
      <c r="O30" s="244">
        <v>1200.0</v>
      </c>
      <c r="P30" s="244"/>
      <c r="Q30" s="245" t="s">
        <v>44</v>
      </c>
      <c r="R30" s="83">
        <f>N30+O30</f>
        <v>1500</v>
      </c>
      <c r="S30" s="229"/>
      <c r="T30" s="211"/>
      <c r="U30" s="230"/>
    </row>
    <row r="31" ht="21.75" customHeight="1">
      <c r="A31" s="228">
        <f t="shared" si="2"/>
        <v>27</v>
      </c>
      <c r="B31" s="88">
        <v>46027.0</v>
      </c>
      <c r="C31" s="151">
        <v>4.7415409E7</v>
      </c>
      <c r="D31" s="240" t="s">
        <v>1137</v>
      </c>
      <c r="E31" s="168" t="s">
        <v>1138</v>
      </c>
      <c r="F31" s="168"/>
      <c r="G31" s="154"/>
      <c r="H31" s="242" t="s">
        <v>104</v>
      </c>
      <c r="I31" s="243"/>
      <c r="J31" s="242">
        <v>250.0</v>
      </c>
      <c r="K31" s="242">
        <v>500.0</v>
      </c>
      <c r="L31" s="154" t="s">
        <v>93</v>
      </c>
      <c r="M31" s="154" t="s">
        <v>164</v>
      </c>
      <c r="N31" s="318">
        <v>250.0</v>
      </c>
      <c r="O31" s="244"/>
      <c r="P31" s="244"/>
      <c r="Q31" s="245" t="s">
        <v>47</v>
      </c>
      <c r="R31" s="83">
        <f t="shared" ref="R31:R32" si="5">N31+P31</f>
        <v>250</v>
      </c>
      <c r="S31" s="229" t="s">
        <v>1127</v>
      </c>
      <c r="T31" s="211"/>
      <c r="U31" s="230"/>
    </row>
    <row r="32" ht="21.75" customHeight="1">
      <c r="A32" s="228">
        <f t="shared" si="2"/>
        <v>28</v>
      </c>
      <c r="B32" s="132">
        <v>46029.0</v>
      </c>
      <c r="C32" s="238">
        <v>2.1000873E7</v>
      </c>
      <c r="D32" s="238" t="s">
        <v>1139</v>
      </c>
      <c r="E32" s="150" t="s">
        <v>1140</v>
      </c>
      <c r="F32" s="168" t="s">
        <v>331</v>
      </c>
      <c r="G32" s="154" t="s">
        <v>1141</v>
      </c>
      <c r="H32" s="242"/>
      <c r="I32" s="242" t="s">
        <v>104</v>
      </c>
      <c r="J32" s="242">
        <v>1300.0</v>
      </c>
      <c r="K32" s="242"/>
      <c r="L32" s="154" t="s">
        <v>80</v>
      </c>
      <c r="M32" s="154" t="s">
        <v>164</v>
      </c>
      <c r="N32" s="244">
        <v>1300.0</v>
      </c>
      <c r="O32" s="244"/>
      <c r="P32" s="244"/>
      <c r="Q32" s="245" t="s">
        <v>44</v>
      </c>
      <c r="R32" s="83">
        <f t="shared" si="5"/>
        <v>1300</v>
      </c>
      <c r="S32" s="229"/>
      <c r="T32" s="211"/>
      <c r="U32" s="230"/>
    </row>
    <row r="33" ht="21.75" customHeight="1">
      <c r="A33" s="228">
        <f t="shared" si="2"/>
        <v>29</v>
      </c>
      <c r="B33" s="132">
        <v>46031.0</v>
      </c>
      <c r="C33" s="238">
        <v>4.497522E7</v>
      </c>
      <c r="D33" s="238" t="s">
        <v>1142</v>
      </c>
      <c r="E33" s="321" t="s">
        <v>1143</v>
      </c>
      <c r="F33" s="304" t="s">
        <v>1144</v>
      </c>
      <c r="G33" s="154" t="s">
        <v>1145</v>
      </c>
      <c r="H33" s="242"/>
      <c r="I33" s="242" t="s">
        <v>104</v>
      </c>
      <c r="J33" s="242">
        <f t="shared" ref="J33:J34" si="6">300+1000</f>
        <v>1300</v>
      </c>
      <c r="K33" s="242"/>
      <c r="L33" s="154" t="s">
        <v>80</v>
      </c>
      <c r="M33" s="154" t="s">
        <v>81</v>
      </c>
      <c r="N33" s="244">
        <v>300.0</v>
      </c>
      <c r="O33" s="244">
        <v>1000.0</v>
      </c>
      <c r="P33" s="244"/>
      <c r="Q33" s="245" t="s">
        <v>44</v>
      </c>
      <c r="R33" s="83">
        <f t="shared" ref="R33:R34" si="7">N33+O33</f>
        <v>1300</v>
      </c>
      <c r="S33" s="229"/>
      <c r="T33" s="211"/>
      <c r="U33" s="230"/>
    </row>
    <row r="34" ht="21.75" customHeight="1">
      <c r="A34" s="228">
        <f t="shared" si="2"/>
        <v>30</v>
      </c>
      <c r="B34" s="132">
        <v>46032.0</v>
      </c>
      <c r="C34" s="158">
        <v>6.1176942E7</v>
      </c>
      <c r="D34" s="322" t="s">
        <v>1146</v>
      </c>
      <c r="E34" s="321"/>
      <c r="F34" s="158" t="s">
        <v>96</v>
      </c>
      <c r="G34" s="79">
        <v>9.34205812E8</v>
      </c>
      <c r="H34" s="81"/>
      <c r="I34" s="79" t="s">
        <v>104</v>
      </c>
      <c r="J34" s="242">
        <f t="shared" si="6"/>
        <v>1300</v>
      </c>
      <c r="K34" s="79"/>
      <c r="L34" s="79" t="s">
        <v>80</v>
      </c>
      <c r="M34" s="79" t="s">
        <v>164</v>
      </c>
      <c r="N34" s="244">
        <v>300.0</v>
      </c>
      <c r="O34" s="244">
        <v>1000.0</v>
      </c>
      <c r="P34" s="227"/>
      <c r="Q34" s="82" t="s">
        <v>44</v>
      </c>
      <c r="R34" s="83">
        <f t="shared" si="7"/>
        <v>1300</v>
      </c>
      <c r="S34" s="84"/>
      <c r="T34" s="211"/>
      <c r="U34" s="230"/>
    </row>
    <row r="35" ht="21.75" customHeight="1">
      <c r="A35" s="247"/>
      <c r="B35" s="248"/>
      <c r="C35" s="247"/>
      <c r="D35" s="247"/>
      <c r="E35" s="247"/>
      <c r="F35" s="247"/>
      <c r="G35" s="249" t="s">
        <v>178</v>
      </c>
      <c r="H35" s="250">
        <f t="shared" ref="H35:I35" si="8">COUNTIF(H4:H34,"X")</f>
        <v>15</v>
      </c>
      <c r="I35" s="250">
        <f t="shared" si="8"/>
        <v>14</v>
      </c>
      <c r="J35" s="251">
        <f t="shared" ref="J35:K35" si="9">SUM(J4:J34)</f>
        <v>37750</v>
      </c>
      <c r="K35" s="251">
        <f t="shared" si="9"/>
        <v>1000</v>
      </c>
      <c r="L35" s="252"/>
      <c r="M35" s="253"/>
      <c r="N35" s="251">
        <f>SUM(N4:N34)</f>
        <v>13800</v>
      </c>
      <c r="O35" s="251"/>
      <c r="P35" s="251">
        <f>SUM(P4:P34)</f>
        <v>0</v>
      </c>
      <c r="Q35" s="247"/>
      <c r="R35" s="247"/>
      <c r="S35" s="253"/>
      <c r="T35" s="212"/>
      <c r="U35" s="169"/>
    </row>
    <row r="36" ht="19.5" customHeight="1">
      <c r="A36" s="105"/>
      <c r="B36" s="255"/>
      <c r="C36" s="105"/>
      <c r="D36" s="105"/>
      <c r="E36" s="105"/>
      <c r="F36" s="105"/>
      <c r="G36" s="256" t="s">
        <v>179</v>
      </c>
      <c r="H36" s="257">
        <v>27.0</v>
      </c>
      <c r="I36" s="257">
        <v>27.0</v>
      </c>
      <c r="J36" s="258">
        <f>SUM(J35:K35)</f>
        <v>38750</v>
      </c>
      <c r="K36" s="103"/>
      <c r="L36" s="105"/>
      <c r="M36" s="169"/>
      <c r="N36" s="258">
        <f>SUM(N35:P35)</f>
        <v>13800</v>
      </c>
      <c r="O36" s="136"/>
      <c r="P36" s="103"/>
      <c r="Q36" s="105"/>
      <c r="R36" s="105"/>
      <c r="S36" s="169"/>
      <c r="T36" s="212"/>
      <c r="U36" s="169"/>
    </row>
    <row r="37" ht="19.5" customHeight="1">
      <c r="A37" s="105"/>
      <c r="B37" s="255"/>
      <c r="C37" s="105"/>
      <c r="D37" s="169"/>
      <c r="E37" s="169"/>
      <c r="F37" s="169"/>
      <c r="G37" s="260" t="s">
        <v>180</v>
      </c>
      <c r="H37" s="261">
        <f t="shared" ref="H37:I37" si="10">H36-H35</f>
        <v>12</v>
      </c>
      <c r="I37" s="261">
        <f t="shared" si="10"/>
        <v>13</v>
      </c>
      <c r="J37" s="262" t="s">
        <v>181</v>
      </c>
      <c r="K37" s="109"/>
      <c r="L37" s="105"/>
      <c r="M37" s="169"/>
      <c r="N37" s="262" t="s">
        <v>182</v>
      </c>
      <c r="O37" s="138"/>
      <c r="P37" s="109"/>
      <c r="Q37" s="263"/>
      <c r="R37" s="263"/>
      <c r="S37" s="169"/>
      <c r="T37" s="212"/>
      <c r="U37" s="169"/>
    </row>
    <row r="38" ht="19.5" customHeight="1">
      <c r="A38" s="105"/>
      <c r="B38" s="255"/>
      <c r="C38" s="105"/>
      <c r="D38" s="169"/>
      <c r="E38" s="169"/>
      <c r="F38" s="169"/>
      <c r="G38" s="105"/>
      <c r="H38" s="264">
        <v>150.0</v>
      </c>
      <c r="I38" s="264">
        <v>150.0</v>
      </c>
      <c r="J38" s="105"/>
      <c r="K38" s="105"/>
      <c r="L38" s="105"/>
      <c r="M38" s="169"/>
      <c r="N38" s="263"/>
      <c r="O38" s="263"/>
      <c r="P38" s="263"/>
      <c r="Q38" s="263"/>
      <c r="R38" s="263"/>
      <c r="S38" s="169"/>
      <c r="T38" s="212"/>
      <c r="U38" s="230" t="s">
        <v>68</v>
      </c>
    </row>
    <row r="39" ht="19.5" customHeight="1">
      <c r="A39" s="105"/>
      <c r="B39" s="255"/>
      <c r="C39" s="105"/>
      <c r="D39" s="169"/>
      <c r="E39" s="169"/>
      <c r="F39" s="169"/>
      <c r="G39" s="105"/>
      <c r="H39" s="265">
        <f t="shared" ref="H39:I39" si="11">H37*H38</f>
        <v>1800</v>
      </c>
      <c r="I39" s="265">
        <f t="shared" si="11"/>
        <v>1950</v>
      </c>
      <c r="J39" s="105"/>
      <c r="K39" s="105"/>
      <c r="L39" s="105"/>
      <c r="M39" s="169"/>
      <c r="N39" s="263"/>
      <c r="O39" s="263"/>
      <c r="P39" s="263"/>
      <c r="Q39" s="263"/>
      <c r="R39" s="263"/>
      <c r="S39" s="169"/>
      <c r="T39" s="212"/>
      <c r="U39" s="169"/>
    </row>
    <row r="40" ht="19.5" customHeight="1">
      <c r="A40" s="105"/>
      <c r="B40" s="255"/>
      <c r="C40" s="105"/>
      <c r="D40" s="169"/>
      <c r="E40" s="169"/>
      <c r="F40" s="169"/>
      <c r="G40" s="105"/>
      <c r="H40" s="266">
        <f>SUM(H39:I39)</f>
        <v>3750</v>
      </c>
      <c r="I40" s="109"/>
      <c r="J40" s="105"/>
      <c r="K40" s="105"/>
      <c r="L40" s="105"/>
      <c r="M40" s="169"/>
      <c r="N40" s="263"/>
      <c r="O40" s="263"/>
      <c r="P40" s="263"/>
      <c r="Q40" s="263"/>
      <c r="R40" s="263"/>
      <c r="S40" s="169"/>
      <c r="T40" s="212"/>
      <c r="U40" s="169"/>
    </row>
    <row r="41" ht="19.5" customHeight="1">
      <c r="A41" s="105"/>
      <c r="B41" s="255"/>
      <c r="C41" s="105"/>
      <c r="D41" s="169"/>
      <c r="E41" s="169"/>
      <c r="F41" s="169"/>
      <c r="G41" s="105"/>
      <c r="H41" s="105"/>
      <c r="I41" s="105"/>
      <c r="J41" s="105"/>
      <c r="K41" s="105"/>
      <c r="L41" s="105"/>
      <c r="M41" s="169"/>
      <c r="N41" s="169"/>
      <c r="O41" s="169"/>
      <c r="P41" s="169"/>
      <c r="Q41" s="169"/>
      <c r="R41" s="169"/>
      <c r="S41" s="169"/>
      <c r="T41" s="212"/>
      <c r="U41" s="169"/>
    </row>
    <row r="42" ht="19.5" customHeight="1">
      <c r="A42" s="105"/>
      <c r="B42" s="255"/>
      <c r="C42" s="105"/>
      <c r="D42" s="169"/>
      <c r="E42" s="169"/>
      <c r="F42" s="169"/>
      <c r="G42" s="105"/>
      <c r="H42" s="105"/>
      <c r="I42" s="105"/>
      <c r="J42" s="105"/>
      <c r="K42" s="105"/>
      <c r="L42" s="105"/>
      <c r="M42" s="169"/>
      <c r="N42" s="169"/>
      <c r="O42" s="169"/>
      <c r="P42" s="169"/>
      <c r="Q42" s="169"/>
      <c r="R42" s="169"/>
      <c r="S42" s="169"/>
      <c r="T42" s="212"/>
      <c r="U42" s="169"/>
    </row>
    <row r="43" ht="19.5" customHeight="1">
      <c r="A43" s="105"/>
      <c r="B43" s="255"/>
      <c r="C43" s="105"/>
      <c r="D43" s="169"/>
      <c r="E43" s="169"/>
      <c r="F43" s="169"/>
      <c r="G43" s="105"/>
      <c r="H43" s="105"/>
      <c r="I43" s="105"/>
      <c r="J43" s="105"/>
      <c r="K43" s="105"/>
      <c r="L43" s="105"/>
      <c r="M43" s="169"/>
      <c r="N43" s="169"/>
      <c r="O43" s="169"/>
      <c r="P43" s="169"/>
      <c r="Q43" s="169"/>
      <c r="R43" s="169"/>
      <c r="S43" s="169"/>
      <c r="T43" s="212"/>
      <c r="U43" s="169"/>
    </row>
    <row r="44" ht="19.5" customHeight="1">
      <c r="A44" s="105"/>
      <c r="B44" s="255"/>
      <c r="C44" s="105"/>
      <c r="D44" s="169"/>
      <c r="E44" s="169"/>
      <c r="F44" s="169"/>
      <c r="G44" s="105"/>
      <c r="H44" s="105"/>
      <c r="I44" s="105"/>
      <c r="J44" s="105"/>
      <c r="K44" s="105"/>
      <c r="L44" s="105"/>
      <c r="M44" s="169"/>
      <c r="N44" s="169"/>
      <c r="O44" s="169"/>
      <c r="P44" s="169"/>
      <c r="Q44" s="169"/>
      <c r="R44" s="169"/>
      <c r="S44" s="169"/>
      <c r="T44" s="212"/>
      <c r="U44" s="169"/>
    </row>
  </sheetData>
  <customSheetViews>
    <customSheetView guid="{A9B8627E-26B2-4201-803A-467C3700F329}" filter="1" showAutoFilter="1">
      <autoFilter ref="$A$2:$U$44"/>
    </customSheetView>
    <customSheetView guid="{E5EE51B3-DE45-4D2E-9071-A5BED79D171F}" filter="1" showAutoFilter="1">
      <autoFilter ref="$A$2:$U$44"/>
    </customSheetView>
    <customSheetView guid="{BA335440-5B37-4C05-BCDC-9CD4D4923240}" filter="1" showAutoFilter="1">
      <autoFilter ref="$A$1:$U$44"/>
    </customSheetView>
    <customSheetView guid="{BD076BCF-39B8-44C5-BF95-7B82C910DEB0}" filter="1" showAutoFilter="1">
      <autoFilter ref="$A$4:$U$40"/>
    </customSheetView>
  </customSheetViews>
  <mergeCells count="8">
    <mergeCell ref="A2:M2"/>
    <mergeCell ref="A3:F3"/>
    <mergeCell ref="G3:I3"/>
    <mergeCell ref="J36:K36"/>
    <mergeCell ref="N36:P36"/>
    <mergeCell ref="J37:K37"/>
    <mergeCell ref="N37:P37"/>
    <mergeCell ref="H40:I40"/>
  </mergeCells>
  <conditionalFormatting sqref="M5:M34 S5:S34">
    <cfRule type="containsText" dxfId="3" priority="1" operator="containsText" text="fh">
      <formula>NOT(ISERROR(SEARCH(("fh"),(M5))))</formula>
    </cfRule>
  </conditionalFormatting>
  <conditionalFormatting sqref="L1 L4:L34 M4 N8:N18 O8:P14 O16:P18 L36:L39 L41:L44">
    <cfRule type="containsText" dxfId="0" priority="2" operator="containsText" text="COBR">
      <formula>NOT(ISERROR(SEARCH(("COBR"),(L1))))</formula>
    </cfRule>
  </conditionalFormatting>
  <conditionalFormatting sqref="L1 L4:L34 M4 N8:N18 O8:P14 O16:P18 L36:L39 L41:L44">
    <cfRule type="containsText" dxfId="1" priority="3" operator="containsText" text="INTE">
      <formula>NOT(ISERROR(SEARCH(("INTE"),(L1))))</formula>
    </cfRule>
  </conditionalFormatting>
  <conditionalFormatting sqref="L1 L4:L34 M4 J36 L36:L39 N36:O36 L41:L44">
    <cfRule type="containsText" dxfId="2" priority="4" operator="containsText" text="DESC">
      <formula>NOT(ISERROR(SEARCH(("DESC"),(L1))))</formula>
    </cfRule>
  </conditionalFormatting>
  <dataValidations>
    <dataValidation type="list" allowBlank="1" showErrorMessage="1" sqref="M5:M34">
      <formula1>CUENTAS</formula1>
    </dataValidation>
    <dataValidation type="list" allowBlank="1" showErrorMessage="1" sqref="Q5:Q34">
      <formula1>VENDEDOR</formula1>
    </dataValidation>
    <dataValidation type="list" allowBlank="1" showErrorMessage="1" sqref="L5:L34">
      <formula1>SITUACION</formula1>
    </dataValidation>
  </dataValidations>
  <hyperlinks>
    <hyperlink r:id="rId1" ref="E12"/>
    <hyperlink r:id="rId2" ref="E23"/>
    <hyperlink r:id="rId3" ref="E28"/>
    <hyperlink r:id="rId4" ref="E32"/>
  </hyperlinks>
  <printOptions gridLines="1" horizontalCentered="1"/>
  <pageMargins bottom="0.6" footer="0.0" header="0.0" left="0.18446313842671508" right="0.1947110905615326" top="0.21520699483116765"/>
  <pageSetup fitToHeight="0" paperSize="9" cellComments="atEnd" orientation="landscape" pageOrder="overThenDown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13.13"/>
    <col customWidth="1" min="4" max="4" width="30.38"/>
    <col customWidth="1" min="5" max="6" width="19.5"/>
    <col customWidth="1" min="7" max="7" width="18.63"/>
    <col customWidth="1" min="8" max="8" width="11.75"/>
    <col customWidth="1" min="9" max="11" width="12.63"/>
    <col customWidth="1" min="12" max="12" width="14.38"/>
    <col customWidth="1" min="13" max="13" width="14.75"/>
    <col customWidth="1" min="14" max="15" width="12.63"/>
    <col customWidth="1" min="16" max="19" width="21.63"/>
    <col customWidth="1" min="20" max="20" width="2.25"/>
  </cols>
  <sheetData>
    <row r="1" ht="19.5" customHeight="1">
      <c r="A1" s="186"/>
      <c r="B1" s="209"/>
      <c r="C1" s="58"/>
      <c r="D1" s="139"/>
      <c r="E1" s="139"/>
      <c r="F1" s="139"/>
      <c r="G1" s="58"/>
      <c r="H1" s="58"/>
      <c r="I1" s="58"/>
      <c r="J1" s="58"/>
      <c r="K1" s="58"/>
      <c r="L1" s="58"/>
      <c r="M1" s="139"/>
      <c r="N1" s="169"/>
      <c r="O1" s="169"/>
      <c r="P1" s="169"/>
      <c r="Q1" s="169"/>
      <c r="R1" s="169"/>
      <c r="S1" s="169"/>
      <c r="T1" s="169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211"/>
      <c r="O2" s="212"/>
      <c r="P2" s="212"/>
      <c r="Q2" s="212"/>
      <c r="R2" s="212"/>
      <c r="S2" s="212"/>
      <c r="T2" s="169"/>
    </row>
    <row r="3" ht="30.75" customHeight="1">
      <c r="A3" s="117" t="s">
        <v>1101</v>
      </c>
      <c r="B3" s="60"/>
      <c r="C3" s="60"/>
      <c r="D3" s="60"/>
      <c r="E3" s="60"/>
      <c r="F3" s="60"/>
      <c r="G3" s="67" t="s">
        <v>1102</v>
      </c>
      <c r="H3" s="60"/>
      <c r="I3" s="60"/>
      <c r="J3" s="214"/>
      <c r="K3" s="214"/>
      <c r="L3" s="214"/>
      <c r="M3" s="215"/>
      <c r="N3" s="216"/>
      <c r="O3" s="217"/>
      <c r="P3" s="217"/>
      <c r="Q3" s="217"/>
      <c r="R3" s="217"/>
      <c r="S3" s="212"/>
      <c r="T3" s="169"/>
    </row>
    <row r="4" ht="27.0" customHeight="1">
      <c r="A4" s="73" t="s">
        <v>0</v>
      </c>
      <c r="B4" s="219" t="s">
        <v>7</v>
      </c>
      <c r="C4" s="73" t="s">
        <v>8</v>
      </c>
      <c r="D4" s="73" t="s">
        <v>9</v>
      </c>
      <c r="E4" s="73" t="s">
        <v>10</v>
      </c>
      <c r="F4" s="73" t="s">
        <v>11</v>
      </c>
      <c r="G4" s="73" t="s">
        <v>12</v>
      </c>
      <c r="H4" s="221" t="s">
        <v>1147</v>
      </c>
      <c r="I4" s="221" t="s">
        <v>1148</v>
      </c>
      <c r="J4" s="221" t="s">
        <v>15</v>
      </c>
      <c r="K4" s="221" t="s">
        <v>16</v>
      </c>
      <c r="L4" s="221" t="s">
        <v>17</v>
      </c>
      <c r="M4" s="221" t="s">
        <v>18</v>
      </c>
      <c r="N4" s="222" t="s">
        <v>19</v>
      </c>
      <c r="O4" s="222" t="s">
        <v>20</v>
      </c>
      <c r="P4" s="222" t="s">
        <v>21</v>
      </c>
      <c r="Q4" s="222" t="s">
        <v>22</v>
      </c>
      <c r="R4" s="73" t="s">
        <v>74</v>
      </c>
      <c r="S4" s="211"/>
      <c r="T4" s="105"/>
    </row>
    <row r="5" ht="21.75" customHeight="1">
      <c r="A5" s="224">
        <v>1.0</v>
      </c>
      <c r="B5" s="293">
        <v>46011.0</v>
      </c>
      <c r="C5" s="294">
        <v>4.4579272E7</v>
      </c>
      <c r="D5" s="295" t="s">
        <v>1149</v>
      </c>
      <c r="E5" s="296" t="s">
        <v>1150</v>
      </c>
      <c r="F5" s="296" t="s">
        <v>1151</v>
      </c>
      <c r="G5" s="148">
        <v>9.21899103E8</v>
      </c>
      <c r="H5" s="312"/>
      <c r="I5" s="313" t="s">
        <v>104</v>
      </c>
      <c r="J5" s="313">
        <f t="shared" ref="J5:J6" si="1">200+1200</f>
        <v>1400</v>
      </c>
      <c r="K5" s="313"/>
      <c r="L5" s="79" t="s">
        <v>80</v>
      </c>
      <c r="M5" s="79" t="s">
        <v>81</v>
      </c>
      <c r="N5" s="82">
        <f t="shared" ref="N5:N6" si="2">200+1200</f>
        <v>1400</v>
      </c>
      <c r="O5" s="227"/>
      <c r="P5" s="82" t="s">
        <v>44</v>
      </c>
      <c r="Q5" s="83">
        <f t="shared" ref="Q5:Q34" si="3">N5+O5</f>
        <v>1400</v>
      </c>
      <c r="R5" s="84"/>
      <c r="S5" s="211"/>
      <c r="T5" s="169"/>
    </row>
    <row r="6" ht="21.75" customHeight="1">
      <c r="A6" s="228">
        <f t="shared" ref="A6:A34" si="4">A5+1</f>
        <v>2</v>
      </c>
      <c r="B6" s="293">
        <v>46011.0</v>
      </c>
      <c r="C6" s="294">
        <v>1.8149957E7</v>
      </c>
      <c r="D6" s="295" t="s">
        <v>1152</v>
      </c>
      <c r="E6" s="296" t="s">
        <v>1153</v>
      </c>
      <c r="F6" s="296" t="s">
        <v>622</v>
      </c>
      <c r="G6" s="148">
        <v>9.97953249E8</v>
      </c>
      <c r="H6" s="312"/>
      <c r="I6" s="313" t="s">
        <v>104</v>
      </c>
      <c r="J6" s="313">
        <f t="shared" si="1"/>
        <v>1400</v>
      </c>
      <c r="K6" s="313"/>
      <c r="L6" s="154" t="s">
        <v>80</v>
      </c>
      <c r="M6" s="154" t="s">
        <v>81</v>
      </c>
      <c r="N6" s="244">
        <f t="shared" si="2"/>
        <v>1400</v>
      </c>
      <c r="O6" s="244"/>
      <c r="P6" s="245" t="s">
        <v>44</v>
      </c>
      <c r="Q6" s="83">
        <f t="shared" si="3"/>
        <v>1400</v>
      </c>
      <c r="R6" s="229"/>
      <c r="S6" s="211"/>
      <c r="T6" s="230"/>
    </row>
    <row r="7" ht="21.75" customHeight="1">
      <c r="A7" s="228">
        <f t="shared" si="4"/>
        <v>3</v>
      </c>
      <c r="B7" s="132">
        <v>46013.0</v>
      </c>
      <c r="C7" s="151">
        <v>4.7162261E7</v>
      </c>
      <c r="D7" s="240" t="s">
        <v>1011</v>
      </c>
      <c r="E7" s="168" t="s">
        <v>1012</v>
      </c>
      <c r="F7" s="168" t="s">
        <v>1013</v>
      </c>
      <c r="G7" s="154" t="s">
        <v>1014</v>
      </c>
      <c r="H7" s="242"/>
      <c r="I7" s="242" t="s">
        <v>104</v>
      </c>
      <c r="J7" s="242">
        <f>200+1300</f>
        <v>1500</v>
      </c>
      <c r="K7" s="242"/>
      <c r="L7" s="154" t="s">
        <v>80</v>
      </c>
      <c r="M7" s="154" t="s">
        <v>98</v>
      </c>
      <c r="N7" s="244">
        <f>200+1300</f>
        <v>1500</v>
      </c>
      <c r="O7" s="244"/>
      <c r="P7" s="245" t="s">
        <v>44</v>
      </c>
      <c r="Q7" s="83">
        <f t="shared" si="3"/>
        <v>1500</v>
      </c>
      <c r="R7" s="229"/>
      <c r="S7" s="211"/>
      <c r="T7" s="230"/>
    </row>
    <row r="8" ht="21.75" customHeight="1">
      <c r="A8" s="228">
        <f t="shared" si="4"/>
        <v>4</v>
      </c>
      <c r="B8" s="319"/>
      <c r="C8" s="148"/>
      <c r="D8" s="323"/>
      <c r="E8" s="317"/>
      <c r="F8" s="296"/>
      <c r="G8" s="296"/>
      <c r="H8" s="324"/>
      <c r="I8" s="242"/>
      <c r="J8" s="313"/>
      <c r="K8" s="313"/>
      <c r="L8" s="154" t="s">
        <v>93</v>
      </c>
      <c r="M8" s="154"/>
      <c r="N8" s="244"/>
      <c r="O8" s="244"/>
      <c r="P8" s="245"/>
      <c r="Q8" s="83">
        <f t="shared" si="3"/>
        <v>0</v>
      </c>
      <c r="R8" s="229" t="s">
        <v>1154</v>
      </c>
      <c r="S8" s="211"/>
      <c r="T8" s="230"/>
    </row>
    <row r="9" ht="21.75" customHeight="1">
      <c r="A9" s="228">
        <f t="shared" si="4"/>
        <v>5</v>
      </c>
      <c r="B9" s="132">
        <v>7716111.0</v>
      </c>
      <c r="C9" s="151">
        <v>4.2588957E7</v>
      </c>
      <c r="D9" s="240" t="s">
        <v>1015</v>
      </c>
      <c r="E9" s="168" t="s">
        <v>1155</v>
      </c>
      <c r="F9" s="168" t="s">
        <v>1001</v>
      </c>
      <c r="G9" s="154" t="s">
        <v>1016</v>
      </c>
      <c r="H9" s="242" t="s">
        <v>104</v>
      </c>
      <c r="I9" s="243"/>
      <c r="J9" s="242">
        <f>500+500+200+300</f>
        <v>1500</v>
      </c>
      <c r="K9" s="242"/>
      <c r="L9" s="154" t="s">
        <v>80</v>
      </c>
      <c r="M9" s="154" t="s">
        <v>98</v>
      </c>
      <c r="N9" s="244">
        <f>500+500+200+300</f>
        <v>1500</v>
      </c>
      <c r="O9" s="244"/>
      <c r="P9" s="245" t="s">
        <v>44</v>
      </c>
      <c r="Q9" s="83">
        <f t="shared" si="3"/>
        <v>1500</v>
      </c>
      <c r="R9" s="229"/>
      <c r="S9" s="211"/>
      <c r="T9" s="230"/>
    </row>
    <row r="10" ht="21.75" customHeight="1">
      <c r="A10" s="228">
        <f t="shared" si="4"/>
        <v>6</v>
      </c>
      <c r="B10" s="132">
        <v>46030.0</v>
      </c>
      <c r="C10" s="151">
        <v>7.6785683E7</v>
      </c>
      <c r="D10" s="240" t="s">
        <v>1052</v>
      </c>
      <c r="E10" s="168" t="s">
        <v>1053</v>
      </c>
      <c r="F10" s="168" t="s">
        <v>1054</v>
      </c>
      <c r="G10" s="154" t="s">
        <v>1055</v>
      </c>
      <c r="H10" s="242"/>
      <c r="I10" s="242" t="s">
        <v>104</v>
      </c>
      <c r="J10" s="242">
        <f>200+1300</f>
        <v>1500</v>
      </c>
      <c r="K10" s="242"/>
      <c r="L10" s="154" t="s">
        <v>80</v>
      </c>
      <c r="M10" s="154" t="s">
        <v>81</v>
      </c>
      <c r="N10" s="244">
        <f>200+1300</f>
        <v>1500</v>
      </c>
      <c r="O10" s="244"/>
      <c r="P10" s="245" t="s">
        <v>44</v>
      </c>
      <c r="Q10" s="83">
        <f t="shared" si="3"/>
        <v>1500</v>
      </c>
      <c r="R10" s="229"/>
      <c r="S10" s="211"/>
      <c r="T10" s="230"/>
    </row>
    <row r="11" ht="21.75" customHeight="1">
      <c r="A11" s="228">
        <f t="shared" si="4"/>
        <v>7</v>
      </c>
      <c r="B11" s="132">
        <v>46030.0</v>
      </c>
      <c r="C11" s="151">
        <v>6.1790541E7</v>
      </c>
      <c r="D11" s="240" t="s">
        <v>1156</v>
      </c>
      <c r="E11" s="168" t="s">
        <v>1157</v>
      </c>
      <c r="F11" s="168" t="s">
        <v>357</v>
      </c>
      <c r="G11" s="149">
        <v>9.26827849E8</v>
      </c>
      <c r="H11" s="242" t="s">
        <v>104</v>
      </c>
      <c r="I11" s="243"/>
      <c r="J11" s="242">
        <f>300+500+500+200</f>
        <v>1500</v>
      </c>
      <c r="K11" s="242"/>
      <c r="L11" s="154" t="s">
        <v>80</v>
      </c>
      <c r="M11" s="154" t="s">
        <v>81</v>
      </c>
      <c r="N11" s="244">
        <v>1500.0</v>
      </c>
      <c r="O11" s="244"/>
      <c r="P11" s="245" t="s">
        <v>44</v>
      </c>
      <c r="Q11" s="83">
        <f t="shared" si="3"/>
        <v>1500</v>
      </c>
      <c r="R11" s="229"/>
      <c r="S11" s="211"/>
      <c r="T11" s="230"/>
    </row>
    <row r="12" ht="21.75" customHeight="1">
      <c r="A12" s="228">
        <f t="shared" si="4"/>
        <v>8</v>
      </c>
      <c r="B12" s="132">
        <v>46030.0</v>
      </c>
      <c r="C12" s="151">
        <v>4.8020635E7</v>
      </c>
      <c r="D12" s="240" t="s">
        <v>1158</v>
      </c>
      <c r="E12" s="168"/>
      <c r="F12" s="168" t="s">
        <v>1159</v>
      </c>
      <c r="G12" s="154">
        <v>9.31198369E8</v>
      </c>
      <c r="H12" s="190"/>
      <c r="I12" s="242" t="s">
        <v>104</v>
      </c>
      <c r="J12" s="242">
        <f>200+200+400</f>
        <v>800</v>
      </c>
      <c r="K12" s="242">
        <v>1000.0</v>
      </c>
      <c r="L12" s="286" t="s">
        <v>93</v>
      </c>
      <c r="M12" s="154" t="s">
        <v>81</v>
      </c>
      <c r="N12" s="244">
        <f>200+600</f>
        <v>800</v>
      </c>
      <c r="O12" s="244"/>
      <c r="P12" s="245" t="s">
        <v>44</v>
      </c>
      <c r="Q12" s="83">
        <f t="shared" si="3"/>
        <v>800</v>
      </c>
      <c r="R12" s="229" t="s">
        <v>1127</v>
      </c>
      <c r="S12" s="211"/>
      <c r="T12" s="230"/>
    </row>
    <row r="13" ht="21.75" customHeight="1">
      <c r="A13" s="228">
        <f t="shared" si="4"/>
        <v>9</v>
      </c>
      <c r="B13" s="132">
        <v>46031.0</v>
      </c>
      <c r="C13" s="149">
        <v>4.6636853E7</v>
      </c>
      <c r="D13" s="238" t="s">
        <v>1160</v>
      </c>
      <c r="E13" s="179" t="s">
        <v>1161</v>
      </c>
      <c r="F13" s="304" t="s">
        <v>537</v>
      </c>
      <c r="G13" s="286" t="s">
        <v>1162</v>
      </c>
      <c r="H13" s="242" t="s">
        <v>104</v>
      </c>
      <c r="I13" s="243"/>
      <c r="J13" s="242">
        <v>1400.0</v>
      </c>
      <c r="K13" s="242"/>
      <c r="L13" s="154" t="s">
        <v>80</v>
      </c>
      <c r="M13" s="154" t="s">
        <v>164</v>
      </c>
      <c r="N13" s="244">
        <v>1400.0</v>
      </c>
      <c r="O13" s="244"/>
      <c r="P13" s="245" t="s">
        <v>44</v>
      </c>
      <c r="Q13" s="83">
        <f t="shared" si="3"/>
        <v>1400</v>
      </c>
      <c r="R13" s="229"/>
      <c r="S13" s="211"/>
      <c r="T13" s="230"/>
    </row>
    <row r="14" ht="21.75" customHeight="1">
      <c r="A14" s="228">
        <f t="shared" si="4"/>
        <v>10</v>
      </c>
      <c r="B14" s="132">
        <v>46032.0</v>
      </c>
      <c r="C14" s="151">
        <v>4.3382092E7</v>
      </c>
      <c r="D14" s="240" t="s">
        <v>1163</v>
      </c>
      <c r="E14" s="168" t="s">
        <v>1164</v>
      </c>
      <c r="F14" s="168"/>
      <c r="G14" s="154" t="s">
        <v>1165</v>
      </c>
      <c r="H14" s="242" t="s">
        <v>104</v>
      </c>
      <c r="I14" s="243"/>
      <c r="J14" s="242">
        <f>500+1000</f>
        <v>1500</v>
      </c>
      <c r="K14" s="242"/>
      <c r="L14" s="154" t="s">
        <v>80</v>
      </c>
      <c r="M14" s="154" t="s">
        <v>278</v>
      </c>
      <c r="N14" s="244">
        <f>500+500+500</f>
        <v>1500</v>
      </c>
      <c r="O14" s="244"/>
      <c r="P14" s="245" t="s">
        <v>44</v>
      </c>
      <c r="Q14" s="83">
        <f t="shared" si="3"/>
        <v>1500</v>
      </c>
      <c r="R14" s="229"/>
      <c r="S14" s="211"/>
      <c r="T14" s="230"/>
    </row>
    <row r="15" ht="21.75" customHeight="1">
      <c r="A15" s="228">
        <f t="shared" si="4"/>
        <v>11</v>
      </c>
      <c r="B15" s="132">
        <v>46034.0</v>
      </c>
      <c r="C15" s="149">
        <v>7.3158664E7</v>
      </c>
      <c r="D15" s="238" t="s">
        <v>1166</v>
      </c>
      <c r="E15" s="179" t="s">
        <v>1167</v>
      </c>
      <c r="F15" s="304" t="s">
        <v>1151</v>
      </c>
      <c r="G15" s="149">
        <v>9.15352766E8</v>
      </c>
      <c r="H15" s="242" t="s">
        <v>104</v>
      </c>
      <c r="I15" s="242"/>
      <c r="J15" s="242">
        <f>300+1200</f>
        <v>1500</v>
      </c>
      <c r="K15" s="242"/>
      <c r="L15" s="154" t="s">
        <v>80</v>
      </c>
      <c r="M15" s="154" t="s">
        <v>164</v>
      </c>
      <c r="N15" s="244">
        <f>300+1200</f>
        <v>1500</v>
      </c>
      <c r="O15" s="244"/>
      <c r="P15" s="245" t="s">
        <v>44</v>
      </c>
      <c r="Q15" s="83">
        <f t="shared" si="3"/>
        <v>1500</v>
      </c>
      <c r="R15" s="229"/>
      <c r="S15" s="211"/>
      <c r="T15" s="230"/>
    </row>
    <row r="16" ht="21.75" customHeight="1">
      <c r="A16" s="228">
        <f t="shared" si="4"/>
        <v>12</v>
      </c>
      <c r="B16" s="132">
        <v>46035.0</v>
      </c>
      <c r="C16" s="286">
        <v>4.7843276E7</v>
      </c>
      <c r="D16" s="304" t="s">
        <v>1168</v>
      </c>
      <c r="E16" s="168" t="s">
        <v>1169</v>
      </c>
      <c r="F16" s="168" t="s">
        <v>96</v>
      </c>
      <c r="G16" s="154" t="s">
        <v>1170</v>
      </c>
      <c r="I16" s="242" t="s">
        <v>104</v>
      </c>
      <c r="J16" s="242">
        <f>300+1000</f>
        <v>1300</v>
      </c>
      <c r="K16" s="242"/>
      <c r="L16" s="154" t="s">
        <v>80</v>
      </c>
      <c r="M16" s="154" t="s">
        <v>164</v>
      </c>
      <c r="N16" s="244">
        <v>300.0</v>
      </c>
      <c r="O16" s="244">
        <v>1000.0</v>
      </c>
      <c r="P16" s="245" t="s">
        <v>44</v>
      </c>
      <c r="Q16" s="83">
        <f t="shared" si="3"/>
        <v>1300</v>
      </c>
      <c r="R16" s="229"/>
      <c r="S16" s="211"/>
      <c r="T16" s="230"/>
    </row>
    <row r="17" ht="21.75" customHeight="1">
      <c r="A17" s="228">
        <f t="shared" si="4"/>
        <v>13</v>
      </c>
      <c r="B17" s="132">
        <v>46035.0</v>
      </c>
      <c r="C17" s="149">
        <v>1.0719169E7</v>
      </c>
      <c r="D17" s="238" t="s">
        <v>1068</v>
      </c>
      <c r="E17" s="179" t="s">
        <v>1171</v>
      </c>
      <c r="F17" s="304" t="s">
        <v>1013</v>
      </c>
      <c r="G17" s="149">
        <v>9.90494288E8</v>
      </c>
      <c r="H17" s="242"/>
      <c r="I17" s="242" t="s">
        <v>104</v>
      </c>
      <c r="J17" s="242">
        <f>600+900</f>
        <v>1500</v>
      </c>
      <c r="K17" s="242"/>
      <c r="L17" s="154" t="s">
        <v>80</v>
      </c>
      <c r="M17" s="154" t="s">
        <v>164</v>
      </c>
      <c r="N17" s="244">
        <f>600+900</f>
        <v>1500</v>
      </c>
      <c r="O17" s="244"/>
      <c r="P17" s="245" t="s">
        <v>44</v>
      </c>
      <c r="Q17" s="83">
        <f t="shared" si="3"/>
        <v>1500</v>
      </c>
      <c r="R17" s="229"/>
      <c r="S17" s="211"/>
      <c r="T17" s="230"/>
    </row>
    <row r="18" ht="21.75" customHeight="1">
      <c r="A18" s="228">
        <f t="shared" si="4"/>
        <v>14</v>
      </c>
      <c r="B18" s="165"/>
      <c r="C18" s="149"/>
      <c r="D18" s="238"/>
      <c r="E18" s="325"/>
      <c r="F18" s="168"/>
      <c r="G18" s="154"/>
      <c r="H18" s="242"/>
      <c r="I18" s="242" t="s">
        <v>71</v>
      </c>
      <c r="J18" s="242"/>
      <c r="K18" s="242"/>
      <c r="L18" s="154"/>
      <c r="M18" s="154"/>
      <c r="N18" s="244"/>
      <c r="O18" s="244"/>
      <c r="P18" s="245" t="s">
        <v>47</v>
      </c>
      <c r="Q18" s="83">
        <f t="shared" si="3"/>
        <v>0</v>
      </c>
      <c r="R18" s="229"/>
      <c r="S18" s="211"/>
      <c r="T18" s="230"/>
    </row>
    <row r="19" ht="21.75" customHeight="1">
      <c r="A19" s="228">
        <f t="shared" si="4"/>
        <v>15</v>
      </c>
      <c r="B19" s="132">
        <v>46037.0</v>
      </c>
      <c r="C19" s="151">
        <v>1.0107901791E10</v>
      </c>
      <c r="D19" s="240" t="s">
        <v>1172</v>
      </c>
      <c r="E19" s="168" t="s">
        <v>1173</v>
      </c>
      <c r="F19" s="168" t="s">
        <v>312</v>
      </c>
      <c r="G19" s="154" t="s">
        <v>1174</v>
      </c>
      <c r="H19" s="242" t="s">
        <v>104</v>
      </c>
      <c r="I19" s="243"/>
      <c r="J19" s="242">
        <f>300+1200</f>
        <v>1500</v>
      </c>
      <c r="K19" s="242"/>
      <c r="L19" s="154" t="s">
        <v>80</v>
      </c>
      <c r="M19" s="154" t="s">
        <v>164</v>
      </c>
      <c r="N19" s="244">
        <v>300.0</v>
      </c>
      <c r="O19" s="244">
        <v>1200.0</v>
      </c>
      <c r="P19" s="245" t="s">
        <v>44</v>
      </c>
      <c r="Q19" s="83">
        <f t="shared" si="3"/>
        <v>1500</v>
      </c>
      <c r="R19" s="229"/>
      <c r="S19" s="211"/>
      <c r="T19" s="230"/>
    </row>
    <row r="20" ht="21.75" customHeight="1">
      <c r="A20" s="228">
        <f t="shared" si="4"/>
        <v>16</v>
      </c>
      <c r="B20" s="129">
        <v>46038.0</v>
      </c>
      <c r="C20" s="286">
        <v>7.7087419E7</v>
      </c>
      <c r="D20" s="304" t="s">
        <v>1049</v>
      </c>
      <c r="E20" s="150" t="s">
        <v>1175</v>
      </c>
      <c r="F20" s="304"/>
      <c r="G20" s="154" t="s">
        <v>1051</v>
      </c>
      <c r="H20" s="242"/>
      <c r="I20" s="242" t="s">
        <v>104</v>
      </c>
      <c r="J20" s="242">
        <v>300.0</v>
      </c>
      <c r="K20" s="242">
        <v>1000.0</v>
      </c>
      <c r="L20" s="154" t="s">
        <v>93</v>
      </c>
      <c r="M20" s="154" t="s">
        <v>81</v>
      </c>
      <c r="N20" s="244">
        <v>300.0</v>
      </c>
      <c r="O20" s="244"/>
      <c r="P20" s="245" t="s">
        <v>49</v>
      </c>
      <c r="Q20" s="83">
        <f t="shared" si="3"/>
        <v>300</v>
      </c>
      <c r="R20" s="229" t="s">
        <v>1127</v>
      </c>
      <c r="S20" s="211"/>
      <c r="T20" s="230"/>
    </row>
    <row r="21" ht="21.75" customHeight="1">
      <c r="A21" s="228">
        <f t="shared" si="4"/>
        <v>17</v>
      </c>
      <c r="B21" s="94">
        <v>46041.0</v>
      </c>
      <c r="C21" s="127">
        <v>7.7438358E7</v>
      </c>
      <c r="D21" s="326" t="s">
        <v>1176</v>
      </c>
      <c r="E21" s="168" t="s">
        <v>1177</v>
      </c>
      <c r="F21" s="168" t="s">
        <v>1178</v>
      </c>
      <c r="G21" s="154" t="s">
        <v>1179</v>
      </c>
      <c r="H21" s="242"/>
      <c r="I21" s="242" t="s">
        <v>104</v>
      </c>
      <c r="J21" s="242">
        <v>1500.0</v>
      </c>
      <c r="K21" s="242"/>
      <c r="L21" s="154" t="s">
        <v>80</v>
      </c>
      <c r="M21" s="154" t="s">
        <v>174</v>
      </c>
      <c r="N21" s="244">
        <v>1500.0</v>
      </c>
      <c r="O21" s="244"/>
      <c r="P21" s="245" t="s">
        <v>48</v>
      </c>
      <c r="Q21" s="83">
        <f t="shared" si="3"/>
        <v>1500</v>
      </c>
      <c r="R21" s="229"/>
      <c r="S21" s="211"/>
      <c r="T21" s="230"/>
    </row>
    <row r="22" ht="21.75" customHeight="1">
      <c r="A22" s="228">
        <f t="shared" si="4"/>
        <v>18</v>
      </c>
      <c r="B22" s="88">
        <v>46042.0</v>
      </c>
      <c r="C22" s="127" t="s">
        <v>1180</v>
      </c>
      <c r="D22" s="326" t="s">
        <v>1181</v>
      </c>
      <c r="E22" s="168" t="s">
        <v>1182</v>
      </c>
      <c r="F22" s="168"/>
      <c r="G22" s="154" t="s">
        <v>1183</v>
      </c>
      <c r="H22" s="242"/>
      <c r="I22" s="242" t="s">
        <v>104</v>
      </c>
      <c r="J22" s="242">
        <v>300.0</v>
      </c>
      <c r="K22" s="242">
        <v>1000.0</v>
      </c>
      <c r="L22" s="154" t="s">
        <v>93</v>
      </c>
      <c r="M22" s="154" t="s">
        <v>81</v>
      </c>
      <c r="N22" s="244">
        <v>300.0</v>
      </c>
      <c r="O22" s="244"/>
      <c r="P22" s="245" t="s">
        <v>47</v>
      </c>
      <c r="Q22" s="83">
        <f t="shared" si="3"/>
        <v>300</v>
      </c>
      <c r="R22" s="229" t="s">
        <v>1127</v>
      </c>
      <c r="S22" s="211"/>
      <c r="T22" s="230"/>
    </row>
    <row r="23" ht="21.75" customHeight="1">
      <c r="A23" s="228">
        <f t="shared" si="4"/>
        <v>19</v>
      </c>
      <c r="B23" s="132">
        <v>46043.0</v>
      </c>
      <c r="C23" s="151">
        <v>4.0988719E7</v>
      </c>
      <c r="D23" s="240" t="s">
        <v>1184</v>
      </c>
      <c r="E23" s="168" t="s">
        <v>1185</v>
      </c>
      <c r="F23" s="168" t="s">
        <v>232</v>
      </c>
      <c r="G23" s="154" t="s">
        <v>1186</v>
      </c>
      <c r="H23" s="242"/>
      <c r="I23" s="242" t="s">
        <v>104</v>
      </c>
      <c r="J23" s="242">
        <f t="shared" ref="J23:J24" si="5">200+1100</f>
        <v>1300</v>
      </c>
      <c r="K23" s="242"/>
      <c r="L23" s="154" t="s">
        <v>80</v>
      </c>
      <c r="M23" s="154" t="s">
        <v>81</v>
      </c>
      <c r="N23" s="244">
        <v>200.0</v>
      </c>
      <c r="O23" s="244">
        <v>1100.0</v>
      </c>
      <c r="P23" s="245" t="s">
        <v>44</v>
      </c>
      <c r="Q23" s="83">
        <f t="shared" si="3"/>
        <v>1300</v>
      </c>
      <c r="R23" s="229"/>
      <c r="S23" s="211"/>
      <c r="T23" s="230"/>
    </row>
    <row r="24" ht="21.75" customHeight="1">
      <c r="A24" s="228">
        <f t="shared" si="4"/>
        <v>20</v>
      </c>
      <c r="B24" s="132">
        <v>46045.0</v>
      </c>
      <c r="C24" s="151">
        <v>4.0780085E7</v>
      </c>
      <c r="D24" s="240" t="s">
        <v>1187</v>
      </c>
      <c r="E24" s="168" t="s">
        <v>1188</v>
      </c>
      <c r="F24" s="168"/>
      <c r="G24" s="154" t="s">
        <v>1189</v>
      </c>
      <c r="H24" s="242" t="s">
        <v>104</v>
      </c>
      <c r="I24" s="243"/>
      <c r="J24" s="242">
        <f t="shared" si="5"/>
        <v>1300</v>
      </c>
      <c r="K24" s="242"/>
      <c r="L24" s="154" t="s">
        <v>80</v>
      </c>
      <c r="M24" s="154" t="s">
        <v>278</v>
      </c>
      <c r="N24" s="244">
        <v>200.0</v>
      </c>
      <c r="O24" s="244">
        <v>1100.0</v>
      </c>
      <c r="P24" s="245" t="s">
        <v>44</v>
      </c>
      <c r="Q24" s="83">
        <f t="shared" si="3"/>
        <v>1300</v>
      </c>
      <c r="R24" s="229"/>
      <c r="S24" s="211"/>
      <c r="T24" s="230"/>
    </row>
    <row r="25" ht="21.75" customHeight="1">
      <c r="A25" s="228">
        <f t="shared" si="4"/>
        <v>21</v>
      </c>
      <c r="B25" s="78">
        <v>46045.0</v>
      </c>
      <c r="C25" s="151">
        <v>2.5789881E7</v>
      </c>
      <c r="D25" s="240" t="s">
        <v>1190</v>
      </c>
      <c r="E25" s="168" t="s">
        <v>1191</v>
      </c>
      <c r="F25" s="168"/>
      <c r="G25" s="154" t="s">
        <v>1192</v>
      </c>
      <c r="H25" s="242" t="s">
        <v>79</v>
      </c>
      <c r="I25" s="243"/>
      <c r="J25" s="327">
        <f>300+500</f>
        <v>800</v>
      </c>
      <c r="K25" s="242">
        <v>500.0</v>
      </c>
      <c r="L25" s="154" t="s">
        <v>93</v>
      </c>
      <c r="M25" s="154" t="s">
        <v>174</v>
      </c>
      <c r="N25" s="244">
        <f>300</f>
        <v>300</v>
      </c>
      <c r="O25" s="244">
        <v>500.0</v>
      </c>
      <c r="P25" s="245" t="s">
        <v>50</v>
      </c>
      <c r="Q25" s="83">
        <f t="shared" si="3"/>
        <v>800</v>
      </c>
      <c r="R25" s="229" t="s">
        <v>1127</v>
      </c>
      <c r="S25" s="211"/>
      <c r="T25" s="230"/>
    </row>
    <row r="26" ht="21.75" customHeight="1">
      <c r="A26" s="228">
        <f t="shared" si="4"/>
        <v>22</v>
      </c>
      <c r="B26" s="328">
        <v>46046.0</v>
      </c>
      <c r="C26" s="151">
        <v>7.4730077E7</v>
      </c>
      <c r="D26" s="238" t="s">
        <v>1193</v>
      </c>
      <c r="E26" s="168" t="s">
        <v>1194</v>
      </c>
      <c r="F26" s="168" t="s">
        <v>1195</v>
      </c>
      <c r="G26" s="154"/>
      <c r="H26" s="242"/>
      <c r="I26" s="243"/>
      <c r="J26" s="242"/>
      <c r="K26" s="242"/>
      <c r="L26" s="154" t="s">
        <v>93</v>
      </c>
      <c r="M26" s="154"/>
      <c r="N26" s="244"/>
      <c r="O26" s="244"/>
      <c r="P26" s="245" t="s">
        <v>44</v>
      </c>
      <c r="Q26" s="83">
        <f t="shared" si="3"/>
        <v>0</v>
      </c>
      <c r="R26" s="229"/>
      <c r="S26" s="211"/>
      <c r="T26" s="230"/>
    </row>
    <row r="27" ht="21.75" customHeight="1">
      <c r="A27" s="228">
        <f t="shared" si="4"/>
        <v>23</v>
      </c>
      <c r="B27" s="329">
        <v>46046.0</v>
      </c>
      <c r="C27" s="151">
        <v>4.2161125E7</v>
      </c>
      <c r="D27" s="240" t="s">
        <v>1196</v>
      </c>
      <c r="E27" s="168" t="s">
        <v>1197</v>
      </c>
      <c r="F27" s="168" t="s">
        <v>1198</v>
      </c>
      <c r="G27" s="154" t="s">
        <v>1199</v>
      </c>
      <c r="H27" s="242" t="s">
        <v>104</v>
      </c>
      <c r="I27" s="243"/>
      <c r="J27" s="242">
        <f>200+500+400+200</f>
        <v>1300</v>
      </c>
      <c r="K27" s="242"/>
      <c r="L27" s="154" t="s">
        <v>80</v>
      </c>
      <c r="M27" s="154" t="s">
        <v>98</v>
      </c>
      <c r="N27" s="244">
        <f>200+500+400</f>
        <v>1100</v>
      </c>
      <c r="O27" s="244">
        <v>200.0</v>
      </c>
      <c r="P27" s="245" t="s">
        <v>44</v>
      </c>
      <c r="Q27" s="83">
        <f t="shared" si="3"/>
        <v>1300</v>
      </c>
      <c r="R27" s="229"/>
      <c r="S27" s="211"/>
      <c r="T27" s="230"/>
    </row>
    <row r="28" ht="21.75" customHeight="1">
      <c r="A28" s="228">
        <f t="shared" si="4"/>
        <v>24</v>
      </c>
      <c r="B28" s="87"/>
      <c r="C28" s="151"/>
      <c r="D28" s="240"/>
      <c r="E28" s="168"/>
      <c r="F28" s="168"/>
      <c r="G28" s="154"/>
      <c r="H28" s="242"/>
      <c r="I28" s="243"/>
      <c r="J28" s="242"/>
      <c r="K28" s="242"/>
      <c r="L28" s="154"/>
      <c r="M28" s="154"/>
      <c r="N28" s="244"/>
      <c r="O28" s="244"/>
      <c r="P28" s="245"/>
      <c r="Q28" s="83">
        <f t="shared" si="3"/>
        <v>0</v>
      </c>
      <c r="R28" s="229"/>
      <c r="S28" s="211"/>
      <c r="T28" s="230"/>
    </row>
    <row r="29" ht="21.75" customHeight="1">
      <c r="A29" s="228">
        <f t="shared" si="4"/>
        <v>25</v>
      </c>
      <c r="B29" s="87"/>
      <c r="C29" s="151"/>
      <c r="D29" s="240"/>
      <c r="E29" s="168"/>
      <c r="F29" s="168"/>
      <c r="G29" s="154"/>
      <c r="H29" s="242"/>
      <c r="I29" s="243"/>
      <c r="J29" s="242"/>
      <c r="K29" s="242"/>
      <c r="L29" s="154"/>
      <c r="M29" s="154"/>
      <c r="N29" s="244"/>
      <c r="O29" s="244"/>
      <c r="P29" s="245"/>
      <c r="Q29" s="83">
        <f t="shared" si="3"/>
        <v>0</v>
      </c>
      <c r="R29" s="229"/>
      <c r="S29" s="211"/>
      <c r="T29" s="230"/>
    </row>
    <row r="30" ht="21.75" customHeight="1">
      <c r="A30" s="228">
        <f t="shared" si="4"/>
        <v>26</v>
      </c>
      <c r="B30" s="87"/>
      <c r="C30" s="151"/>
      <c r="D30" s="240"/>
      <c r="E30" s="168"/>
      <c r="F30" s="168"/>
      <c r="G30" s="154"/>
      <c r="H30" s="242"/>
      <c r="I30" s="243"/>
      <c r="J30" s="242"/>
      <c r="K30" s="242"/>
      <c r="L30" s="154"/>
      <c r="M30" s="154"/>
      <c r="N30" s="244"/>
      <c r="O30" s="244"/>
      <c r="P30" s="245"/>
      <c r="Q30" s="83">
        <f t="shared" si="3"/>
        <v>0</v>
      </c>
      <c r="R30" s="229"/>
      <c r="S30" s="211"/>
      <c r="T30" s="230"/>
    </row>
    <row r="31" ht="21.75" customHeight="1">
      <c r="A31" s="228">
        <f t="shared" si="4"/>
        <v>27</v>
      </c>
      <c r="B31" s="87"/>
      <c r="C31" s="151"/>
      <c r="D31" s="240"/>
      <c r="E31" s="168"/>
      <c r="F31" s="168"/>
      <c r="G31" s="154"/>
      <c r="H31" s="242"/>
      <c r="I31" s="243"/>
      <c r="J31" s="242"/>
      <c r="K31" s="242"/>
      <c r="L31" s="154"/>
      <c r="M31" s="154"/>
      <c r="N31" s="244"/>
      <c r="O31" s="244"/>
      <c r="P31" s="245"/>
      <c r="Q31" s="83">
        <f t="shared" si="3"/>
        <v>0</v>
      </c>
      <c r="R31" s="229"/>
      <c r="S31" s="211"/>
      <c r="T31" s="230"/>
    </row>
    <row r="32" ht="21.75" customHeight="1">
      <c r="A32" s="228">
        <f t="shared" si="4"/>
        <v>28</v>
      </c>
      <c r="B32" s="87"/>
      <c r="C32" s="151"/>
      <c r="D32" s="240"/>
      <c r="E32" s="168"/>
      <c r="F32" s="168"/>
      <c r="G32" s="154"/>
      <c r="H32" s="242"/>
      <c r="I32" s="243"/>
      <c r="J32" s="242"/>
      <c r="K32" s="242"/>
      <c r="L32" s="154"/>
      <c r="M32" s="154"/>
      <c r="N32" s="244"/>
      <c r="O32" s="244"/>
      <c r="P32" s="245"/>
      <c r="Q32" s="83">
        <f t="shared" si="3"/>
        <v>0</v>
      </c>
      <c r="R32" s="229"/>
      <c r="S32" s="211"/>
      <c r="T32" s="230"/>
    </row>
    <row r="33" ht="21.75" customHeight="1">
      <c r="A33" s="228">
        <f t="shared" si="4"/>
        <v>29</v>
      </c>
      <c r="B33" s="87"/>
      <c r="C33" s="151"/>
      <c r="D33" s="240"/>
      <c r="E33" s="168"/>
      <c r="F33" s="168"/>
      <c r="G33" s="154"/>
      <c r="H33" s="242"/>
      <c r="I33" s="243"/>
      <c r="J33" s="242"/>
      <c r="K33" s="242"/>
      <c r="L33" s="154"/>
      <c r="M33" s="154"/>
      <c r="N33" s="244"/>
      <c r="O33" s="244"/>
      <c r="P33" s="245"/>
      <c r="Q33" s="83">
        <f t="shared" si="3"/>
        <v>0</v>
      </c>
      <c r="R33" s="229"/>
      <c r="S33" s="211"/>
      <c r="T33" s="230"/>
    </row>
    <row r="34" ht="21.75" customHeight="1">
      <c r="A34" s="228">
        <f t="shared" si="4"/>
        <v>30</v>
      </c>
      <c r="B34" s="87"/>
      <c r="C34" s="79"/>
      <c r="D34" s="232"/>
      <c r="E34" s="226"/>
      <c r="F34" s="79"/>
      <c r="G34" s="79"/>
      <c r="H34" s="81"/>
      <c r="I34" s="79"/>
      <c r="J34" s="79"/>
      <c r="K34" s="79"/>
      <c r="L34" s="79"/>
      <c r="M34" s="79"/>
      <c r="N34" s="82"/>
      <c r="O34" s="227"/>
      <c r="P34" s="82"/>
      <c r="Q34" s="83">
        <f t="shared" si="3"/>
        <v>0</v>
      </c>
      <c r="R34" s="84"/>
      <c r="S34" s="211"/>
      <c r="T34" s="230"/>
    </row>
    <row r="35" ht="21.75" customHeight="1">
      <c r="A35" s="247"/>
      <c r="B35" s="248"/>
      <c r="C35" s="247"/>
      <c r="D35" s="247"/>
      <c r="E35" s="247"/>
      <c r="F35" s="247"/>
      <c r="G35" s="249" t="s">
        <v>178</v>
      </c>
      <c r="H35" s="250">
        <f t="shared" ref="H35:I35" si="6">COUNTIF(H4:H34,"X")</f>
        <v>9</v>
      </c>
      <c r="I35" s="250">
        <f t="shared" si="6"/>
        <v>11</v>
      </c>
      <c r="J35" s="251">
        <f t="shared" ref="J35:K35" si="7">SUM(J4:J34)</f>
        <v>25100</v>
      </c>
      <c r="K35" s="251">
        <f t="shared" si="7"/>
        <v>3500</v>
      </c>
      <c r="L35" s="252"/>
      <c r="M35" s="253"/>
      <c r="N35" s="251">
        <f t="shared" ref="N35:O35" si="8">SUM(N4:N34)</f>
        <v>20000</v>
      </c>
      <c r="O35" s="251">
        <f t="shared" si="8"/>
        <v>5100</v>
      </c>
      <c r="P35" s="247"/>
      <c r="Q35" s="247"/>
      <c r="R35" s="253"/>
      <c r="S35" s="212"/>
      <c r="T35" s="169"/>
    </row>
    <row r="36" ht="19.5" customHeight="1">
      <c r="A36" s="105"/>
      <c r="B36" s="255"/>
      <c r="C36" s="105"/>
      <c r="D36" s="105"/>
      <c r="E36" s="105"/>
      <c r="F36" s="105"/>
      <c r="G36" s="256" t="s">
        <v>179</v>
      </c>
      <c r="H36" s="257">
        <v>27.0</v>
      </c>
      <c r="I36" s="257">
        <v>27.0</v>
      </c>
      <c r="J36" s="258">
        <f>SUM(J35:K35)</f>
        <v>28600</v>
      </c>
      <c r="K36" s="103"/>
      <c r="L36" s="105"/>
      <c r="M36" s="169"/>
      <c r="N36" s="258">
        <f>SUM(N35:O35)</f>
        <v>25100</v>
      </c>
      <c r="O36" s="103"/>
      <c r="P36" s="105"/>
      <c r="Q36" s="105"/>
      <c r="R36" s="169"/>
      <c r="S36" s="212"/>
      <c r="T36" s="169"/>
    </row>
    <row r="37" ht="19.5" customHeight="1">
      <c r="A37" s="105"/>
      <c r="B37" s="255"/>
      <c r="C37" s="105"/>
      <c r="D37" s="169"/>
      <c r="E37" s="169"/>
      <c r="F37" s="169"/>
      <c r="G37" s="260" t="s">
        <v>180</v>
      </c>
      <c r="H37" s="261">
        <f t="shared" ref="H37:I37" si="9">H36-H35</f>
        <v>18</v>
      </c>
      <c r="I37" s="261">
        <f t="shared" si="9"/>
        <v>16</v>
      </c>
      <c r="J37" s="262" t="s">
        <v>181</v>
      </c>
      <c r="K37" s="109"/>
      <c r="L37" s="105"/>
      <c r="M37" s="169"/>
      <c r="N37" s="262" t="s">
        <v>182</v>
      </c>
      <c r="O37" s="109"/>
      <c r="P37" s="263"/>
      <c r="Q37" s="263"/>
      <c r="R37" s="169"/>
      <c r="S37" s="212"/>
      <c r="T37" s="169"/>
    </row>
    <row r="38" ht="19.5" customHeight="1">
      <c r="A38" s="105"/>
      <c r="B38" s="255"/>
      <c r="C38" s="105"/>
      <c r="D38" s="169"/>
      <c r="E38" s="169"/>
      <c r="F38" s="169"/>
      <c r="G38" s="105"/>
      <c r="H38" s="264">
        <v>150.0</v>
      </c>
      <c r="I38" s="264">
        <v>150.0</v>
      </c>
      <c r="J38" s="105"/>
      <c r="K38" s="105"/>
      <c r="L38" s="105"/>
      <c r="M38" s="169"/>
      <c r="N38" s="263"/>
      <c r="O38" s="263"/>
      <c r="P38" s="263"/>
      <c r="Q38" s="263"/>
      <c r="R38" s="169"/>
      <c r="S38" s="212"/>
      <c r="T38" s="230" t="s">
        <v>68</v>
      </c>
    </row>
    <row r="39" ht="19.5" customHeight="1">
      <c r="A39" s="105"/>
      <c r="B39" s="255"/>
      <c r="C39" s="105"/>
      <c r="D39" s="169"/>
      <c r="E39" s="169"/>
      <c r="F39" s="169"/>
      <c r="G39" s="105"/>
      <c r="H39" s="265">
        <f t="shared" ref="H39:I39" si="10">H37*H38</f>
        <v>2700</v>
      </c>
      <c r="I39" s="265">
        <f t="shared" si="10"/>
        <v>2400</v>
      </c>
      <c r="J39" s="105"/>
      <c r="K39" s="105"/>
      <c r="L39" s="105"/>
      <c r="M39" s="169"/>
      <c r="N39" s="263"/>
      <c r="O39" s="263"/>
      <c r="P39" s="263"/>
      <c r="Q39" s="263"/>
      <c r="R39" s="169"/>
      <c r="S39" s="212"/>
      <c r="T39" s="169"/>
    </row>
    <row r="40" ht="19.5" customHeight="1">
      <c r="A40" s="105"/>
      <c r="B40" s="255"/>
      <c r="C40" s="105"/>
      <c r="D40" s="169"/>
      <c r="E40" s="169"/>
      <c r="F40" s="169"/>
      <c r="G40" s="105"/>
      <c r="H40" s="266">
        <f>SUM(H39:I39)</f>
        <v>5100</v>
      </c>
      <c r="I40" s="109"/>
      <c r="J40" s="105"/>
      <c r="K40" s="105"/>
      <c r="L40" s="105"/>
      <c r="M40" s="169"/>
      <c r="N40" s="263"/>
      <c r="O40" s="263"/>
      <c r="P40" s="263"/>
      <c r="Q40" s="263"/>
      <c r="R40" s="169"/>
      <c r="S40" s="212"/>
      <c r="T40" s="169"/>
    </row>
    <row r="41" ht="19.5" customHeight="1">
      <c r="A41" s="105"/>
      <c r="B41" s="255"/>
      <c r="C41" s="105"/>
      <c r="D41" s="169"/>
      <c r="E41" s="169"/>
      <c r="F41" s="169"/>
      <c r="G41" s="105"/>
      <c r="H41" s="105"/>
      <c r="I41" s="105"/>
      <c r="J41" s="105"/>
      <c r="K41" s="105"/>
      <c r="L41" s="105"/>
      <c r="M41" s="169"/>
      <c r="N41" s="169"/>
      <c r="O41" s="169"/>
      <c r="P41" s="169"/>
      <c r="Q41" s="169"/>
      <c r="R41" s="169"/>
      <c r="S41" s="212"/>
      <c r="T41" s="169"/>
    </row>
    <row r="42" ht="19.5" customHeight="1">
      <c r="A42" s="105"/>
      <c r="B42" s="255"/>
      <c r="C42" s="105"/>
      <c r="D42" s="169"/>
      <c r="E42" s="169"/>
      <c r="F42" s="169"/>
      <c r="G42" s="105"/>
      <c r="H42" s="105"/>
      <c r="I42" s="105"/>
      <c r="J42" s="105"/>
      <c r="K42" s="105"/>
      <c r="L42" s="105"/>
      <c r="M42" s="169"/>
      <c r="N42" s="169"/>
      <c r="O42" s="169"/>
      <c r="P42" s="169"/>
      <c r="Q42" s="169"/>
      <c r="R42" s="169"/>
      <c r="S42" s="212"/>
      <c r="T42" s="169"/>
    </row>
    <row r="43" ht="19.5" customHeight="1">
      <c r="A43" s="105"/>
      <c r="B43" s="255"/>
      <c r="C43" s="105"/>
      <c r="D43" s="169"/>
      <c r="E43" s="169"/>
      <c r="F43" s="169"/>
      <c r="G43" s="105"/>
      <c r="H43" s="105"/>
      <c r="I43" s="105"/>
      <c r="J43" s="105"/>
      <c r="K43" s="105"/>
      <c r="L43" s="105"/>
      <c r="M43" s="169"/>
      <c r="N43" s="169"/>
      <c r="O43" s="169"/>
      <c r="P43" s="169"/>
      <c r="Q43" s="169"/>
      <c r="R43" s="169"/>
      <c r="S43" s="212"/>
      <c r="T43" s="169"/>
    </row>
    <row r="44" ht="19.5" customHeight="1">
      <c r="A44" s="105"/>
      <c r="B44" s="255"/>
      <c r="C44" s="105"/>
      <c r="D44" s="169"/>
      <c r="E44" s="169"/>
      <c r="F44" s="169"/>
      <c r="G44" s="105"/>
      <c r="H44" s="105"/>
      <c r="I44" s="105"/>
      <c r="J44" s="105"/>
      <c r="K44" s="105"/>
      <c r="L44" s="105"/>
      <c r="M44" s="169"/>
      <c r="N44" s="169"/>
      <c r="O44" s="169"/>
      <c r="P44" s="169"/>
      <c r="Q44" s="169"/>
      <c r="R44" s="169"/>
      <c r="S44" s="212"/>
      <c r="T44" s="169"/>
    </row>
  </sheetData>
  <customSheetViews>
    <customSheetView guid="{A9B8627E-26B2-4201-803A-467C3700F329}" filter="1" showAutoFilter="1">
      <autoFilter ref="$A$2:$T$44"/>
    </customSheetView>
    <customSheetView guid="{BA335440-5B37-4C05-BCDC-9CD4D4923240}" filter="1" showAutoFilter="1">
      <autoFilter ref="$A$1:$T$44"/>
    </customSheetView>
    <customSheetView guid="{E5EE51B3-DE45-4D2E-9071-A5BED79D171F}" filter="1" showAutoFilter="1">
      <autoFilter ref="$A$2:$T$44"/>
    </customSheetView>
    <customSheetView guid="{BD076BCF-39B8-44C5-BF95-7B82C910DEB0}" filter="1" showAutoFilter="1">
      <autoFilter ref="$A$4:$T$40"/>
    </customSheetView>
  </customSheetViews>
  <mergeCells count="8">
    <mergeCell ref="A2:M2"/>
    <mergeCell ref="A3:F3"/>
    <mergeCell ref="G3:I3"/>
    <mergeCell ref="J36:K36"/>
    <mergeCell ref="N36:O36"/>
    <mergeCell ref="J37:K37"/>
    <mergeCell ref="N37:O37"/>
    <mergeCell ref="H40:I40"/>
  </mergeCells>
  <conditionalFormatting sqref="M5:M34 R5:R34">
    <cfRule type="containsText" dxfId="3" priority="1" operator="containsText" text="fh">
      <formula>NOT(ISERROR(SEARCH(("fh"),(M5))))</formula>
    </cfRule>
  </conditionalFormatting>
  <conditionalFormatting sqref="L1 L4:L34 M4 N8:O14 N16:O18 L36:L39 L41:L44">
    <cfRule type="containsText" dxfId="0" priority="2" operator="containsText" text="COBR">
      <formula>NOT(ISERROR(SEARCH(("COBR"),(L1))))</formula>
    </cfRule>
  </conditionalFormatting>
  <conditionalFormatting sqref="L1 L4:L34 M4 N8:O14 N16:O18 L36:L39 L41:L44">
    <cfRule type="containsText" dxfId="1" priority="3" operator="containsText" text="INTE">
      <formula>NOT(ISERROR(SEARCH(("INTE"),(L1))))</formula>
    </cfRule>
  </conditionalFormatting>
  <conditionalFormatting sqref="L1 L4:L34 M4 J36 L36:L39 N36 L41:L44">
    <cfRule type="containsText" dxfId="2" priority="4" operator="containsText" text="DESC">
      <formula>NOT(ISERROR(SEARCH(("DESC"),(L1))))</formula>
    </cfRule>
  </conditionalFormatting>
  <dataValidations>
    <dataValidation type="list" allowBlank="1" showErrorMessage="1" sqref="M5:M34">
      <formula1>CUENTAS</formula1>
    </dataValidation>
    <dataValidation type="list" allowBlank="1" showErrorMessage="1" sqref="P5:P34">
      <formula1>VENDEDOR</formula1>
    </dataValidation>
    <dataValidation type="list" allowBlank="1" showErrorMessage="1" sqref="L5:L34">
      <formula1>SITUACION</formula1>
    </dataValidation>
  </dataValidations>
  <hyperlinks>
    <hyperlink r:id="rId1" ref="E13"/>
    <hyperlink r:id="rId2" ref="E15"/>
    <hyperlink r:id="rId3" ref="E17"/>
    <hyperlink r:id="rId4" ref="E20"/>
  </hyperlinks>
  <printOptions gridLines="1" horizontalCentered="1"/>
  <pageMargins bottom="0.6" footer="0.0" header="0.0" left="0.18446313842671508" right="0.1947110905615326" top="0.21520699483116765"/>
  <pageSetup fitToHeight="0" paperSize="9" cellComments="atEnd" orientation="landscape" pageOrder="overThenDown"/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13.13"/>
    <col customWidth="1" min="4" max="4" width="30.38"/>
    <col customWidth="1" min="5" max="6" width="19.5"/>
    <col customWidth="1" min="7" max="7" width="18.63"/>
    <col customWidth="1" min="8" max="8" width="11.75"/>
    <col customWidth="1" min="9" max="11" width="12.63"/>
    <col customWidth="1" min="12" max="12" width="14.38"/>
    <col customWidth="1" min="13" max="13" width="14.75"/>
    <col customWidth="1" min="14" max="15" width="12.63"/>
    <col customWidth="1" min="16" max="19" width="21.63"/>
    <col customWidth="1" min="20" max="20" width="2.25"/>
  </cols>
  <sheetData>
    <row r="1" ht="19.5" customHeight="1">
      <c r="A1" s="186"/>
      <c r="B1" s="209"/>
      <c r="C1" s="58"/>
      <c r="D1" s="139"/>
      <c r="E1" s="139"/>
      <c r="F1" s="139"/>
      <c r="G1" s="58"/>
      <c r="H1" s="58"/>
      <c r="I1" s="58"/>
      <c r="J1" s="58"/>
      <c r="K1" s="58"/>
      <c r="L1" s="58"/>
      <c r="M1" s="139"/>
      <c r="N1" s="169"/>
      <c r="O1" s="169"/>
      <c r="P1" s="169"/>
      <c r="Q1" s="169"/>
      <c r="R1" s="169"/>
      <c r="S1" s="169"/>
      <c r="T1" s="169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211"/>
      <c r="O2" s="212"/>
      <c r="P2" s="212"/>
      <c r="Q2" s="212"/>
      <c r="R2" s="212"/>
      <c r="S2" s="212"/>
      <c r="T2" s="169"/>
    </row>
    <row r="3" ht="30.75" customHeight="1">
      <c r="A3" s="117" t="s">
        <v>1101</v>
      </c>
      <c r="B3" s="60"/>
      <c r="C3" s="60"/>
      <c r="D3" s="60"/>
      <c r="E3" s="60"/>
      <c r="F3" s="60"/>
      <c r="G3" s="67" t="s">
        <v>1102</v>
      </c>
      <c r="H3" s="60"/>
      <c r="I3" s="60"/>
      <c r="J3" s="214"/>
      <c r="K3" s="214"/>
      <c r="L3" s="214"/>
      <c r="M3" s="215"/>
      <c r="N3" s="216"/>
      <c r="O3" s="217"/>
      <c r="P3" s="217"/>
      <c r="Q3" s="217"/>
      <c r="R3" s="217"/>
      <c r="S3" s="212"/>
      <c r="T3" s="169"/>
    </row>
    <row r="4" ht="27.0" customHeight="1">
      <c r="A4" s="73" t="s">
        <v>0</v>
      </c>
      <c r="B4" s="219" t="s">
        <v>7</v>
      </c>
      <c r="C4" s="73" t="s">
        <v>8</v>
      </c>
      <c r="D4" s="73" t="s">
        <v>9</v>
      </c>
      <c r="E4" s="73" t="s">
        <v>10</v>
      </c>
      <c r="F4" s="73" t="s">
        <v>11</v>
      </c>
      <c r="G4" s="73" t="s">
        <v>12</v>
      </c>
      <c r="H4" s="220">
        <v>45492.0</v>
      </c>
      <c r="I4" s="220">
        <v>45492.0</v>
      </c>
      <c r="J4" s="221" t="s">
        <v>15</v>
      </c>
      <c r="K4" s="221" t="s">
        <v>16</v>
      </c>
      <c r="L4" s="221" t="s">
        <v>17</v>
      </c>
      <c r="M4" s="221" t="s">
        <v>18</v>
      </c>
      <c r="N4" s="222" t="s">
        <v>19</v>
      </c>
      <c r="O4" s="222" t="s">
        <v>20</v>
      </c>
      <c r="P4" s="222" t="s">
        <v>21</v>
      </c>
      <c r="Q4" s="222" t="s">
        <v>22</v>
      </c>
      <c r="R4" s="73" t="s">
        <v>74</v>
      </c>
      <c r="S4" s="211"/>
      <c r="T4" s="105"/>
    </row>
    <row r="5" ht="21.75" customHeight="1">
      <c r="A5" s="224">
        <v>1.0</v>
      </c>
      <c r="B5" s="132">
        <v>46026.0</v>
      </c>
      <c r="C5" s="296"/>
      <c r="D5" s="317" t="s">
        <v>1200</v>
      </c>
      <c r="E5" s="296"/>
      <c r="F5" s="296"/>
      <c r="G5" s="296"/>
      <c r="H5" s="330"/>
      <c r="I5" s="296"/>
      <c r="J5" s="311">
        <v>200.0</v>
      </c>
      <c r="K5" s="148"/>
      <c r="L5" s="311" t="s">
        <v>80</v>
      </c>
      <c r="M5" s="148"/>
      <c r="N5" s="331">
        <v>200.0</v>
      </c>
      <c r="O5" s="332"/>
      <c r="P5" s="333" t="s">
        <v>44</v>
      </c>
      <c r="Q5" s="334">
        <f t="shared" ref="Q5:Q34" si="1">N5+O5</f>
        <v>200</v>
      </c>
      <c r="R5" s="84" t="s">
        <v>74</v>
      </c>
      <c r="S5" s="211"/>
      <c r="T5" s="169"/>
    </row>
    <row r="6" ht="21.75" customHeight="1">
      <c r="A6" s="228">
        <f t="shared" ref="A6:A34" si="2">A5+1</f>
        <v>2</v>
      </c>
      <c r="B6" s="132">
        <v>46031.0</v>
      </c>
      <c r="C6" s="296"/>
      <c r="D6" s="317" t="s">
        <v>1201</v>
      </c>
      <c r="E6" s="296"/>
      <c r="F6" s="296"/>
      <c r="G6" s="296"/>
      <c r="H6" s="312"/>
      <c r="I6" s="312"/>
      <c r="J6" s="314">
        <v>400.0</v>
      </c>
      <c r="K6" s="314"/>
      <c r="L6" s="311" t="s">
        <v>80</v>
      </c>
      <c r="M6" s="311" t="s">
        <v>800</v>
      </c>
      <c r="N6" s="335">
        <v>400.0</v>
      </c>
      <c r="O6" s="336"/>
      <c r="P6" s="333" t="s">
        <v>44</v>
      </c>
      <c r="Q6" s="334">
        <f t="shared" si="1"/>
        <v>400</v>
      </c>
      <c r="R6" s="229"/>
      <c r="S6" s="211"/>
      <c r="T6" s="230"/>
    </row>
    <row r="7" ht="21.75" customHeight="1">
      <c r="A7" s="228">
        <f t="shared" si="2"/>
        <v>3</v>
      </c>
      <c r="B7" s="132">
        <v>46028.0</v>
      </c>
      <c r="C7" s="296"/>
      <c r="D7" s="317" t="s">
        <v>1202</v>
      </c>
      <c r="E7" s="296"/>
      <c r="F7" s="296"/>
      <c r="G7" s="296"/>
      <c r="H7" s="312"/>
      <c r="I7" s="312"/>
      <c r="J7" s="314">
        <v>500.0</v>
      </c>
      <c r="K7" s="314"/>
      <c r="L7" s="311" t="s">
        <v>80</v>
      </c>
      <c r="M7" s="311" t="s">
        <v>800</v>
      </c>
      <c r="N7" s="335">
        <v>500.0</v>
      </c>
      <c r="O7" s="336"/>
      <c r="P7" s="333" t="s">
        <v>44</v>
      </c>
      <c r="Q7" s="334">
        <f t="shared" si="1"/>
        <v>500</v>
      </c>
      <c r="R7" s="229"/>
      <c r="S7" s="211"/>
      <c r="T7" s="230"/>
    </row>
    <row r="8" ht="21.75" customHeight="1">
      <c r="A8" s="228">
        <f t="shared" si="2"/>
        <v>4</v>
      </c>
      <c r="B8" s="132">
        <v>46030.0</v>
      </c>
      <c r="C8" s="296"/>
      <c r="D8" s="317" t="s">
        <v>1203</v>
      </c>
      <c r="E8" s="296"/>
      <c r="F8" s="296"/>
      <c r="G8" s="296"/>
      <c r="H8" s="312"/>
      <c r="I8" s="312"/>
      <c r="J8" s="314">
        <v>500.0</v>
      </c>
      <c r="K8" s="314"/>
      <c r="L8" s="311" t="s">
        <v>80</v>
      </c>
      <c r="M8" s="148"/>
      <c r="N8" s="335">
        <v>500.0</v>
      </c>
      <c r="O8" s="336"/>
      <c r="P8" s="333" t="s">
        <v>44</v>
      </c>
      <c r="Q8" s="334">
        <f t="shared" si="1"/>
        <v>500</v>
      </c>
      <c r="R8" s="229"/>
      <c r="S8" s="211"/>
      <c r="T8" s="230"/>
    </row>
    <row r="9" ht="21.75" customHeight="1">
      <c r="A9" s="228">
        <f t="shared" si="2"/>
        <v>5</v>
      </c>
      <c r="B9" s="337"/>
      <c r="C9" s="338"/>
      <c r="D9" s="339" t="s">
        <v>1204</v>
      </c>
      <c r="E9" s="340" t="s">
        <v>1205</v>
      </c>
      <c r="F9" s="338"/>
      <c r="G9" s="338"/>
      <c r="H9" s="341"/>
      <c r="I9" s="341"/>
      <c r="J9" s="342"/>
      <c r="K9" s="343">
        <v>500.0</v>
      </c>
      <c r="L9" s="311" t="s">
        <v>93</v>
      </c>
      <c r="M9" s="148"/>
      <c r="N9" s="335">
        <v>0.0</v>
      </c>
      <c r="O9" s="336"/>
      <c r="P9" s="333" t="s">
        <v>44</v>
      </c>
      <c r="Q9" s="334">
        <f t="shared" si="1"/>
        <v>0</v>
      </c>
      <c r="R9" s="229"/>
      <c r="S9" s="211"/>
      <c r="T9" s="230"/>
    </row>
    <row r="10" ht="21.75" customHeight="1">
      <c r="A10" s="228">
        <f t="shared" si="2"/>
        <v>6</v>
      </c>
      <c r="B10" s="132">
        <v>46035.0</v>
      </c>
      <c r="C10" s="296"/>
      <c r="D10" s="317" t="s">
        <v>1206</v>
      </c>
      <c r="E10" s="296"/>
      <c r="F10" s="296"/>
      <c r="G10" s="296"/>
      <c r="H10" s="312"/>
      <c r="I10" s="312"/>
      <c r="J10" s="344">
        <f>200+400</f>
        <v>600</v>
      </c>
      <c r="K10" s="314"/>
      <c r="L10" s="311" t="s">
        <v>80</v>
      </c>
      <c r="M10" s="148"/>
      <c r="N10" s="345">
        <f>400+200</f>
        <v>600</v>
      </c>
      <c r="O10" s="336"/>
      <c r="P10" s="333" t="s">
        <v>44</v>
      </c>
      <c r="Q10" s="334">
        <f t="shared" si="1"/>
        <v>600</v>
      </c>
      <c r="R10" s="229"/>
      <c r="S10" s="211"/>
      <c r="T10" s="230"/>
    </row>
    <row r="11" ht="21.75" customHeight="1">
      <c r="A11" s="228">
        <f t="shared" si="2"/>
        <v>7</v>
      </c>
      <c r="B11" s="87"/>
      <c r="C11" s="296"/>
      <c r="D11" s="296"/>
      <c r="E11" s="296"/>
      <c r="F11" s="296"/>
      <c r="G11" s="296"/>
      <c r="H11" s="312"/>
      <c r="I11" s="312"/>
      <c r="J11" s="313"/>
      <c r="K11" s="313"/>
      <c r="L11" s="296"/>
      <c r="M11" s="148"/>
      <c r="N11" s="346"/>
      <c r="O11" s="336"/>
      <c r="P11" s="332"/>
      <c r="Q11" s="334">
        <f t="shared" si="1"/>
        <v>0</v>
      </c>
      <c r="R11" s="229"/>
      <c r="S11" s="211"/>
      <c r="T11" s="230"/>
    </row>
    <row r="12" ht="21.75" customHeight="1">
      <c r="A12" s="228">
        <f t="shared" si="2"/>
        <v>8</v>
      </c>
      <c r="B12" s="87"/>
      <c r="C12" s="296"/>
      <c r="D12" s="296"/>
      <c r="E12" s="296"/>
      <c r="F12" s="296"/>
      <c r="G12" s="296"/>
      <c r="H12" s="312"/>
      <c r="I12" s="312"/>
      <c r="J12" s="313"/>
      <c r="K12" s="313"/>
      <c r="L12" s="296"/>
      <c r="M12" s="148"/>
      <c r="N12" s="346"/>
      <c r="O12" s="336"/>
      <c r="P12" s="332"/>
      <c r="Q12" s="334">
        <f t="shared" si="1"/>
        <v>0</v>
      </c>
      <c r="R12" s="229"/>
      <c r="S12" s="211"/>
      <c r="T12" s="230"/>
    </row>
    <row r="13" ht="21.75" customHeight="1">
      <c r="A13" s="228">
        <f t="shared" si="2"/>
        <v>9</v>
      </c>
      <c r="B13" s="87"/>
      <c r="C13" s="296"/>
      <c r="D13" s="296"/>
      <c r="E13" s="296"/>
      <c r="F13" s="296"/>
      <c r="G13" s="296"/>
      <c r="H13" s="312"/>
      <c r="I13" s="312"/>
      <c r="J13" s="313"/>
      <c r="K13" s="313"/>
      <c r="L13" s="296"/>
      <c r="M13" s="148"/>
      <c r="N13" s="336"/>
      <c r="O13" s="336"/>
      <c r="P13" s="332"/>
      <c r="Q13" s="334">
        <f t="shared" si="1"/>
        <v>0</v>
      </c>
      <c r="R13" s="229"/>
      <c r="S13" s="211"/>
      <c r="T13" s="230"/>
    </row>
    <row r="14" ht="21.75" customHeight="1">
      <c r="A14" s="228">
        <f t="shared" si="2"/>
        <v>10</v>
      </c>
      <c r="B14" s="87"/>
      <c r="C14" s="296"/>
      <c r="D14" s="296"/>
      <c r="E14" s="296"/>
      <c r="F14" s="296"/>
      <c r="G14" s="296"/>
      <c r="H14" s="312"/>
      <c r="I14" s="312"/>
      <c r="J14" s="313"/>
      <c r="K14" s="313"/>
      <c r="L14" s="296"/>
      <c r="M14" s="296"/>
      <c r="N14" s="336"/>
      <c r="O14" s="336"/>
      <c r="P14" s="332"/>
      <c r="Q14" s="334">
        <f t="shared" si="1"/>
        <v>0</v>
      </c>
      <c r="R14" s="229"/>
      <c r="S14" s="211"/>
      <c r="T14" s="230"/>
    </row>
    <row r="15" ht="21.75" customHeight="1">
      <c r="A15" s="228">
        <f t="shared" si="2"/>
        <v>11</v>
      </c>
      <c r="B15" s="87"/>
      <c r="C15" s="296"/>
      <c r="D15" s="296"/>
      <c r="E15" s="296"/>
      <c r="F15" s="296"/>
      <c r="G15" s="296"/>
      <c r="H15" s="312"/>
      <c r="I15" s="312"/>
      <c r="J15" s="313"/>
      <c r="K15" s="313"/>
      <c r="L15" s="296"/>
      <c r="M15" s="296"/>
      <c r="N15" s="336"/>
      <c r="O15" s="336"/>
      <c r="P15" s="332"/>
      <c r="Q15" s="334">
        <f t="shared" si="1"/>
        <v>0</v>
      </c>
      <c r="R15" s="229"/>
      <c r="S15" s="211"/>
      <c r="T15" s="230"/>
    </row>
    <row r="16" ht="21.75" customHeight="1">
      <c r="A16" s="228">
        <f t="shared" si="2"/>
        <v>12</v>
      </c>
      <c r="B16" s="87"/>
      <c r="C16" s="296"/>
      <c r="D16" s="296"/>
      <c r="E16" s="296"/>
      <c r="F16" s="296"/>
      <c r="G16" s="296"/>
      <c r="H16" s="312"/>
      <c r="I16" s="312"/>
      <c r="J16" s="313"/>
      <c r="K16" s="313"/>
      <c r="L16" s="296"/>
      <c r="M16" s="296"/>
      <c r="N16" s="336"/>
      <c r="O16" s="336"/>
      <c r="P16" s="332"/>
      <c r="Q16" s="334">
        <f t="shared" si="1"/>
        <v>0</v>
      </c>
      <c r="R16" s="229"/>
      <c r="S16" s="211"/>
      <c r="T16" s="230"/>
    </row>
    <row r="17" ht="21.75" customHeight="1">
      <c r="A17" s="228">
        <f t="shared" si="2"/>
        <v>13</v>
      </c>
      <c r="B17" s="87"/>
      <c r="C17" s="296"/>
      <c r="D17" s="296"/>
      <c r="E17" s="296"/>
      <c r="F17" s="296"/>
      <c r="G17" s="296"/>
      <c r="H17" s="312"/>
      <c r="I17" s="312"/>
      <c r="J17" s="313"/>
      <c r="K17" s="313"/>
      <c r="L17" s="296"/>
      <c r="M17" s="296"/>
      <c r="N17" s="336"/>
      <c r="O17" s="336"/>
      <c r="P17" s="332"/>
      <c r="Q17" s="334">
        <f t="shared" si="1"/>
        <v>0</v>
      </c>
      <c r="R17" s="229"/>
      <c r="S17" s="211"/>
      <c r="T17" s="230"/>
    </row>
    <row r="18" ht="21.75" customHeight="1">
      <c r="A18" s="228">
        <f t="shared" si="2"/>
        <v>14</v>
      </c>
      <c r="B18" s="87"/>
      <c r="C18" s="296"/>
      <c r="D18" s="296"/>
      <c r="E18" s="296"/>
      <c r="F18" s="296"/>
      <c r="G18" s="296"/>
      <c r="H18" s="312"/>
      <c r="I18" s="312"/>
      <c r="J18" s="312"/>
      <c r="K18" s="312"/>
      <c r="L18" s="296"/>
      <c r="M18" s="296"/>
      <c r="N18" s="336"/>
      <c r="O18" s="336"/>
      <c r="P18" s="332"/>
      <c r="Q18" s="334">
        <f t="shared" si="1"/>
        <v>0</v>
      </c>
      <c r="R18" s="229"/>
      <c r="S18" s="211"/>
      <c r="T18" s="230"/>
    </row>
    <row r="19" ht="21.75" customHeight="1">
      <c r="A19" s="228">
        <f t="shared" si="2"/>
        <v>15</v>
      </c>
      <c r="B19" s="87"/>
      <c r="C19" s="296"/>
      <c r="D19" s="296"/>
      <c r="E19" s="296"/>
      <c r="F19" s="296"/>
      <c r="G19" s="296"/>
      <c r="H19" s="312"/>
      <c r="I19" s="312"/>
      <c r="J19" s="312"/>
      <c r="K19" s="312"/>
      <c r="L19" s="296"/>
      <c r="M19" s="296"/>
      <c r="N19" s="336"/>
      <c r="O19" s="336"/>
      <c r="P19" s="332"/>
      <c r="Q19" s="334">
        <f t="shared" si="1"/>
        <v>0</v>
      </c>
      <c r="R19" s="229"/>
      <c r="S19" s="211"/>
      <c r="T19" s="230"/>
    </row>
    <row r="20" ht="21.75" customHeight="1">
      <c r="A20" s="228">
        <f t="shared" si="2"/>
        <v>16</v>
      </c>
      <c r="B20" s="87"/>
      <c r="C20" s="296"/>
      <c r="D20" s="296"/>
      <c r="E20" s="296"/>
      <c r="F20" s="296"/>
      <c r="G20" s="296"/>
      <c r="H20" s="312"/>
      <c r="I20" s="312"/>
      <c r="J20" s="312"/>
      <c r="K20" s="312"/>
      <c r="L20" s="296"/>
      <c r="M20" s="296"/>
      <c r="N20" s="336"/>
      <c r="O20" s="336"/>
      <c r="P20" s="332"/>
      <c r="Q20" s="334">
        <f t="shared" si="1"/>
        <v>0</v>
      </c>
      <c r="R20" s="229"/>
      <c r="S20" s="211"/>
      <c r="T20" s="230"/>
    </row>
    <row r="21" ht="21.75" customHeight="1">
      <c r="A21" s="228">
        <f t="shared" si="2"/>
        <v>17</v>
      </c>
      <c r="B21" s="87"/>
      <c r="C21" s="296"/>
      <c r="D21" s="296"/>
      <c r="E21" s="296"/>
      <c r="F21" s="296"/>
      <c r="G21" s="296"/>
      <c r="H21" s="312"/>
      <c r="I21" s="312"/>
      <c r="J21" s="312"/>
      <c r="K21" s="312"/>
      <c r="L21" s="296"/>
      <c r="M21" s="296"/>
      <c r="N21" s="336"/>
      <c r="O21" s="336"/>
      <c r="P21" s="332"/>
      <c r="Q21" s="334">
        <f t="shared" si="1"/>
        <v>0</v>
      </c>
      <c r="R21" s="229"/>
      <c r="S21" s="211"/>
      <c r="T21" s="230"/>
    </row>
    <row r="22" ht="21.75" customHeight="1">
      <c r="A22" s="228">
        <f t="shared" si="2"/>
        <v>18</v>
      </c>
      <c r="B22" s="87"/>
      <c r="C22" s="296"/>
      <c r="D22" s="296"/>
      <c r="E22" s="296"/>
      <c r="F22" s="296"/>
      <c r="G22" s="296"/>
      <c r="H22" s="312"/>
      <c r="I22" s="312"/>
      <c r="J22" s="312"/>
      <c r="K22" s="312"/>
      <c r="L22" s="296"/>
      <c r="M22" s="296"/>
      <c r="N22" s="336"/>
      <c r="O22" s="336"/>
      <c r="P22" s="332"/>
      <c r="Q22" s="334">
        <f t="shared" si="1"/>
        <v>0</v>
      </c>
      <c r="R22" s="229"/>
      <c r="S22" s="211"/>
      <c r="T22" s="230"/>
    </row>
    <row r="23" ht="21.75" customHeight="1">
      <c r="A23" s="228">
        <f t="shared" si="2"/>
        <v>19</v>
      </c>
      <c r="B23" s="87"/>
      <c r="C23" s="296"/>
      <c r="D23" s="296"/>
      <c r="E23" s="296"/>
      <c r="F23" s="296"/>
      <c r="G23" s="296"/>
      <c r="H23" s="312"/>
      <c r="I23" s="312"/>
      <c r="J23" s="312"/>
      <c r="K23" s="312"/>
      <c r="L23" s="296"/>
      <c r="M23" s="296"/>
      <c r="N23" s="336"/>
      <c r="O23" s="336"/>
      <c r="P23" s="332"/>
      <c r="Q23" s="334">
        <f t="shared" si="1"/>
        <v>0</v>
      </c>
      <c r="R23" s="229"/>
      <c r="S23" s="211"/>
      <c r="T23" s="230"/>
    </row>
    <row r="24" ht="21.75" customHeight="1">
      <c r="A24" s="228">
        <f t="shared" si="2"/>
        <v>20</v>
      </c>
      <c r="B24" s="87"/>
      <c r="C24" s="296"/>
      <c r="D24" s="296"/>
      <c r="E24" s="296"/>
      <c r="F24" s="296"/>
      <c r="G24" s="296"/>
      <c r="H24" s="312"/>
      <c r="I24" s="312"/>
      <c r="J24" s="312"/>
      <c r="K24" s="312"/>
      <c r="L24" s="296"/>
      <c r="M24" s="296"/>
      <c r="N24" s="336"/>
      <c r="O24" s="336"/>
      <c r="P24" s="332"/>
      <c r="Q24" s="334">
        <f t="shared" si="1"/>
        <v>0</v>
      </c>
      <c r="R24" s="229"/>
      <c r="S24" s="211"/>
      <c r="T24" s="230"/>
    </row>
    <row r="25" ht="21.75" customHeight="1">
      <c r="A25" s="228">
        <f t="shared" si="2"/>
        <v>21</v>
      </c>
      <c r="B25" s="87"/>
      <c r="C25" s="296"/>
      <c r="D25" s="296"/>
      <c r="E25" s="296"/>
      <c r="F25" s="296"/>
      <c r="G25" s="296"/>
      <c r="H25" s="312"/>
      <c r="I25" s="312"/>
      <c r="J25" s="312"/>
      <c r="K25" s="312"/>
      <c r="L25" s="296"/>
      <c r="M25" s="296"/>
      <c r="N25" s="336"/>
      <c r="O25" s="336"/>
      <c r="P25" s="332"/>
      <c r="Q25" s="334">
        <f t="shared" si="1"/>
        <v>0</v>
      </c>
      <c r="R25" s="229"/>
      <c r="S25" s="211"/>
      <c r="T25" s="230"/>
    </row>
    <row r="26" ht="21.75" customHeight="1">
      <c r="A26" s="228">
        <f t="shared" si="2"/>
        <v>22</v>
      </c>
      <c r="B26" s="87"/>
      <c r="C26" s="296"/>
      <c r="D26" s="296"/>
      <c r="E26" s="296"/>
      <c r="F26" s="296"/>
      <c r="G26" s="296"/>
      <c r="H26" s="312"/>
      <c r="I26" s="312"/>
      <c r="J26" s="312"/>
      <c r="K26" s="312"/>
      <c r="L26" s="296"/>
      <c r="M26" s="296"/>
      <c r="N26" s="336"/>
      <c r="O26" s="336"/>
      <c r="P26" s="332"/>
      <c r="Q26" s="334">
        <f t="shared" si="1"/>
        <v>0</v>
      </c>
      <c r="R26" s="229"/>
      <c r="S26" s="211"/>
      <c r="T26" s="230"/>
    </row>
    <row r="27" ht="21.75" customHeight="1">
      <c r="A27" s="228">
        <f t="shared" si="2"/>
        <v>23</v>
      </c>
      <c r="B27" s="87"/>
      <c r="C27" s="296"/>
      <c r="D27" s="296"/>
      <c r="E27" s="296"/>
      <c r="F27" s="296"/>
      <c r="G27" s="296"/>
      <c r="H27" s="312"/>
      <c r="I27" s="312"/>
      <c r="J27" s="312"/>
      <c r="K27" s="312"/>
      <c r="L27" s="296"/>
      <c r="M27" s="296"/>
      <c r="N27" s="336"/>
      <c r="O27" s="336"/>
      <c r="P27" s="332"/>
      <c r="Q27" s="334">
        <f t="shared" si="1"/>
        <v>0</v>
      </c>
      <c r="R27" s="229"/>
      <c r="S27" s="211"/>
      <c r="T27" s="230"/>
    </row>
    <row r="28" ht="21.75" customHeight="1">
      <c r="A28" s="228">
        <f t="shared" si="2"/>
        <v>24</v>
      </c>
      <c r="B28" s="87"/>
      <c r="C28" s="296"/>
      <c r="D28" s="296"/>
      <c r="E28" s="296"/>
      <c r="F28" s="296"/>
      <c r="G28" s="296"/>
      <c r="H28" s="312"/>
      <c r="I28" s="312"/>
      <c r="J28" s="312"/>
      <c r="K28" s="312"/>
      <c r="L28" s="296"/>
      <c r="M28" s="296"/>
      <c r="N28" s="336"/>
      <c r="O28" s="336"/>
      <c r="P28" s="332"/>
      <c r="Q28" s="334">
        <f t="shared" si="1"/>
        <v>0</v>
      </c>
      <c r="R28" s="229"/>
      <c r="S28" s="211"/>
      <c r="T28" s="230"/>
    </row>
    <row r="29" ht="21.75" customHeight="1">
      <c r="A29" s="228">
        <f t="shared" si="2"/>
        <v>25</v>
      </c>
      <c r="B29" s="87"/>
      <c r="C29" s="296"/>
      <c r="D29" s="296"/>
      <c r="E29" s="296"/>
      <c r="F29" s="296"/>
      <c r="G29" s="296"/>
      <c r="H29" s="312"/>
      <c r="I29" s="312"/>
      <c r="J29" s="312"/>
      <c r="K29" s="312"/>
      <c r="L29" s="296"/>
      <c r="M29" s="296"/>
      <c r="N29" s="336"/>
      <c r="O29" s="336"/>
      <c r="P29" s="332"/>
      <c r="Q29" s="334">
        <f t="shared" si="1"/>
        <v>0</v>
      </c>
      <c r="R29" s="229"/>
      <c r="S29" s="211"/>
      <c r="T29" s="230"/>
    </row>
    <row r="30" ht="21.75" customHeight="1">
      <c r="A30" s="228">
        <f t="shared" si="2"/>
        <v>26</v>
      </c>
      <c r="B30" s="87"/>
      <c r="C30" s="296"/>
      <c r="D30" s="296"/>
      <c r="E30" s="296"/>
      <c r="F30" s="296"/>
      <c r="G30" s="296"/>
      <c r="H30" s="312"/>
      <c r="I30" s="312"/>
      <c r="J30" s="312"/>
      <c r="K30" s="312"/>
      <c r="L30" s="296"/>
      <c r="M30" s="296"/>
      <c r="N30" s="336"/>
      <c r="O30" s="336"/>
      <c r="P30" s="332"/>
      <c r="Q30" s="334">
        <f t="shared" si="1"/>
        <v>0</v>
      </c>
      <c r="R30" s="229"/>
      <c r="S30" s="211"/>
      <c r="T30" s="230"/>
    </row>
    <row r="31" ht="21.75" customHeight="1">
      <c r="A31" s="228">
        <f t="shared" si="2"/>
        <v>27</v>
      </c>
      <c r="B31" s="87"/>
      <c r="C31" s="296"/>
      <c r="D31" s="296"/>
      <c r="E31" s="296"/>
      <c r="F31" s="296"/>
      <c r="G31" s="296"/>
      <c r="H31" s="312"/>
      <c r="I31" s="312"/>
      <c r="J31" s="312"/>
      <c r="K31" s="312"/>
      <c r="L31" s="296"/>
      <c r="M31" s="296"/>
      <c r="N31" s="336"/>
      <c r="O31" s="336"/>
      <c r="P31" s="332"/>
      <c r="Q31" s="334">
        <f t="shared" si="1"/>
        <v>0</v>
      </c>
      <c r="R31" s="229"/>
      <c r="S31" s="211"/>
      <c r="T31" s="230"/>
    </row>
    <row r="32" ht="21.75" customHeight="1">
      <c r="A32" s="228">
        <f t="shared" si="2"/>
        <v>28</v>
      </c>
      <c r="B32" s="87"/>
      <c r="C32" s="296"/>
      <c r="D32" s="296"/>
      <c r="E32" s="296"/>
      <c r="F32" s="296"/>
      <c r="G32" s="296"/>
      <c r="H32" s="312"/>
      <c r="I32" s="312"/>
      <c r="J32" s="312"/>
      <c r="K32" s="312"/>
      <c r="L32" s="296"/>
      <c r="M32" s="296"/>
      <c r="N32" s="336"/>
      <c r="O32" s="336"/>
      <c r="P32" s="332"/>
      <c r="Q32" s="334">
        <f t="shared" si="1"/>
        <v>0</v>
      </c>
      <c r="R32" s="229"/>
      <c r="S32" s="211"/>
      <c r="T32" s="230"/>
    </row>
    <row r="33" ht="21.75" customHeight="1">
      <c r="A33" s="228">
        <f t="shared" si="2"/>
        <v>29</v>
      </c>
      <c r="B33" s="87"/>
      <c r="C33" s="296"/>
      <c r="D33" s="296"/>
      <c r="E33" s="296"/>
      <c r="F33" s="296"/>
      <c r="G33" s="296"/>
      <c r="H33" s="312"/>
      <c r="I33" s="312"/>
      <c r="J33" s="312"/>
      <c r="K33" s="312"/>
      <c r="L33" s="296"/>
      <c r="M33" s="296"/>
      <c r="N33" s="336"/>
      <c r="O33" s="336"/>
      <c r="P33" s="332"/>
      <c r="Q33" s="334">
        <f t="shared" si="1"/>
        <v>0</v>
      </c>
      <c r="R33" s="229"/>
      <c r="S33" s="211"/>
      <c r="T33" s="230"/>
    </row>
    <row r="34" ht="21.75" customHeight="1">
      <c r="A34" s="228">
        <f t="shared" si="2"/>
        <v>30</v>
      </c>
      <c r="B34" s="87"/>
      <c r="C34" s="296"/>
      <c r="D34" s="296"/>
      <c r="E34" s="296"/>
      <c r="F34" s="296"/>
      <c r="G34" s="296"/>
      <c r="H34" s="330"/>
      <c r="I34" s="296"/>
      <c r="J34" s="296"/>
      <c r="K34" s="296"/>
      <c r="L34" s="296"/>
      <c r="M34" s="296"/>
      <c r="N34" s="332"/>
      <c r="O34" s="332"/>
      <c r="P34" s="332"/>
      <c r="Q34" s="334">
        <f t="shared" si="1"/>
        <v>0</v>
      </c>
      <c r="R34" s="84" t="s">
        <v>74</v>
      </c>
      <c r="S34" s="211"/>
      <c r="T34" s="230"/>
    </row>
    <row r="35" ht="21.75" customHeight="1">
      <c r="A35" s="247"/>
      <c r="B35" s="248"/>
      <c r="C35" s="247"/>
      <c r="D35" s="247"/>
      <c r="E35" s="247"/>
      <c r="F35" s="247"/>
      <c r="G35" s="249" t="s">
        <v>178</v>
      </c>
      <c r="H35" s="250">
        <f t="shared" ref="H35:I35" si="3">COUNTIF(H4:H34,"X")</f>
        <v>0</v>
      </c>
      <c r="I35" s="250">
        <f t="shared" si="3"/>
        <v>0</v>
      </c>
      <c r="J35" s="251">
        <f t="shared" ref="J35:K35" si="4">SUM(J4:J34)</f>
        <v>2200</v>
      </c>
      <c r="K35" s="251">
        <f t="shared" si="4"/>
        <v>500</v>
      </c>
      <c r="L35" s="252"/>
      <c r="M35" s="253"/>
      <c r="N35" s="251">
        <f t="shared" ref="N35:O35" si="5">SUM(N4:N34)</f>
        <v>2200</v>
      </c>
      <c r="O35" s="251">
        <f t="shared" si="5"/>
        <v>0</v>
      </c>
      <c r="P35" s="247"/>
      <c r="Q35" s="247"/>
      <c r="R35" s="253"/>
      <c r="S35" s="212"/>
      <c r="T35" s="169"/>
    </row>
    <row r="36" ht="19.5" customHeight="1">
      <c r="A36" s="105"/>
      <c r="B36" s="255"/>
      <c r="C36" s="105"/>
      <c r="D36" s="105"/>
      <c r="E36" s="105"/>
      <c r="F36" s="105"/>
      <c r="G36" s="256" t="s">
        <v>179</v>
      </c>
      <c r="H36" s="257">
        <v>27.0</v>
      </c>
      <c r="I36" s="257">
        <v>27.0</v>
      </c>
      <c r="J36" s="258">
        <f>SUM(J35:K35)</f>
        <v>2700</v>
      </c>
      <c r="K36" s="103"/>
      <c r="L36" s="105"/>
      <c r="M36" s="169"/>
      <c r="N36" s="258">
        <f>SUM(N35:O35)</f>
        <v>2200</v>
      </c>
      <c r="O36" s="103"/>
      <c r="P36" s="105"/>
      <c r="Q36" s="105"/>
      <c r="R36" s="169"/>
      <c r="S36" s="212"/>
      <c r="T36" s="169"/>
    </row>
    <row r="37" ht="19.5" customHeight="1">
      <c r="A37" s="105"/>
      <c r="B37" s="255"/>
      <c r="C37" s="105"/>
      <c r="D37" s="169"/>
      <c r="E37" s="169"/>
      <c r="F37" s="169"/>
      <c r="G37" s="260" t="s">
        <v>180</v>
      </c>
      <c r="H37" s="261">
        <f t="shared" ref="H37:I37" si="6">H36-H35</f>
        <v>27</v>
      </c>
      <c r="I37" s="261">
        <f t="shared" si="6"/>
        <v>27</v>
      </c>
      <c r="J37" s="262" t="s">
        <v>181</v>
      </c>
      <c r="K37" s="109"/>
      <c r="L37" s="105"/>
      <c r="M37" s="169"/>
      <c r="N37" s="262" t="s">
        <v>182</v>
      </c>
      <c r="O37" s="109"/>
      <c r="P37" s="263"/>
      <c r="Q37" s="263"/>
      <c r="R37" s="169"/>
      <c r="S37" s="212"/>
      <c r="T37" s="169"/>
    </row>
    <row r="38" ht="19.5" customHeight="1">
      <c r="A38" s="105"/>
      <c r="B38" s="255"/>
      <c r="C38" s="105"/>
      <c r="D38" s="169"/>
      <c r="E38" s="169"/>
      <c r="F38" s="169"/>
      <c r="G38" s="105"/>
      <c r="H38" s="264">
        <v>150.0</v>
      </c>
      <c r="I38" s="264">
        <v>150.0</v>
      </c>
      <c r="J38" s="105"/>
      <c r="K38" s="105"/>
      <c r="L38" s="105"/>
      <c r="M38" s="169"/>
      <c r="N38" s="263"/>
      <c r="O38" s="263"/>
      <c r="P38" s="263"/>
      <c r="Q38" s="263"/>
      <c r="R38" s="169"/>
      <c r="S38" s="212"/>
      <c r="T38" s="230" t="s">
        <v>68</v>
      </c>
    </row>
    <row r="39" ht="19.5" customHeight="1">
      <c r="A39" s="105"/>
      <c r="B39" s="255"/>
      <c r="C39" s="105"/>
      <c r="D39" s="169"/>
      <c r="E39" s="169"/>
      <c r="F39" s="169"/>
      <c r="G39" s="105"/>
      <c r="H39" s="265">
        <f t="shared" ref="H39:I39" si="7">H37*H38</f>
        <v>4050</v>
      </c>
      <c r="I39" s="265">
        <f t="shared" si="7"/>
        <v>4050</v>
      </c>
      <c r="J39" s="105"/>
      <c r="K39" s="105"/>
      <c r="L39" s="105"/>
      <c r="M39" s="169"/>
      <c r="N39" s="263"/>
      <c r="O39" s="263"/>
      <c r="P39" s="263"/>
      <c r="Q39" s="263"/>
      <c r="R39" s="169"/>
      <c r="S39" s="212"/>
      <c r="T39" s="169"/>
    </row>
    <row r="40" ht="19.5" customHeight="1">
      <c r="A40" s="105"/>
      <c r="B40" s="255"/>
      <c r="C40" s="105"/>
      <c r="D40" s="169"/>
      <c r="E40" s="169"/>
      <c r="F40" s="169"/>
      <c r="G40" s="105"/>
      <c r="H40" s="266">
        <f>SUM(H39:I39)</f>
        <v>8100</v>
      </c>
      <c r="I40" s="109"/>
      <c r="J40" s="105"/>
      <c r="K40" s="105"/>
      <c r="L40" s="105"/>
      <c r="M40" s="169"/>
      <c r="N40" s="263"/>
      <c r="O40" s="263"/>
      <c r="P40" s="263"/>
      <c r="Q40" s="263"/>
      <c r="R40" s="169"/>
      <c r="S40" s="212"/>
      <c r="T40" s="169"/>
    </row>
    <row r="41" ht="19.5" customHeight="1">
      <c r="A41" s="105"/>
      <c r="B41" s="255"/>
      <c r="C41" s="105"/>
      <c r="D41" s="169"/>
      <c r="E41" s="169"/>
      <c r="F41" s="169"/>
      <c r="G41" s="105"/>
      <c r="H41" s="105"/>
      <c r="I41" s="105"/>
      <c r="J41" s="105"/>
      <c r="K41" s="105"/>
      <c r="L41" s="105"/>
      <c r="M41" s="169"/>
      <c r="N41" s="169"/>
      <c r="O41" s="169"/>
      <c r="P41" s="169"/>
      <c r="Q41" s="169"/>
      <c r="R41" s="169"/>
      <c r="S41" s="212"/>
      <c r="T41" s="169"/>
    </row>
    <row r="42" ht="19.5" customHeight="1">
      <c r="A42" s="105"/>
      <c r="B42" s="255"/>
      <c r="C42" s="105"/>
      <c r="D42" s="169"/>
      <c r="E42" s="169"/>
      <c r="F42" s="169"/>
      <c r="G42" s="105"/>
      <c r="H42" s="105"/>
      <c r="I42" s="105"/>
      <c r="J42" s="105"/>
      <c r="K42" s="105"/>
      <c r="L42" s="105"/>
      <c r="M42" s="169"/>
      <c r="N42" s="169"/>
      <c r="O42" s="169"/>
      <c r="P42" s="169"/>
      <c r="Q42" s="169"/>
      <c r="R42" s="169"/>
      <c r="S42" s="212"/>
      <c r="T42" s="169"/>
    </row>
    <row r="43" ht="19.5" customHeight="1">
      <c r="A43" s="105"/>
      <c r="B43" s="255"/>
      <c r="C43" s="105"/>
      <c r="D43" s="169"/>
      <c r="E43" s="169"/>
      <c r="F43" s="169"/>
      <c r="G43" s="105"/>
      <c r="H43" s="105"/>
      <c r="I43" s="105"/>
      <c r="J43" s="105"/>
      <c r="K43" s="105"/>
      <c r="L43" s="105"/>
      <c r="M43" s="169"/>
      <c r="N43" s="169"/>
      <c r="O43" s="169"/>
      <c r="P43" s="169"/>
      <c r="Q43" s="169"/>
      <c r="R43" s="169"/>
      <c r="S43" s="212"/>
      <c r="T43" s="169"/>
    </row>
    <row r="44" ht="19.5" customHeight="1">
      <c r="A44" s="105"/>
      <c r="B44" s="255"/>
      <c r="C44" s="105"/>
      <c r="D44" s="169"/>
      <c r="E44" s="169"/>
      <c r="F44" s="169"/>
      <c r="G44" s="105"/>
      <c r="H44" s="105"/>
      <c r="I44" s="105"/>
      <c r="J44" s="105"/>
      <c r="K44" s="105"/>
      <c r="L44" s="105"/>
      <c r="M44" s="169"/>
      <c r="N44" s="169"/>
      <c r="O44" s="169"/>
      <c r="P44" s="169"/>
      <c r="Q44" s="169"/>
      <c r="R44" s="169"/>
      <c r="S44" s="212"/>
      <c r="T44" s="169"/>
    </row>
  </sheetData>
  <customSheetViews>
    <customSheetView guid="{E5EE51B3-DE45-4D2E-9071-A5BED79D171F}" filter="1" showAutoFilter="1">
      <autoFilter ref="$A$2:$T$44"/>
    </customSheetView>
    <customSheetView guid="{BD076BCF-39B8-44C5-BF95-7B82C910DEB0}" filter="1" showAutoFilter="1">
      <autoFilter ref="$A$4:$T$40"/>
    </customSheetView>
    <customSheetView guid="{A9B8627E-26B2-4201-803A-467C3700F329}" filter="1" showAutoFilter="1">
      <autoFilter ref="$A$2:$T$44"/>
    </customSheetView>
    <customSheetView guid="{BA335440-5B37-4C05-BCDC-9CD4D4923240}" filter="1" showAutoFilter="1">
      <autoFilter ref="$A$1:$T$44"/>
    </customSheetView>
  </customSheetViews>
  <mergeCells count="8">
    <mergeCell ref="A2:M2"/>
    <mergeCell ref="A3:F3"/>
    <mergeCell ref="G3:I3"/>
    <mergeCell ref="J36:K36"/>
    <mergeCell ref="N36:O36"/>
    <mergeCell ref="J37:K37"/>
    <mergeCell ref="N37:O37"/>
    <mergeCell ref="H40:I40"/>
  </mergeCells>
  <conditionalFormatting sqref="M5:M34 R5:R34">
    <cfRule type="containsText" dxfId="3" priority="1" operator="containsText" text="fh">
      <formula>NOT(ISERROR(SEARCH(("fh"),(M5))))</formula>
    </cfRule>
  </conditionalFormatting>
  <conditionalFormatting sqref="L1 L4:L34 M4 N8:O17 N19:O21 L36:L39 L41:L44">
    <cfRule type="containsText" dxfId="0" priority="2" operator="containsText" text="COBR">
      <formula>NOT(ISERROR(SEARCH(("COBR"),(L1))))</formula>
    </cfRule>
  </conditionalFormatting>
  <conditionalFormatting sqref="L1 L4:L34 M4 N8:O17 N19:O21 L36:L39 L41:L44">
    <cfRule type="containsText" dxfId="1" priority="3" operator="containsText" text="INTE">
      <formula>NOT(ISERROR(SEARCH(("INTE"),(L1))))</formula>
    </cfRule>
  </conditionalFormatting>
  <conditionalFormatting sqref="L1 L4:L34 M4 J36 L36:L39 N36 L41:L44">
    <cfRule type="containsText" dxfId="2" priority="4" operator="containsText" text="DESC">
      <formula>NOT(ISERROR(SEARCH(("DESC"),(L1))))</formula>
    </cfRule>
  </conditionalFormatting>
  <dataValidations>
    <dataValidation type="list" allowBlank="1" showErrorMessage="1" sqref="M5:M34">
      <formula1>CUENTAS</formula1>
    </dataValidation>
    <dataValidation type="list" allowBlank="1" showErrorMessage="1" sqref="P5:P34">
      <formula1>VENDEDOR</formula1>
    </dataValidation>
    <dataValidation type="list" allowBlank="1" showErrorMessage="1" sqref="L5:L34">
      <formula1>SITUACION</formula1>
    </dataValidation>
  </dataValidations>
  <printOptions gridLines="1" horizontalCentered="1"/>
  <pageMargins bottom="0.6" footer="0.0" header="0.0" left="0.18446313842671508" right="0.1947110905615326" top="0.2152069948311676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38"/>
    <col customWidth="1" min="2" max="2" width="16.13"/>
    <col customWidth="1" min="3" max="3" width="13.13"/>
    <col customWidth="1" min="4" max="4" width="30.38"/>
    <col customWidth="1" min="5" max="6" width="19.5"/>
    <col customWidth="1" min="7" max="7" width="18.63"/>
    <col customWidth="1" min="8" max="8" width="11.75"/>
    <col customWidth="1" min="9" max="11" width="12.63"/>
    <col customWidth="1" min="12" max="12" width="14.38"/>
    <col customWidth="1" min="13" max="13" width="14.75"/>
    <col customWidth="1" min="14" max="15" width="12.63"/>
    <col customWidth="1" min="16" max="19" width="21.63"/>
    <col customWidth="1" min="20" max="20" width="2.25"/>
  </cols>
  <sheetData>
    <row r="1" ht="19.5" customHeight="1">
      <c r="A1" s="186"/>
      <c r="B1" s="209"/>
      <c r="C1" s="58"/>
      <c r="D1" s="139"/>
      <c r="E1" s="139"/>
      <c r="F1" s="139"/>
      <c r="G1" s="58"/>
      <c r="H1" s="58"/>
      <c r="I1" s="58"/>
      <c r="J1" s="58"/>
      <c r="K1" s="58"/>
      <c r="L1" s="58"/>
      <c r="M1" s="139"/>
      <c r="N1" s="169"/>
      <c r="O1" s="169"/>
      <c r="P1" s="169"/>
      <c r="Q1" s="169"/>
      <c r="R1" s="169"/>
      <c r="S1" s="169"/>
      <c r="T1" s="169"/>
    </row>
    <row r="2">
      <c r="A2" s="59" t="s">
        <v>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  <c r="N2" s="211"/>
      <c r="O2" s="212"/>
      <c r="P2" s="212"/>
      <c r="Q2" s="212"/>
      <c r="R2" s="212"/>
      <c r="S2" s="212"/>
      <c r="T2" s="169"/>
    </row>
    <row r="3" ht="30.75" customHeight="1">
      <c r="A3" s="117" t="s">
        <v>1101</v>
      </c>
      <c r="B3" s="60"/>
      <c r="C3" s="60"/>
      <c r="D3" s="60"/>
      <c r="E3" s="60"/>
      <c r="F3" s="60"/>
      <c r="G3" s="67" t="s">
        <v>1102</v>
      </c>
      <c r="H3" s="60"/>
      <c r="I3" s="60"/>
      <c r="J3" s="214"/>
      <c r="K3" s="214"/>
      <c r="L3" s="214"/>
      <c r="M3" s="215"/>
      <c r="N3" s="216"/>
      <c r="O3" s="217"/>
      <c r="P3" s="217"/>
      <c r="Q3" s="217"/>
      <c r="R3" s="217"/>
      <c r="S3" s="212"/>
      <c r="T3" s="169"/>
    </row>
    <row r="4" ht="27.0" customHeight="1">
      <c r="A4" s="73" t="s">
        <v>0</v>
      </c>
      <c r="B4" s="219" t="s">
        <v>7</v>
      </c>
      <c r="C4" s="73" t="s">
        <v>8</v>
      </c>
      <c r="D4" s="73" t="s">
        <v>9</v>
      </c>
      <c r="E4" s="73" t="s">
        <v>10</v>
      </c>
      <c r="F4" s="73" t="s">
        <v>11</v>
      </c>
      <c r="G4" s="73" t="s">
        <v>12</v>
      </c>
      <c r="H4" s="220">
        <v>45492.0</v>
      </c>
      <c r="I4" s="220">
        <v>45492.0</v>
      </c>
      <c r="J4" s="221" t="s">
        <v>15</v>
      </c>
      <c r="K4" s="221" t="s">
        <v>16</v>
      </c>
      <c r="L4" s="221" t="s">
        <v>17</v>
      </c>
      <c r="M4" s="221" t="s">
        <v>18</v>
      </c>
      <c r="N4" s="222" t="s">
        <v>19</v>
      </c>
      <c r="O4" s="222" t="s">
        <v>20</v>
      </c>
      <c r="P4" s="222" t="s">
        <v>21</v>
      </c>
      <c r="Q4" s="222" t="s">
        <v>22</v>
      </c>
      <c r="R4" s="73" t="s">
        <v>74</v>
      </c>
      <c r="S4" s="211"/>
      <c r="T4" s="105"/>
    </row>
    <row r="5" ht="21.75" customHeight="1">
      <c r="A5" s="224">
        <v>1.0</v>
      </c>
      <c r="B5" s="79">
        <v>1214.0</v>
      </c>
      <c r="C5" s="317">
        <v>190.0</v>
      </c>
      <c r="D5" s="317">
        <v>150.0</v>
      </c>
      <c r="E5" s="317">
        <v>190.0</v>
      </c>
      <c r="F5" s="296"/>
      <c r="G5" s="317">
        <v>349.8</v>
      </c>
      <c r="H5" s="330"/>
      <c r="I5" s="296"/>
      <c r="J5" s="296"/>
      <c r="K5" s="317">
        <v>349.8</v>
      </c>
      <c r="L5" s="296"/>
      <c r="M5" s="296"/>
      <c r="N5" s="332"/>
      <c r="O5" s="332"/>
      <c r="P5" s="332"/>
      <c r="Q5" s="334">
        <f t="shared" ref="Q5:Q34" si="1">N5+O5</f>
        <v>0</v>
      </c>
      <c r="R5" s="84" t="s">
        <v>74</v>
      </c>
      <c r="S5" s="211"/>
      <c r="T5" s="169"/>
    </row>
    <row r="6" ht="21.75" customHeight="1">
      <c r="A6" s="228">
        <f t="shared" ref="A6:A34" si="2">A5+1</f>
        <v>2</v>
      </c>
      <c r="B6" s="79">
        <v>90.0</v>
      </c>
      <c r="C6" s="317">
        <v>200.0</v>
      </c>
      <c r="D6" s="317">
        <v>380.0</v>
      </c>
      <c r="E6" s="317">
        <v>450.0</v>
      </c>
      <c r="F6" s="296"/>
      <c r="G6" s="317">
        <v>180.0</v>
      </c>
      <c r="H6" s="312"/>
      <c r="I6" s="312"/>
      <c r="J6" s="312"/>
      <c r="K6" s="347">
        <v>180.0</v>
      </c>
      <c r="L6" s="296"/>
      <c r="M6" s="296"/>
      <c r="N6" s="336"/>
      <c r="O6" s="336"/>
      <c r="P6" s="332"/>
      <c r="Q6" s="334">
        <f t="shared" si="1"/>
        <v>0</v>
      </c>
      <c r="R6" s="229"/>
      <c r="S6" s="211"/>
      <c r="T6" s="230"/>
    </row>
    <row r="7" ht="21.75" customHeight="1">
      <c r="A7" s="228">
        <f t="shared" si="2"/>
        <v>3</v>
      </c>
      <c r="B7" s="79">
        <v>10.0</v>
      </c>
      <c r="C7" s="317">
        <v>380.0</v>
      </c>
      <c r="D7" s="317">
        <v>290.0</v>
      </c>
      <c r="E7" s="317">
        <v>190.0</v>
      </c>
      <c r="F7" s="296"/>
      <c r="G7" s="317">
        <v>100.0</v>
      </c>
      <c r="H7" s="312"/>
      <c r="I7" s="312"/>
      <c r="J7" s="312"/>
      <c r="K7" s="347">
        <v>100.0</v>
      </c>
      <c r="L7" s="296"/>
      <c r="M7" s="296"/>
      <c r="N7" s="336"/>
      <c r="O7" s="336"/>
      <c r="P7" s="332"/>
      <c r="Q7" s="334">
        <f t="shared" si="1"/>
        <v>0</v>
      </c>
      <c r="R7" s="229"/>
      <c r="S7" s="211"/>
      <c r="T7" s="230"/>
    </row>
    <row r="8" ht="21.75" customHeight="1">
      <c r="A8" s="228">
        <f t="shared" si="2"/>
        <v>4</v>
      </c>
      <c r="B8" s="79">
        <v>120.0</v>
      </c>
      <c r="C8" s="317">
        <v>180.0</v>
      </c>
      <c r="D8" s="317">
        <v>165.0</v>
      </c>
      <c r="E8" s="317">
        <v>360.0</v>
      </c>
      <c r="F8" s="296"/>
      <c r="G8" s="317">
        <v>300.0</v>
      </c>
      <c r="H8" s="312"/>
      <c r="I8" s="312"/>
      <c r="J8" s="312"/>
      <c r="K8" s="347">
        <v>300.0</v>
      </c>
      <c r="L8" s="296"/>
      <c r="M8" s="296"/>
      <c r="N8" s="336"/>
      <c r="O8" s="336"/>
      <c r="P8" s="332"/>
      <c r="Q8" s="334">
        <f t="shared" si="1"/>
        <v>0</v>
      </c>
      <c r="R8" s="229"/>
      <c r="S8" s="211"/>
      <c r="T8" s="230"/>
    </row>
    <row r="9" ht="21.75" customHeight="1">
      <c r="A9" s="228">
        <f t="shared" si="2"/>
        <v>5</v>
      </c>
      <c r="B9" s="79">
        <v>20.0</v>
      </c>
      <c r="C9" s="317">
        <v>100.0</v>
      </c>
      <c r="D9" s="317">
        <v>170.0</v>
      </c>
      <c r="E9" s="317">
        <v>350.0</v>
      </c>
      <c r="F9" s="296"/>
      <c r="G9" s="317">
        <v>200.0</v>
      </c>
      <c r="H9" s="312"/>
      <c r="I9" s="312"/>
      <c r="J9" s="312"/>
      <c r="K9" s="347">
        <v>200.0</v>
      </c>
      <c r="L9" s="296"/>
      <c r="M9" s="296"/>
      <c r="N9" s="336"/>
      <c r="O9" s="336"/>
      <c r="P9" s="332"/>
      <c r="Q9" s="334">
        <f t="shared" si="1"/>
        <v>0</v>
      </c>
      <c r="R9" s="229"/>
      <c r="S9" s="211"/>
      <c r="T9" s="230"/>
    </row>
    <row r="10" ht="21.75" customHeight="1">
      <c r="A10" s="228">
        <f t="shared" si="2"/>
        <v>6</v>
      </c>
      <c r="B10" s="79">
        <v>150.0</v>
      </c>
      <c r="C10" s="317">
        <v>160.0</v>
      </c>
      <c r="D10" s="317">
        <v>330.0</v>
      </c>
      <c r="E10" s="317">
        <v>160.0</v>
      </c>
      <c r="F10" s="296"/>
      <c r="G10" s="317">
        <v>180.0</v>
      </c>
      <c r="H10" s="312"/>
      <c r="I10" s="312"/>
      <c r="J10" s="312"/>
      <c r="K10" s="347">
        <v>180.0</v>
      </c>
      <c r="L10" s="296"/>
      <c r="M10" s="296"/>
      <c r="N10" s="336"/>
      <c r="O10" s="336"/>
      <c r="P10" s="332"/>
      <c r="Q10" s="334">
        <f t="shared" si="1"/>
        <v>0</v>
      </c>
      <c r="R10" s="229"/>
      <c r="S10" s="211"/>
      <c r="T10" s="230"/>
    </row>
    <row r="11" ht="21.75" customHeight="1">
      <c r="A11" s="228">
        <f t="shared" si="2"/>
        <v>7</v>
      </c>
      <c r="B11" s="79">
        <v>180.0</v>
      </c>
      <c r="C11" s="317">
        <v>200.0</v>
      </c>
      <c r="D11" s="317">
        <v>139.76</v>
      </c>
      <c r="E11" s="317">
        <v>200.0</v>
      </c>
      <c r="F11" s="296"/>
      <c r="G11" s="317">
        <v>125.0</v>
      </c>
      <c r="H11" s="312"/>
      <c r="I11" s="312"/>
      <c r="J11" s="312"/>
      <c r="K11" s="347">
        <v>125.0</v>
      </c>
      <c r="L11" s="296"/>
      <c r="M11" s="296"/>
      <c r="N11" s="336"/>
      <c r="O11" s="336"/>
      <c r="P11" s="332"/>
      <c r="Q11" s="334">
        <f t="shared" si="1"/>
        <v>0</v>
      </c>
      <c r="R11" s="229"/>
      <c r="S11" s="211"/>
      <c r="T11" s="230"/>
    </row>
    <row r="12" ht="21.75" customHeight="1">
      <c r="A12" s="228">
        <f t="shared" si="2"/>
        <v>8</v>
      </c>
      <c r="B12" s="79">
        <v>100.0</v>
      </c>
      <c r="C12" s="317">
        <v>180.0</v>
      </c>
      <c r="D12" s="317">
        <v>190.0</v>
      </c>
      <c r="E12" s="317">
        <v>380.0</v>
      </c>
      <c r="F12" s="296"/>
      <c r="G12" s="317">
        <v>380.0</v>
      </c>
      <c r="H12" s="312"/>
      <c r="I12" s="347">
        <v>3490.0</v>
      </c>
      <c r="J12" s="312"/>
      <c r="K12" s="347">
        <v>380.0</v>
      </c>
      <c r="L12" s="296"/>
      <c r="M12" s="296"/>
      <c r="N12" s="336"/>
      <c r="O12" s="336"/>
      <c r="P12" s="332"/>
      <c r="Q12" s="334">
        <f t="shared" si="1"/>
        <v>0</v>
      </c>
      <c r="R12" s="229"/>
      <c r="S12" s="211"/>
      <c r="T12" s="230"/>
    </row>
    <row r="13" ht="21.75" customHeight="1">
      <c r="A13" s="228">
        <f t="shared" si="2"/>
        <v>9</v>
      </c>
      <c r="B13" s="79">
        <v>250.0</v>
      </c>
      <c r="C13" s="317">
        <v>250.0</v>
      </c>
      <c r="D13" s="317">
        <v>180.0</v>
      </c>
      <c r="E13" s="317">
        <v>300.0</v>
      </c>
      <c r="F13" s="296"/>
      <c r="G13" s="317">
        <v>200.0</v>
      </c>
      <c r="H13" s="312"/>
      <c r="I13" s="347">
        <v>349.8</v>
      </c>
      <c r="J13" s="312"/>
      <c r="K13" s="347">
        <v>200.0</v>
      </c>
      <c r="L13" s="296"/>
      <c r="M13" s="296"/>
      <c r="N13" s="336"/>
      <c r="O13" s="336"/>
      <c r="P13" s="332"/>
      <c r="Q13" s="334">
        <f t="shared" si="1"/>
        <v>0</v>
      </c>
      <c r="R13" s="229"/>
      <c r="S13" s="211"/>
      <c r="T13" s="230"/>
    </row>
    <row r="14" ht="21.75" customHeight="1">
      <c r="A14" s="228">
        <f t="shared" si="2"/>
        <v>10</v>
      </c>
      <c r="B14" s="79">
        <v>139.76</v>
      </c>
      <c r="C14" s="317">
        <v>330.0</v>
      </c>
      <c r="D14" s="317">
        <v>100.0</v>
      </c>
      <c r="E14" s="317"/>
      <c r="F14" s="296"/>
      <c r="G14" s="296"/>
      <c r="H14" s="312"/>
      <c r="I14" s="347">
        <v>344.0</v>
      </c>
      <c r="J14" s="312"/>
      <c r="K14" s="312"/>
      <c r="L14" s="296"/>
      <c r="M14" s="296"/>
      <c r="N14" s="336"/>
      <c r="O14" s="336"/>
      <c r="P14" s="332"/>
      <c r="Q14" s="334">
        <f t="shared" si="1"/>
        <v>0</v>
      </c>
      <c r="R14" s="229"/>
      <c r="S14" s="211"/>
      <c r="T14" s="230"/>
    </row>
    <row r="15" ht="21.75" customHeight="1">
      <c r="A15" s="228">
        <f t="shared" si="2"/>
        <v>11</v>
      </c>
      <c r="B15" s="79">
        <v>200.0</v>
      </c>
      <c r="C15" s="317">
        <v>280.0</v>
      </c>
      <c r="D15" s="317">
        <v>50.0</v>
      </c>
      <c r="E15" s="317"/>
      <c r="F15" s="296"/>
      <c r="G15" s="296"/>
      <c r="H15" s="312"/>
      <c r="I15" s="312"/>
      <c r="J15" s="312"/>
      <c r="K15" s="312"/>
      <c r="L15" s="296"/>
      <c r="M15" s="296"/>
      <c r="N15" s="336"/>
      <c r="O15" s="336"/>
      <c r="P15" s="332"/>
      <c r="Q15" s="334">
        <f t="shared" si="1"/>
        <v>0</v>
      </c>
      <c r="R15" s="229"/>
      <c r="S15" s="211"/>
      <c r="T15" s="230"/>
    </row>
    <row r="16" ht="21.75" customHeight="1">
      <c r="A16" s="228">
        <f t="shared" si="2"/>
        <v>12</v>
      </c>
      <c r="B16" s="79">
        <v>150.0</v>
      </c>
      <c r="C16" s="317">
        <v>500.0</v>
      </c>
      <c r="D16" s="317">
        <v>1439.0</v>
      </c>
      <c r="E16" s="317"/>
      <c r="F16" s="296"/>
      <c r="G16" s="296"/>
      <c r="H16" s="312"/>
      <c r="I16" s="312"/>
      <c r="J16" s="312"/>
      <c r="K16" s="312"/>
      <c r="L16" s="296"/>
      <c r="M16" s="296"/>
      <c r="N16" s="336"/>
      <c r="O16" s="336"/>
      <c r="P16" s="332"/>
      <c r="Q16" s="334">
        <f t="shared" si="1"/>
        <v>0</v>
      </c>
      <c r="R16" s="229"/>
      <c r="S16" s="211"/>
      <c r="T16" s="230"/>
    </row>
    <row r="17" ht="21.75" customHeight="1">
      <c r="A17" s="228">
        <f t="shared" si="2"/>
        <v>13</v>
      </c>
      <c r="B17" s="79">
        <v>380.0</v>
      </c>
      <c r="C17" s="317"/>
      <c r="D17" s="296"/>
      <c r="E17" s="317"/>
      <c r="F17" s="317">
        <v>349.8</v>
      </c>
      <c r="G17" s="296"/>
      <c r="H17" s="347">
        <v>693.8</v>
      </c>
      <c r="I17" s="312"/>
      <c r="J17" s="312"/>
      <c r="K17" s="312"/>
      <c r="L17" s="296"/>
      <c r="M17" s="296"/>
      <c r="N17" s="336"/>
      <c r="O17" s="336"/>
      <c r="P17" s="332"/>
      <c r="Q17" s="334">
        <f t="shared" si="1"/>
        <v>0</v>
      </c>
      <c r="R17" s="229"/>
      <c r="S17" s="211"/>
      <c r="T17" s="230"/>
    </row>
    <row r="18" ht="21.75" customHeight="1">
      <c r="A18" s="228">
        <f t="shared" si="2"/>
        <v>14</v>
      </c>
      <c r="B18" s="79">
        <v>37.9</v>
      </c>
      <c r="C18" s="317">
        <v>180.0</v>
      </c>
      <c r="D18" s="296"/>
      <c r="E18" s="348"/>
      <c r="F18" s="317">
        <v>344.0</v>
      </c>
      <c r="G18" s="296"/>
      <c r="H18" s="312"/>
      <c r="I18" s="312"/>
      <c r="J18" s="312"/>
      <c r="K18" s="312"/>
      <c r="L18" s="296"/>
      <c r="M18" s="296"/>
      <c r="N18" s="336"/>
      <c r="O18" s="336"/>
      <c r="P18" s="332"/>
      <c r="Q18" s="334">
        <f t="shared" si="1"/>
        <v>0</v>
      </c>
      <c r="R18" s="229"/>
      <c r="S18" s="211"/>
      <c r="T18" s="230"/>
    </row>
    <row r="19" ht="21.75" customHeight="1">
      <c r="A19" s="228">
        <f t="shared" si="2"/>
        <v>15</v>
      </c>
      <c r="B19" s="87"/>
      <c r="C19" s="317">
        <v>360.0</v>
      </c>
      <c r="D19" s="296"/>
      <c r="E19" s="317">
        <v>3490.0</v>
      </c>
      <c r="F19" s="296"/>
      <c r="G19" s="348"/>
      <c r="H19" s="312"/>
      <c r="I19" s="312"/>
      <c r="J19" s="312"/>
      <c r="K19" s="312"/>
      <c r="L19" s="296"/>
      <c r="M19" s="296"/>
      <c r="N19" s="336"/>
      <c r="O19" s="336"/>
      <c r="P19" s="332"/>
      <c r="Q19" s="334">
        <f t="shared" si="1"/>
        <v>0</v>
      </c>
      <c r="R19" s="229"/>
      <c r="S19" s="211"/>
      <c r="T19" s="230"/>
    </row>
    <row r="20" ht="21.75" customHeight="1">
      <c r="A20" s="228">
        <f t="shared" si="2"/>
        <v>16</v>
      </c>
      <c r="B20" s="87"/>
      <c r="C20" s="317"/>
      <c r="D20" s="296"/>
      <c r="E20" s="317">
        <v>693.8</v>
      </c>
      <c r="F20" s="296"/>
      <c r="G20" s="348"/>
      <c r="H20" s="312"/>
      <c r="I20" s="312"/>
      <c r="J20" s="312"/>
      <c r="K20" s="312"/>
      <c r="L20" s="296"/>
      <c r="M20" s="296"/>
      <c r="N20" s="336"/>
      <c r="O20" s="336"/>
      <c r="P20" s="332"/>
      <c r="Q20" s="334">
        <f t="shared" si="1"/>
        <v>0</v>
      </c>
      <c r="R20" s="229"/>
      <c r="S20" s="211"/>
      <c r="T20" s="230"/>
    </row>
    <row r="21" ht="21.75" customHeight="1">
      <c r="A21" s="228">
        <f t="shared" si="2"/>
        <v>17</v>
      </c>
      <c r="B21" s="87"/>
      <c r="C21" s="317"/>
      <c r="D21" s="296"/>
      <c r="E21" s="296"/>
      <c r="F21" s="296"/>
      <c r="G21" s="296"/>
      <c r="H21" s="312"/>
      <c r="I21" s="312"/>
      <c r="J21" s="312"/>
      <c r="K21" s="312"/>
      <c r="L21" s="296"/>
      <c r="M21" s="296"/>
      <c r="N21" s="336"/>
      <c r="O21" s="336"/>
      <c r="P21" s="332"/>
      <c r="Q21" s="334">
        <f t="shared" si="1"/>
        <v>0</v>
      </c>
      <c r="R21" s="229"/>
      <c r="S21" s="211"/>
      <c r="T21" s="230"/>
    </row>
    <row r="22" ht="21.75" customHeight="1">
      <c r="A22" s="228">
        <f t="shared" si="2"/>
        <v>18</v>
      </c>
      <c r="B22" s="87"/>
      <c r="C22" s="317"/>
      <c r="D22" s="296"/>
      <c r="E22" s="296"/>
      <c r="F22" s="296"/>
      <c r="G22" s="296"/>
      <c r="H22" s="312"/>
      <c r="I22" s="312"/>
      <c r="J22" s="312"/>
      <c r="K22" s="312"/>
      <c r="L22" s="296"/>
      <c r="M22" s="296"/>
      <c r="N22" s="336"/>
      <c r="O22" s="336"/>
      <c r="P22" s="332"/>
      <c r="Q22" s="334">
        <f t="shared" si="1"/>
        <v>0</v>
      </c>
      <c r="R22" s="229"/>
      <c r="S22" s="211"/>
      <c r="T22" s="230"/>
    </row>
    <row r="23" ht="21.75" customHeight="1">
      <c r="A23" s="228">
        <f t="shared" si="2"/>
        <v>19</v>
      </c>
      <c r="B23" s="87"/>
      <c r="C23" s="348"/>
      <c r="D23" s="296"/>
      <c r="E23" s="296"/>
      <c r="F23" s="296"/>
      <c r="G23" s="296"/>
      <c r="H23" s="312"/>
      <c r="I23" s="312"/>
      <c r="J23" s="312"/>
      <c r="K23" s="312"/>
      <c r="L23" s="296"/>
      <c r="M23" s="296"/>
      <c r="N23" s="336"/>
      <c r="O23" s="336"/>
      <c r="P23" s="332"/>
      <c r="Q23" s="334">
        <f t="shared" si="1"/>
        <v>0</v>
      </c>
      <c r="R23" s="229"/>
      <c r="S23" s="211"/>
      <c r="T23" s="230"/>
    </row>
    <row r="24" ht="21.75" customHeight="1">
      <c r="A24" s="228">
        <f t="shared" si="2"/>
        <v>20</v>
      </c>
      <c r="B24" s="87"/>
      <c r="C24" s="296"/>
      <c r="D24" s="296"/>
      <c r="E24" s="296"/>
      <c r="F24" s="296"/>
      <c r="G24" s="296"/>
      <c r="H24" s="312"/>
      <c r="I24" s="312"/>
      <c r="J24" s="312"/>
      <c r="K24" s="312"/>
      <c r="L24" s="296"/>
      <c r="M24" s="296"/>
      <c r="N24" s="336"/>
      <c r="O24" s="336"/>
      <c r="P24" s="332"/>
      <c r="Q24" s="334">
        <f t="shared" si="1"/>
        <v>0</v>
      </c>
      <c r="R24" s="229"/>
      <c r="S24" s="211"/>
      <c r="T24" s="230"/>
    </row>
    <row r="25" ht="21.75" customHeight="1">
      <c r="A25" s="228">
        <f t="shared" si="2"/>
        <v>21</v>
      </c>
      <c r="B25" s="87"/>
      <c r="C25" s="296"/>
      <c r="D25" s="296"/>
      <c r="E25" s="296"/>
      <c r="F25" s="296"/>
      <c r="G25" s="296"/>
      <c r="H25" s="312"/>
      <c r="I25" s="312"/>
      <c r="J25" s="312"/>
      <c r="K25" s="312"/>
      <c r="L25" s="296"/>
      <c r="M25" s="296"/>
      <c r="N25" s="336"/>
      <c r="O25" s="336"/>
      <c r="P25" s="332"/>
      <c r="Q25" s="334">
        <f t="shared" si="1"/>
        <v>0</v>
      </c>
      <c r="R25" s="229"/>
      <c r="S25" s="211"/>
      <c r="T25" s="230"/>
    </row>
    <row r="26" ht="21.75" customHeight="1">
      <c r="A26" s="228">
        <f t="shared" si="2"/>
        <v>22</v>
      </c>
      <c r="B26" s="87"/>
      <c r="C26" s="296"/>
      <c r="D26" s="296"/>
      <c r="E26" s="296"/>
      <c r="F26" s="296"/>
      <c r="G26" s="296"/>
      <c r="H26" s="312"/>
      <c r="I26" s="312"/>
      <c r="J26" s="312"/>
      <c r="K26" s="312"/>
      <c r="L26" s="296"/>
      <c r="M26" s="296"/>
      <c r="N26" s="336"/>
      <c r="O26" s="336"/>
      <c r="P26" s="332"/>
      <c r="Q26" s="334">
        <f t="shared" si="1"/>
        <v>0</v>
      </c>
      <c r="R26" s="229"/>
      <c r="S26" s="211"/>
      <c r="T26" s="230"/>
    </row>
    <row r="27" ht="21.75" customHeight="1">
      <c r="A27" s="228">
        <f t="shared" si="2"/>
        <v>23</v>
      </c>
      <c r="B27" s="87"/>
      <c r="C27" s="296"/>
      <c r="D27" s="296"/>
      <c r="E27" s="296"/>
      <c r="F27" s="296"/>
      <c r="G27" s="296"/>
      <c r="H27" s="312"/>
      <c r="I27" s="312"/>
      <c r="J27" s="312"/>
      <c r="K27" s="312"/>
      <c r="L27" s="296"/>
      <c r="M27" s="296"/>
      <c r="N27" s="336"/>
      <c r="O27" s="336"/>
      <c r="P27" s="332"/>
      <c r="Q27" s="334">
        <f t="shared" si="1"/>
        <v>0</v>
      </c>
      <c r="R27" s="229"/>
      <c r="S27" s="211"/>
      <c r="T27" s="230"/>
    </row>
    <row r="28" ht="21.75" customHeight="1">
      <c r="A28" s="228">
        <f t="shared" si="2"/>
        <v>24</v>
      </c>
      <c r="B28" s="87"/>
      <c r="C28" s="296"/>
      <c r="D28" s="296"/>
      <c r="E28" s="296"/>
      <c r="F28" s="296"/>
      <c r="G28" s="296"/>
      <c r="H28" s="312"/>
      <c r="I28" s="312"/>
      <c r="J28" s="312"/>
      <c r="K28" s="312"/>
      <c r="L28" s="296"/>
      <c r="M28" s="296"/>
      <c r="N28" s="336"/>
      <c r="O28" s="336"/>
      <c r="P28" s="332"/>
      <c r="Q28" s="334">
        <f t="shared" si="1"/>
        <v>0</v>
      </c>
      <c r="R28" s="229"/>
      <c r="S28" s="211"/>
      <c r="T28" s="230"/>
    </row>
    <row r="29" ht="21.75" customHeight="1">
      <c r="A29" s="228">
        <f t="shared" si="2"/>
        <v>25</v>
      </c>
      <c r="B29" s="87"/>
      <c r="C29" s="296"/>
      <c r="D29" s="296"/>
      <c r="E29" s="296"/>
      <c r="F29" s="296"/>
      <c r="G29" s="296"/>
      <c r="H29" s="312"/>
      <c r="I29" s="312"/>
      <c r="J29" s="312"/>
      <c r="K29" s="312"/>
      <c r="L29" s="296"/>
      <c r="M29" s="296"/>
      <c r="N29" s="336"/>
      <c r="O29" s="336"/>
      <c r="P29" s="332"/>
      <c r="Q29" s="334">
        <f t="shared" si="1"/>
        <v>0</v>
      </c>
      <c r="R29" s="229"/>
      <c r="S29" s="211"/>
      <c r="T29" s="230"/>
    </row>
    <row r="30" ht="21.75" customHeight="1">
      <c r="A30" s="228">
        <f t="shared" si="2"/>
        <v>26</v>
      </c>
      <c r="B30" s="87"/>
      <c r="C30" s="296"/>
      <c r="D30" s="296"/>
      <c r="E30" s="296"/>
      <c r="F30" s="296"/>
      <c r="G30" s="296"/>
      <c r="H30" s="312"/>
      <c r="I30" s="312"/>
      <c r="J30" s="312"/>
      <c r="K30" s="312"/>
      <c r="L30" s="296"/>
      <c r="M30" s="296"/>
      <c r="N30" s="336"/>
      <c r="O30" s="336"/>
      <c r="P30" s="332"/>
      <c r="Q30" s="334">
        <f t="shared" si="1"/>
        <v>0</v>
      </c>
      <c r="R30" s="229"/>
      <c r="S30" s="211"/>
      <c r="T30" s="230"/>
    </row>
    <row r="31" ht="21.75" customHeight="1">
      <c r="A31" s="228">
        <f t="shared" si="2"/>
        <v>27</v>
      </c>
      <c r="B31" s="87"/>
      <c r="C31" s="296"/>
      <c r="D31" s="296"/>
      <c r="E31" s="296"/>
      <c r="F31" s="296"/>
      <c r="G31" s="296"/>
      <c r="H31" s="312"/>
      <c r="I31" s="312"/>
      <c r="J31" s="312"/>
      <c r="K31" s="312"/>
      <c r="L31" s="296"/>
      <c r="M31" s="296"/>
      <c r="N31" s="336"/>
      <c r="O31" s="336"/>
      <c r="P31" s="332"/>
      <c r="Q31" s="334">
        <f t="shared" si="1"/>
        <v>0</v>
      </c>
      <c r="R31" s="229"/>
      <c r="S31" s="211"/>
      <c r="T31" s="230"/>
    </row>
    <row r="32" ht="21.75" customHeight="1">
      <c r="A32" s="228">
        <f t="shared" si="2"/>
        <v>28</v>
      </c>
      <c r="B32" s="87"/>
      <c r="C32" s="296"/>
      <c r="D32" s="296"/>
      <c r="E32" s="296"/>
      <c r="F32" s="296"/>
      <c r="G32" s="296"/>
      <c r="H32" s="312"/>
      <c r="I32" s="312"/>
      <c r="J32" s="312"/>
      <c r="K32" s="312"/>
      <c r="L32" s="296"/>
      <c r="M32" s="296"/>
      <c r="N32" s="336"/>
      <c r="O32" s="336"/>
      <c r="P32" s="332"/>
      <c r="Q32" s="334">
        <f t="shared" si="1"/>
        <v>0</v>
      </c>
      <c r="R32" s="229"/>
      <c r="S32" s="211"/>
      <c r="T32" s="230"/>
    </row>
    <row r="33" ht="21.75" customHeight="1">
      <c r="A33" s="228">
        <f t="shared" si="2"/>
        <v>29</v>
      </c>
      <c r="B33" s="87"/>
      <c r="C33" s="296"/>
      <c r="D33" s="296"/>
      <c r="E33" s="296"/>
      <c r="F33" s="296"/>
      <c r="G33" s="296"/>
      <c r="H33" s="312"/>
      <c r="I33" s="312"/>
      <c r="J33" s="312"/>
      <c r="K33" s="312"/>
      <c r="L33" s="296"/>
      <c r="M33" s="296"/>
      <c r="N33" s="336"/>
      <c r="O33" s="336"/>
      <c r="P33" s="332"/>
      <c r="Q33" s="334">
        <f t="shared" si="1"/>
        <v>0</v>
      </c>
      <c r="R33" s="229"/>
      <c r="S33" s="211"/>
      <c r="T33" s="230"/>
    </row>
    <row r="34" ht="21.75" customHeight="1">
      <c r="A34" s="228">
        <f t="shared" si="2"/>
        <v>30</v>
      </c>
      <c r="B34" s="87"/>
      <c r="C34" s="296"/>
      <c r="D34" s="296"/>
      <c r="E34" s="296"/>
      <c r="F34" s="296"/>
      <c r="G34" s="296"/>
      <c r="H34" s="330"/>
      <c r="I34" s="296"/>
      <c r="J34" s="296"/>
      <c r="K34" s="296"/>
      <c r="L34" s="296"/>
      <c r="M34" s="296"/>
      <c r="N34" s="332"/>
      <c r="O34" s="332"/>
      <c r="P34" s="332"/>
      <c r="Q34" s="334">
        <f t="shared" si="1"/>
        <v>0</v>
      </c>
      <c r="R34" s="84" t="s">
        <v>74</v>
      </c>
      <c r="S34" s="211"/>
      <c r="T34" s="230"/>
    </row>
    <row r="35" ht="21.75" customHeight="1">
      <c r="A35" s="247"/>
      <c r="B35" s="248"/>
      <c r="C35" s="247"/>
      <c r="D35" s="247"/>
      <c r="E35" s="247"/>
      <c r="F35" s="247"/>
      <c r="G35" s="249" t="s">
        <v>178</v>
      </c>
      <c r="H35" s="250">
        <f t="shared" ref="H35:I35" si="3">COUNTIF(H4:H34,"X")</f>
        <v>0</v>
      </c>
      <c r="I35" s="250">
        <f t="shared" si="3"/>
        <v>0</v>
      </c>
      <c r="J35" s="251">
        <f t="shared" ref="J35:K35" si="4">SUM(J4:J34)</f>
        <v>0</v>
      </c>
      <c r="K35" s="251">
        <f t="shared" si="4"/>
        <v>2014.8</v>
      </c>
      <c r="L35" s="252"/>
      <c r="M35" s="253"/>
      <c r="N35" s="251">
        <f t="shared" ref="N35:O35" si="5">SUM(N4:N34)</f>
        <v>0</v>
      </c>
      <c r="O35" s="251">
        <f t="shared" si="5"/>
        <v>0</v>
      </c>
      <c r="P35" s="247"/>
      <c r="Q35" s="247"/>
      <c r="R35" s="253"/>
      <c r="S35" s="212"/>
      <c r="T35" s="169"/>
    </row>
    <row r="36" ht="19.5" customHeight="1">
      <c r="A36" s="105"/>
      <c r="B36" s="255"/>
      <c r="C36" s="105"/>
      <c r="D36" s="105"/>
      <c r="E36" s="105"/>
      <c r="F36" s="105"/>
      <c r="G36" s="256" t="s">
        <v>179</v>
      </c>
      <c r="H36" s="257">
        <v>27.0</v>
      </c>
      <c r="I36" s="257">
        <v>27.0</v>
      </c>
      <c r="J36" s="258">
        <f>SUM(J35:K35)</f>
        <v>2014.8</v>
      </c>
      <c r="K36" s="103"/>
      <c r="L36" s="105"/>
      <c r="M36" s="169"/>
      <c r="N36" s="258">
        <f>SUM(N35:O35)</f>
        <v>0</v>
      </c>
      <c r="O36" s="103"/>
      <c r="P36" s="105"/>
      <c r="Q36" s="105"/>
      <c r="R36" s="169"/>
      <c r="S36" s="212"/>
      <c r="T36" s="169"/>
    </row>
    <row r="37" ht="19.5" customHeight="1">
      <c r="A37" s="105"/>
      <c r="B37" s="255"/>
      <c r="C37" s="105"/>
      <c r="D37" s="169"/>
      <c r="E37" s="169"/>
      <c r="F37" s="169"/>
      <c r="G37" s="260" t="s">
        <v>180</v>
      </c>
      <c r="H37" s="261">
        <f t="shared" ref="H37:I37" si="6">H36-H35</f>
        <v>27</v>
      </c>
      <c r="I37" s="261">
        <f t="shared" si="6"/>
        <v>27</v>
      </c>
      <c r="J37" s="262" t="s">
        <v>181</v>
      </c>
      <c r="K37" s="109"/>
      <c r="L37" s="105"/>
      <c r="M37" s="169"/>
      <c r="N37" s="262" t="s">
        <v>182</v>
      </c>
      <c r="O37" s="109"/>
      <c r="P37" s="263"/>
      <c r="Q37" s="263"/>
      <c r="R37" s="169"/>
      <c r="S37" s="212"/>
      <c r="T37" s="169"/>
    </row>
    <row r="38" ht="19.5" customHeight="1">
      <c r="A38" s="105"/>
      <c r="B38" s="255"/>
      <c r="C38" s="105"/>
      <c r="D38" s="169"/>
      <c r="E38" s="169"/>
      <c r="F38" s="169"/>
      <c r="G38" s="105"/>
      <c r="H38" s="264">
        <v>150.0</v>
      </c>
      <c r="I38" s="264">
        <v>150.0</v>
      </c>
      <c r="J38" s="105"/>
      <c r="K38" s="105"/>
      <c r="L38" s="105"/>
      <c r="M38" s="169"/>
      <c r="N38" s="263"/>
      <c r="O38" s="263"/>
      <c r="P38" s="263"/>
      <c r="Q38" s="263"/>
      <c r="R38" s="169"/>
      <c r="S38" s="212"/>
      <c r="T38" s="230" t="s">
        <v>68</v>
      </c>
    </row>
    <row r="39" ht="19.5" customHeight="1">
      <c r="A39" s="105"/>
      <c r="B39" s="255"/>
      <c r="C39" s="105"/>
      <c r="D39" s="169"/>
      <c r="E39" s="169"/>
      <c r="F39" s="169"/>
      <c r="G39" s="105"/>
      <c r="H39" s="265">
        <f t="shared" ref="H39:I39" si="7">H37*H38</f>
        <v>4050</v>
      </c>
      <c r="I39" s="265">
        <f t="shared" si="7"/>
        <v>4050</v>
      </c>
      <c r="J39" s="105"/>
      <c r="K39" s="105"/>
      <c r="L39" s="105"/>
      <c r="M39" s="169"/>
      <c r="N39" s="263"/>
      <c r="O39" s="263"/>
      <c r="P39" s="263"/>
      <c r="Q39" s="263"/>
      <c r="R39" s="169"/>
      <c r="S39" s="212"/>
      <c r="T39" s="169"/>
    </row>
    <row r="40" ht="19.5" customHeight="1">
      <c r="A40" s="105"/>
      <c r="B40" s="255"/>
      <c r="C40" s="105"/>
      <c r="D40" s="169"/>
      <c r="E40" s="169"/>
      <c r="F40" s="169"/>
      <c r="G40" s="105"/>
      <c r="H40" s="266">
        <f>SUM(H39:I39)</f>
        <v>8100</v>
      </c>
      <c r="I40" s="109"/>
      <c r="J40" s="105"/>
      <c r="K40" s="105"/>
      <c r="L40" s="105"/>
      <c r="M40" s="169"/>
      <c r="N40" s="263"/>
      <c r="O40" s="263"/>
      <c r="P40" s="263"/>
      <c r="Q40" s="263"/>
      <c r="R40" s="169"/>
      <c r="S40" s="212"/>
      <c r="T40" s="169"/>
    </row>
    <row r="41" ht="19.5" customHeight="1">
      <c r="A41" s="105"/>
      <c r="B41" s="255"/>
      <c r="C41" s="105"/>
      <c r="D41" s="169"/>
      <c r="E41" s="169"/>
      <c r="F41" s="169"/>
      <c r="G41" s="105"/>
      <c r="H41" s="105"/>
      <c r="I41" s="105"/>
      <c r="J41" s="105"/>
      <c r="K41" s="105"/>
      <c r="L41" s="105"/>
      <c r="M41" s="169"/>
      <c r="N41" s="169"/>
      <c r="O41" s="169"/>
      <c r="P41" s="169"/>
      <c r="Q41" s="169"/>
      <c r="R41" s="169"/>
      <c r="S41" s="212"/>
      <c r="T41" s="169"/>
    </row>
    <row r="42" ht="19.5" customHeight="1">
      <c r="A42" s="105"/>
      <c r="B42" s="255"/>
      <c r="C42" s="105"/>
      <c r="D42" s="169"/>
      <c r="E42" s="169"/>
      <c r="F42" s="169"/>
      <c r="G42" s="105"/>
      <c r="H42" s="105"/>
      <c r="I42" s="105"/>
      <c r="J42" s="105"/>
      <c r="K42" s="105"/>
      <c r="L42" s="105"/>
      <c r="M42" s="169"/>
      <c r="N42" s="169"/>
      <c r="O42" s="169"/>
      <c r="P42" s="169"/>
      <c r="Q42" s="169"/>
      <c r="R42" s="169"/>
      <c r="S42" s="212"/>
      <c r="T42" s="169"/>
    </row>
    <row r="43" ht="19.5" customHeight="1">
      <c r="A43" s="105"/>
      <c r="B43" s="255"/>
      <c r="C43" s="105"/>
      <c r="D43" s="169"/>
      <c r="E43" s="169"/>
      <c r="F43" s="169"/>
      <c r="G43" s="105"/>
      <c r="H43" s="105"/>
      <c r="I43" s="105"/>
      <c r="J43" s="105"/>
      <c r="K43" s="105"/>
      <c r="L43" s="105"/>
      <c r="M43" s="169"/>
      <c r="N43" s="169"/>
      <c r="O43" s="169"/>
      <c r="P43" s="169"/>
      <c r="Q43" s="169"/>
      <c r="R43" s="169"/>
      <c r="S43" s="212"/>
      <c r="T43" s="169"/>
    </row>
    <row r="44" ht="19.5" customHeight="1">
      <c r="A44" s="105"/>
      <c r="B44" s="255"/>
      <c r="C44" s="105"/>
      <c r="D44" s="169"/>
      <c r="E44" s="169"/>
      <c r="F44" s="169"/>
      <c r="G44" s="105"/>
      <c r="H44" s="105"/>
      <c r="I44" s="105"/>
      <c r="J44" s="105"/>
      <c r="K44" s="105"/>
      <c r="L44" s="105"/>
      <c r="M44" s="169"/>
      <c r="N44" s="169"/>
      <c r="O44" s="169"/>
      <c r="P44" s="169"/>
      <c r="Q44" s="169"/>
      <c r="R44" s="169"/>
      <c r="S44" s="212"/>
      <c r="T44" s="169"/>
    </row>
  </sheetData>
  <customSheetViews>
    <customSheetView guid="{BD076BCF-39B8-44C5-BF95-7B82C910DEB0}" filter="1" showAutoFilter="1">
      <autoFilter ref="$A$4:$T$40"/>
    </customSheetView>
    <customSheetView guid="{A9B8627E-26B2-4201-803A-467C3700F329}" filter="1" showAutoFilter="1">
      <autoFilter ref="$A$2:$T$44"/>
    </customSheetView>
    <customSheetView guid="{E5EE51B3-DE45-4D2E-9071-A5BED79D171F}" filter="1" showAutoFilter="1">
      <autoFilter ref="$A$2:$T$44"/>
    </customSheetView>
    <customSheetView guid="{BA335440-5B37-4C05-BCDC-9CD4D4923240}" filter="1" showAutoFilter="1">
      <autoFilter ref="$A$1:$T$44"/>
    </customSheetView>
  </customSheetViews>
  <mergeCells count="8">
    <mergeCell ref="A2:M2"/>
    <mergeCell ref="A3:F3"/>
    <mergeCell ref="G3:I3"/>
    <mergeCell ref="J36:K36"/>
    <mergeCell ref="N36:O36"/>
    <mergeCell ref="J37:K37"/>
    <mergeCell ref="N37:O37"/>
    <mergeCell ref="H40:I40"/>
  </mergeCells>
  <conditionalFormatting sqref="M5:M34 R5:R34">
    <cfRule type="containsText" dxfId="3" priority="1" operator="containsText" text="fh">
      <formula>NOT(ISERROR(SEARCH(("fh"),(M5))))</formula>
    </cfRule>
  </conditionalFormatting>
  <conditionalFormatting sqref="L1 L4:L34 M4 N8:O17 N19:O21 L36:L39 L41:L44">
    <cfRule type="containsText" dxfId="0" priority="2" operator="containsText" text="COBR">
      <formula>NOT(ISERROR(SEARCH(("COBR"),(L1))))</formula>
    </cfRule>
  </conditionalFormatting>
  <conditionalFormatting sqref="L1 L4:L34 M4 N8:O17 N19:O21 L36:L39 L41:L44">
    <cfRule type="containsText" dxfId="1" priority="3" operator="containsText" text="INTE">
      <formula>NOT(ISERROR(SEARCH(("INTE"),(L1))))</formula>
    </cfRule>
  </conditionalFormatting>
  <conditionalFormatting sqref="L1 L4:L34 M4 J36 L36:L39 N36 L41:L44">
    <cfRule type="containsText" dxfId="2" priority="4" operator="containsText" text="DESC">
      <formula>NOT(ISERROR(SEARCH(("DESC"),(L1))))</formula>
    </cfRule>
  </conditionalFormatting>
  <dataValidations>
    <dataValidation type="list" allowBlank="1" showErrorMessage="1" sqref="M5:M34">
      <formula1>CUENTAS</formula1>
    </dataValidation>
    <dataValidation type="list" allowBlank="1" showErrorMessage="1" sqref="P5:P34">
      <formula1>VENDEDOR</formula1>
    </dataValidation>
    <dataValidation type="list" allowBlank="1" showErrorMessage="1" sqref="L5:L34">
      <formula1>SITUACION</formula1>
    </dataValidation>
  </dataValidations>
  <printOptions gridLines="1" horizontalCentered="1"/>
  <pageMargins bottom="0.6" footer="0.0" header="0.0" left="0.18446313842671508" right="0.1947110905615326" top="0.2152069948311676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0.75"/>
    <col customWidth="1" min="2" max="2" width="6.38"/>
    <col customWidth="1" min="3" max="3" width="20.13"/>
    <col customWidth="1" min="4" max="4" width="62.25"/>
    <col customWidth="1" min="5" max="5" width="7.88"/>
    <col customWidth="1" min="6" max="6" width="21.88"/>
    <col customWidth="1" min="7" max="7" width="2.75"/>
  </cols>
  <sheetData>
    <row r="1" ht="19.5" customHeight="1">
      <c r="A1" s="14" t="s">
        <v>1207</v>
      </c>
      <c r="B1" s="2"/>
      <c r="C1" s="2"/>
      <c r="D1" s="1"/>
      <c r="E1" s="2"/>
      <c r="F1" s="2"/>
      <c r="G1" s="1"/>
    </row>
    <row r="2">
      <c r="A2" s="349"/>
      <c r="B2" s="350" t="s">
        <v>1208</v>
      </c>
      <c r="C2" s="138"/>
      <c r="D2" s="138"/>
      <c r="E2" s="138"/>
      <c r="F2" s="109"/>
      <c r="G2" s="1"/>
    </row>
    <row r="3">
      <c r="A3" s="349"/>
      <c r="B3" s="351" t="s">
        <v>1209</v>
      </c>
      <c r="C3" s="138"/>
      <c r="D3" s="138"/>
      <c r="E3" s="138"/>
      <c r="F3" s="109"/>
      <c r="G3" s="1"/>
    </row>
    <row r="4" ht="23.25" customHeight="1">
      <c r="A4" s="349"/>
      <c r="B4" s="352" t="s">
        <v>1210</v>
      </c>
      <c r="C4" s="138"/>
      <c r="D4" s="138"/>
      <c r="E4" s="138"/>
      <c r="F4" s="109"/>
      <c r="G4" s="1"/>
    </row>
    <row r="5" ht="24.0" customHeight="1">
      <c r="A5" s="349"/>
      <c r="B5" s="6" t="s">
        <v>0</v>
      </c>
      <c r="C5" s="353" t="s">
        <v>8</v>
      </c>
      <c r="D5" s="353" t="s">
        <v>9</v>
      </c>
      <c r="E5" s="354" t="s">
        <v>1211</v>
      </c>
      <c r="F5" s="354" t="s">
        <v>1212</v>
      </c>
      <c r="G5" s="355"/>
    </row>
    <row r="6" ht="24.0" customHeight="1">
      <c r="A6" s="349"/>
      <c r="B6" s="356">
        <v>1.0</v>
      </c>
      <c r="C6" s="357"/>
      <c r="D6" s="358" t="s">
        <v>1213</v>
      </c>
      <c r="E6" s="359"/>
      <c r="F6" s="360"/>
      <c r="G6" s="361"/>
    </row>
    <row r="7" ht="24.0" customHeight="1">
      <c r="A7" s="349"/>
      <c r="B7" s="356">
        <v>2.0</v>
      </c>
      <c r="C7" s="357"/>
      <c r="D7" s="358" t="s">
        <v>1214</v>
      </c>
      <c r="E7" s="359"/>
      <c r="F7" s="360"/>
      <c r="G7" s="361"/>
    </row>
    <row r="8" ht="24.0" customHeight="1">
      <c r="A8" s="349"/>
      <c r="B8" s="356">
        <v>3.0</v>
      </c>
      <c r="C8" s="357"/>
      <c r="D8" s="358" t="s">
        <v>1215</v>
      </c>
      <c r="E8" s="359"/>
      <c r="F8" s="360"/>
      <c r="G8" s="361"/>
    </row>
    <row r="9" ht="24.0" customHeight="1">
      <c r="A9" s="349"/>
      <c r="B9" s="356">
        <v>4.0</v>
      </c>
      <c r="C9" s="357"/>
      <c r="D9" s="358" t="s">
        <v>1216</v>
      </c>
      <c r="E9" s="359"/>
      <c r="F9" s="360"/>
      <c r="G9" s="361"/>
    </row>
    <row r="10" ht="24.0" customHeight="1">
      <c r="A10" s="349"/>
      <c r="B10" s="356">
        <v>5.0</v>
      </c>
      <c r="C10" s="357"/>
      <c r="D10" s="358" t="s">
        <v>1217</v>
      </c>
      <c r="E10" s="359"/>
      <c r="F10" s="360"/>
      <c r="G10" s="361"/>
    </row>
    <row r="11" ht="24.0" customHeight="1">
      <c r="A11" s="349"/>
      <c r="B11" s="356">
        <v>6.0</v>
      </c>
      <c r="C11" s="357"/>
      <c r="D11" s="358" t="s">
        <v>1218</v>
      </c>
      <c r="E11" s="359"/>
      <c r="F11" s="360"/>
      <c r="G11" s="361"/>
    </row>
    <row r="12" ht="24.0" customHeight="1">
      <c r="A12" s="349"/>
      <c r="B12" s="356">
        <v>7.0</v>
      </c>
      <c r="C12" s="357"/>
      <c r="D12" s="358" t="s">
        <v>1219</v>
      </c>
      <c r="E12" s="359"/>
      <c r="F12" s="360"/>
      <c r="G12" s="361"/>
    </row>
    <row r="13" ht="24.0" customHeight="1">
      <c r="A13" s="349"/>
      <c r="B13" s="356">
        <v>8.0</v>
      </c>
      <c r="C13" s="357"/>
      <c r="D13" s="358"/>
      <c r="E13" s="359"/>
      <c r="F13" s="360"/>
      <c r="G13" s="361"/>
    </row>
    <row r="14" ht="24.0" customHeight="1">
      <c r="A14" s="349"/>
      <c r="B14" s="356">
        <v>9.0</v>
      </c>
      <c r="C14" s="357"/>
      <c r="D14" s="358"/>
      <c r="E14" s="359"/>
      <c r="F14" s="360"/>
      <c r="G14" s="361"/>
    </row>
    <row r="15" ht="24.0" customHeight="1">
      <c r="A15" s="349"/>
      <c r="B15" s="356">
        <v>10.0</v>
      </c>
      <c r="C15" s="357"/>
      <c r="D15" s="358"/>
      <c r="E15" s="359"/>
      <c r="F15" s="360"/>
      <c r="G15" s="361"/>
    </row>
    <row r="16" ht="24.0" customHeight="1">
      <c r="A16" s="349"/>
      <c r="B16" s="356">
        <v>11.0</v>
      </c>
      <c r="C16" s="357"/>
      <c r="D16" s="358"/>
      <c r="E16" s="359"/>
      <c r="F16" s="360"/>
      <c r="G16" s="361"/>
    </row>
    <row r="17" ht="24.0" customHeight="1">
      <c r="A17" s="349"/>
      <c r="B17" s="362">
        <v>12.0</v>
      </c>
      <c r="C17" s="357"/>
      <c r="D17" s="358"/>
      <c r="E17" s="359"/>
      <c r="F17" s="363"/>
      <c r="G17" s="1"/>
    </row>
    <row r="18" ht="24.0" customHeight="1">
      <c r="A18" s="349"/>
      <c r="B18" s="362">
        <v>13.0</v>
      </c>
      <c r="C18" s="357"/>
      <c r="D18" s="358"/>
      <c r="E18" s="359"/>
      <c r="F18" s="362"/>
      <c r="G18" s="1"/>
    </row>
    <row r="19" ht="24.0" customHeight="1">
      <c r="A19" s="349"/>
      <c r="B19" s="362">
        <v>14.0</v>
      </c>
      <c r="C19" s="357"/>
      <c r="D19" s="358"/>
      <c r="E19" s="359"/>
      <c r="F19" s="362"/>
      <c r="G19" s="1"/>
    </row>
    <row r="20" ht="24.0" customHeight="1">
      <c r="A20" s="349"/>
      <c r="B20" s="362">
        <v>15.0</v>
      </c>
      <c r="C20" s="357"/>
      <c r="D20" s="364"/>
      <c r="E20" s="359"/>
      <c r="F20" s="362"/>
      <c r="G20" s="1"/>
    </row>
    <row r="21" ht="24.0" customHeight="1">
      <c r="A21" s="349"/>
      <c r="B21" s="362">
        <v>16.0</v>
      </c>
      <c r="C21" s="357"/>
      <c r="D21" s="364"/>
      <c r="E21" s="359"/>
      <c r="F21" s="362"/>
      <c r="G21" s="1"/>
    </row>
    <row r="22" ht="24.0" customHeight="1">
      <c r="A22" s="349"/>
      <c r="B22" s="362">
        <v>17.0</v>
      </c>
      <c r="C22" s="357"/>
      <c r="D22" s="365"/>
      <c r="E22" s="359"/>
      <c r="F22" s="362"/>
      <c r="G22" s="1"/>
    </row>
    <row r="23" ht="24.0" customHeight="1">
      <c r="A23" s="349"/>
      <c r="B23" s="362">
        <v>18.0</v>
      </c>
      <c r="C23" s="357"/>
      <c r="D23" s="358"/>
      <c r="E23" s="359"/>
      <c r="F23" s="362"/>
      <c r="G23" s="1"/>
    </row>
    <row r="24" ht="24.0" customHeight="1">
      <c r="A24" s="349"/>
      <c r="B24" s="362">
        <v>19.0</v>
      </c>
      <c r="C24" s="357"/>
      <c r="D24" s="366"/>
      <c r="E24" s="359"/>
      <c r="F24" s="362"/>
      <c r="G24" s="1"/>
    </row>
    <row r="25" ht="24.0" customHeight="1">
      <c r="A25" s="349"/>
      <c r="B25" s="362">
        <v>20.0</v>
      </c>
      <c r="C25" s="357"/>
      <c r="D25" s="366"/>
      <c r="E25" s="359"/>
      <c r="F25" s="362"/>
      <c r="G25" s="1"/>
    </row>
    <row r="26" ht="24.0" customHeight="1">
      <c r="A26" s="349"/>
      <c r="B26" s="362">
        <v>21.0</v>
      </c>
      <c r="C26" s="357"/>
      <c r="D26" s="367"/>
      <c r="E26" s="359"/>
      <c r="F26" s="362"/>
      <c r="G26" s="1"/>
    </row>
    <row r="27" ht="24.0" customHeight="1">
      <c r="A27" s="349"/>
      <c r="B27" s="362">
        <v>22.0</v>
      </c>
      <c r="C27" s="357"/>
      <c r="D27" s="367"/>
      <c r="E27" s="359"/>
      <c r="F27" s="362"/>
      <c r="G27" s="1"/>
    </row>
    <row r="28" ht="24.0" customHeight="1">
      <c r="A28" s="349"/>
      <c r="B28" s="362">
        <v>23.0</v>
      </c>
      <c r="C28" s="357"/>
      <c r="D28" s="367"/>
      <c r="E28" s="359"/>
      <c r="F28" s="362"/>
      <c r="G28" s="1"/>
    </row>
    <row r="29" ht="24.0" customHeight="1">
      <c r="A29" s="349"/>
      <c r="B29" s="362">
        <v>24.0</v>
      </c>
      <c r="C29" s="357"/>
      <c r="D29" s="367"/>
      <c r="E29" s="359"/>
      <c r="F29" s="362"/>
      <c r="G29" s="1"/>
    </row>
    <row r="30" ht="24.0" customHeight="1">
      <c r="A30" s="349"/>
      <c r="B30" s="362">
        <v>25.0</v>
      </c>
      <c r="C30" s="357"/>
      <c r="D30" s="367"/>
      <c r="E30" s="362"/>
      <c r="F30" s="362"/>
      <c r="G30" s="1"/>
    </row>
    <row r="31" ht="24.0" customHeight="1">
      <c r="A31" s="349"/>
      <c r="B31" s="362">
        <v>26.0</v>
      </c>
      <c r="C31" s="357"/>
      <c r="D31" s="368"/>
      <c r="E31" s="362"/>
      <c r="F31" s="362"/>
      <c r="G31" s="1"/>
    </row>
    <row r="32" ht="24.0" customHeight="1">
      <c r="A32" s="349"/>
      <c r="B32" s="362">
        <v>27.0</v>
      </c>
      <c r="C32" s="357"/>
      <c r="D32" s="368"/>
      <c r="E32" s="362"/>
      <c r="F32" s="362"/>
      <c r="G32" s="1"/>
    </row>
    <row r="33" ht="24.0" customHeight="1">
      <c r="A33" s="349"/>
      <c r="B33" s="362">
        <v>28.0</v>
      </c>
      <c r="C33" s="357"/>
      <c r="D33" s="368"/>
      <c r="E33" s="362"/>
      <c r="F33" s="362"/>
      <c r="G33" s="1"/>
    </row>
    <row r="34" ht="24.0" customHeight="1">
      <c r="A34" s="349"/>
      <c r="B34" s="362">
        <v>29.0</v>
      </c>
      <c r="C34" s="357"/>
      <c r="D34" s="368"/>
      <c r="E34" s="362"/>
      <c r="F34" s="362"/>
      <c r="G34" s="1"/>
    </row>
    <row r="35" ht="24.0" customHeight="1">
      <c r="A35" s="349"/>
      <c r="B35" s="362">
        <v>30.0</v>
      </c>
      <c r="C35" s="357"/>
      <c r="D35" s="368"/>
      <c r="E35" s="362"/>
      <c r="F35" s="362"/>
      <c r="G35" s="1"/>
    </row>
    <row r="36" ht="24.0" customHeight="1">
      <c r="A36" s="349"/>
      <c r="B36" s="362">
        <v>31.0</v>
      </c>
      <c r="C36" s="357"/>
      <c r="D36" s="368"/>
      <c r="E36" s="362"/>
      <c r="F36" s="362"/>
      <c r="G36" s="1"/>
    </row>
    <row r="37" ht="24.0" customHeight="1">
      <c r="A37" s="349"/>
      <c r="B37" s="362">
        <v>32.0</v>
      </c>
      <c r="C37" s="357"/>
      <c r="D37" s="369"/>
      <c r="E37" s="362"/>
      <c r="F37" s="362"/>
      <c r="G37" s="1"/>
    </row>
    <row r="38" ht="24.0" customHeight="1">
      <c r="A38" s="349"/>
      <c r="B38" s="362">
        <v>33.0</v>
      </c>
      <c r="C38" s="370"/>
      <c r="D38" s="369"/>
      <c r="E38" s="362"/>
      <c r="F38" s="362"/>
      <c r="G38" s="1"/>
    </row>
    <row r="39" ht="24.0" customHeight="1">
      <c r="A39" s="349"/>
      <c r="B39" s="362">
        <v>34.0</v>
      </c>
      <c r="C39" s="370"/>
      <c r="D39" s="369"/>
      <c r="E39" s="362"/>
      <c r="F39" s="362"/>
      <c r="G39" s="1"/>
    </row>
    <row r="40" ht="24.0" customHeight="1">
      <c r="A40" s="349"/>
      <c r="B40" s="362">
        <v>35.0</v>
      </c>
      <c r="C40" s="370"/>
      <c r="D40" s="362"/>
      <c r="E40" s="362"/>
      <c r="F40" s="362"/>
      <c r="G40" s="1"/>
    </row>
    <row r="41" ht="24.0" customHeight="1">
      <c r="A41" s="349"/>
      <c r="B41" s="362">
        <v>36.0</v>
      </c>
      <c r="C41" s="370"/>
      <c r="D41" s="362"/>
      <c r="E41" s="362"/>
      <c r="F41" s="362"/>
      <c r="G41" s="1"/>
    </row>
    <row r="42" ht="24.0" customHeight="1">
      <c r="A42" s="349"/>
      <c r="B42" s="362">
        <v>37.0</v>
      </c>
      <c r="C42" s="370"/>
      <c r="D42" s="362"/>
      <c r="E42" s="362"/>
      <c r="F42" s="362"/>
      <c r="G42" s="1"/>
    </row>
    <row r="43" ht="24.0" customHeight="1">
      <c r="A43" s="349"/>
      <c r="B43" s="362">
        <v>38.0</v>
      </c>
      <c r="C43" s="370"/>
      <c r="D43" s="362"/>
      <c r="E43" s="362"/>
      <c r="F43" s="362"/>
      <c r="G43" s="1"/>
    </row>
    <row r="44" ht="24.0" customHeight="1">
      <c r="A44" s="349"/>
      <c r="B44" s="362">
        <v>39.0</v>
      </c>
      <c r="C44" s="362"/>
      <c r="D44" s="362"/>
      <c r="E44" s="362"/>
      <c r="F44" s="362"/>
      <c r="G44" s="1"/>
    </row>
    <row r="45" ht="21.0" customHeight="1">
      <c r="A45" s="349"/>
      <c r="B45" s="2"/>
      <c r="C45" s="2"/>
      <c r="D45" s="1"/>
      <c r="E45" s="2"/>
      <c r="F45" s="2"/>
      <c r="G45" s="1"/>
    </row>
  </sheetData>
  <autoFilter ref="$A$1"/>
  <mergeCells count="3">
    <mergeCell ref="B2:F2"/>
    <mergeCell ref="B3:F3"/>
    <mergeCell ref="B4:F4"/>
  </mergeCells>
  <printOptions gridLines="1" horizontalCentered="1"/>
  <pageMargins bottom="0.1947110905615326" footer="0.0" header="0.0" left="0.6" right="0.21520699483116765" top="0.18446313842671508"/>
  <pageSetup fitToWidth="0" paperSize="9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88"/>
  </cols>
  <sheetData>
    <row r="1">
      <c r="A1" s="371"/>
      <c r="B1" s="371"/>
      <c r="C1" s="371"/>
      <c r="D1" s="372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</row>
    <row r="2">
      <c r="A2" s="371"/>
      <c r="B2" s="371"/>
      <c r="C2" s="371"/>
      <c r="D2" s="372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</row>
    <row r="3">
      <c r="A3" s="371"/>
      <c r="B3" s="373" t="s">
        <v>1220</v>
      </c>
      <c r="C3" s="371"/>
      <c r="D3" s="374" t="s">
        <v>21</v>
      </c>
      <c r="E3" s="371"/>
      <c r="F3" s="373" t="s">
        <v>1221</v>
      </c>
      <c r="G3" s="371"/>
      <c r="H3" s="373" t="s">
        <v>1222</v>
      </c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</row>
    <row r="4">
      <c r="A4" s="371"/>
      <c r="B4" s="375" t="s">
        <v>164</v>
      </c>
      <c r="C4" s="371"/>
      <c r="D4" s="376" t="s">
        <v>47</v>
      </c>
      <c r="E4" s="371"/>
      <c r="F4" s="375" t="s">
        <v>80</v>
      </c>
      <c r="G4" s="371"/>
      <c r="H4" s="375" t="s">
        <v>1223</v>
      </c>
      <c r="I4" s="371"/>
      <c r="J4" s="371"/>
      <c r="K4" s="371"/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  <c r="Z4" s="371"/>
    </row>
    <row r="5">
      <c r="A5" s="371"/>
      <c r="B5" s="375" t="s">
        <v>1224</v>
      </c>
      <c r="C5" s="371"/>
      <c r="D5" s="376" t="s">
        <v>1225</v>
      </c>
      <c r="E5" s="371"/>
      <c r="F5" s="375" t="s">
        <v>93</v>
      </c>
      <c r="G5" s="371"/>
      <c r="H5" s="375" t="s">
        <v>1226</v>
      </c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/>
      <c r="Z5" s="371"/>
    </row>
    <row r="6">
      <c r="A6" s="371"/>
      <c r="B6" s="375" t="s">
        <v>278</v>
      </c>
      <c r="C6" s="371"/>
      <c r="D6" s="377" t="s">
        <v>50</v>
      </c>
      <c r="E6" s="371"/>
      <c r="F6" s="375" t="s">
        <v>1227</v>
      </c>
      <c r="G6" s="371"/>
      <c r="H6" s="375" t="s">
        <v>1228</v>
      </c>
      <c r="I6" s="371"/>
      <c r="J6" s="371"/>
      <c r="K6" s="371"/>
      <c r="L6" s="371"/>
      <c r="M6" s="371"/>
      <c r="N6" s="371"/>
      <c r="O6" s="371"/>
      <c r="P6" s="371"/>
      <c r="Q6" s="371"/>
      <c r="R6" s="371"/>
      <c r="S6" s="371"/>
      <c r="T6" s="371"/>
      <c r="U6" s="371"/>
      <c r="V6" s="371"/>
      <c r="W6" s="371"/>
      <c r="X6" s="371"/>
      <c r="Y6" s="371"/>
      <c r="Z6" s="371"/>
    </row>
    <row r="7">
      <c r="A7" s="371"/>
      <c r="B7" s="375" t="s">
        <v>81</v>
      </c>
      <c r="C7" s="371"/>
      <c r="D7" s="377" t="s">
        <v>44</v>
      </c>
      <c r="E7" s="371"/>
      <c r="F7" s="375" t="s">
        <v>1229</v>
      </c>
      <c r="G7" s="371"/>
      <c r="H7" s="375" t="s">
        <v>1230</v>
      </c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371"/>
      <c r="V7" s="371"/>
      <c r="W7" s="371"/>
      <c r="X7" s="371"/>
      <c r="Y7" s="371"/>
      <c r="Z7" s="371"/>
    </row>
    <row r="8">
      <c r="A8" s="371"/>
      <c r="B8" s="375" t="s">
        <v>98</v>
      </c>
      <c r="C8" s="371"/>
      <c r="D8" s="377" t="s">
        <v>45</v>
      </c>
      <c r="E8" s="371"/>
      <c r="F8" s="371"/>
      <c r="G8" s="371"/>
      <c r="H8" s="375" t="s">
        <v>1231</v>
      </c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</row>
    <row r="9">
      <c r="A9" s="371"/>
      <c r="B9" s="375" t="s">
        <v>800</v>
      </c>
      <c r="C9" s="371"/>
      <c r="D9" s="377" t="s">
        <v>1232</v>
      </c>
      <c r="E9" s="371"/>
      <c r="F9" s="371"/>
      <c r="G9" s="371"/>
      <c r="H9" s="371"/>
      <c r="I9" s="371"/>
      <c r="J9" s="371"/>
      <c r="K9" s="371"/>
      <c r="L9" s="371"/>
      <c r="M9" s="371"/>
      <c r="N9" s="371"/>
      <c r="O9" s="371"/>
      <c r="P9" s="371"/>
      <c r="Q9" s="371"/>
      <c r="R9" s="371"/>
      <c r="S9" s="371"/>
      <c r="T9" s="371"/>
      <c r="U9" s="371"/>
      <c r="V9" s="371"/>
      <c r="W9" s="371"/>
      <c r="X9" s="371"/>
      <c r="Y9" s="371"/>
      <c r="Z9" s="371"/>
    </row>
    <row r="10">
      <c r="A10" s="371"/>
      <c r="B10" s="375" t="s">
        <v>143</v>
      </c>
      <c r="C10" s="371"/>
      <c r="D10" s="377" t="s">
        <v>1233</v>
      </c>
      <c r="E10" s="371"/>
      <c r="F10" s="371"/>
      <c r="G10" s="371"/>
      <c r="H10" s="371"/>
      <c r="I10" s="371"/>
      <c r="J10" s="371"/>
      <c r="K10" s="371"/>
      <c r="L10" s="371"/>
      <c r="M10" s="371"/>
      <c r="N10" s="371"/>
      <c r="O10" s="371"/>
      <c r="P10" s="371"/>
      <c r="Q10" s="371"/>
      <c r="R10" s="371"/>
      <c r="S10" s="371"/>
      <c r="T10" s="371"/>
      <c r="U10" s="371"/>
      <c r="V10" s="371"/>
      <c r="W10" s="371"/>
      <c r="X10" s="371"/>
      <c r="Y10" s="371"/>
      <c r="Z10" s="371"/>
    </row>
    <row r="11">
      <c r="A11" s="371"/>
      <c r="B11" s="375" t="s">
        <v>174</v>
      </c>
      <c r="C11" s="371"/>
      <c r="D11" s="377" t="s">
        <v>48</v>
      </c>
      <c r="E11" s="371"/>
      <c r="F11" s="371"/>
      <c r="G11" s="371"/>
      <c r="H11" s="371"/>
      <c r="I11" s="371"/>
      <c r="J11" s="371"/>
      <c r="K11" s="371"/>
      <c r="L11" s="371"/>
      <c r="M11" s="371"/>
      <c r="N11" s="371"/>
      <c r="O11" s="371"/>
      <c r="P11" s="371"/>
      <c r="Q11" s="371"/>
      <c r="R11" s="371"/>
      <c r="S11" s="371"/>
      <c r="T11" s="371"/>
      <c r="U11" s="371"/>
      <c r="V11" s="371"/>
      <c r="W11" s="371"/>
      <c r="X11" s="371"/>
      <c r="Y11" s="371"/>
      <c r="Z11" s="371"/>
    </row>
    <row r="12">
      <c r="A12" s="371"/>
      <c r="B12" s="375" t="s">
        <v>513</v>
      </c>
      <c r="C12" s="371"/>
      <c r="D12" s="377" t="s">
        <v>49</v>
      </c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 s="371"/>
      <c r="R12" s="371"/>
      <c r="S12" s="371"/>
      <c r="T12" s="371"/>
      <c r="U12" s="371"/>
      <c r="V12" s="371"/>
      <c r="W12" s="371"/>
      <c r="X12" s="371"/>
      <c r="Y12" s="371"/>
      <c r="Z12" s="371"/>
    </row>
    <row r="13">
      <c r="A13" s="371"/>
      <c r="B13" s="375" t="s">
        <v>1234</v>
      </c>
      <c r="C13" s="371"/>
      <c r="D13" s="377" t="s">
        <v>43</v>
      </c>
      <c r="E13" s="371"/>
      <c r="F13" s="378"/>
      <c r="G13" s="371"/>
      <c r="H13" s="371"/>
      <c r="I13" s="371"/>
      <c r="J13" s="371"/>
      <c r="K13" s="371"/>
      <c r="L13" s="371"/>
      <c r="M13" s="371"/>
      <c r="N13" s="371"/>
      <c r="O13" s="371"/>
      <c r="P13" s="371"/>
      <c r="Q13" s="371"/>
      <c r="R13" s="371"/>
      <c r="S13" s="371"/>
      <c r="T13" s="371"/>
      <c r="U13" s="371"/>
      <c r="V13" s="371"/>
      <c r="W13" s="371"/>
      <c r="X13" s="371"/>
      <c r="Y13" s="371"/>
      <c r="Z13" s="371"/>
    </row>
    <row r="14">
      <c r="A14" s="371"/>
      <c r="B14" s="375"/>
      <c r="C14" s="371"/>
      <c r="D14" s="377" t="s">
        <v>46</v>
      </c>
      <c r="E14" s="371"/>
      <c r="F14" s="371"/>
      <c r="G14" s="371"/>
      <c r="H14" s="371"/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71"/>
      <c r="V14" s="371"/>
      <c r="W14" s="371"/>
      <c r="X14" s="371"/>
      <c r="Y14" s="371"/>
      <c r="Z14" s="371"/>
    </row>
    <row r="15">
      <c r="A15" s="371"/>
      <c r="B15" s="375"/>
      <c r="C15" s="371"/>
      <c r="D15" s="379"/>
      <c r="E15" s="371"/>
      <c r="F15" s="371"/>
      <c r="G15" s="371"/>
      <c r="H15" s="371"/>
      <c r="I15" s="371"/>
      <c r="J15" s="371"/>
      <c r="K15" s="371"/>
      <c r="L15" s="371"/>
      <c r="M15" s="371"/>
      <c r="N15" s="371"/>
      <c r="O15" s="371"/>
      <c r="P15" s="371"/>
      <c r="Q15" s="371"/>
      <c r="R15" s="371"/>
      <c r="S15" s="371"/>
      <c r="T15" s="371"/>
      <c r="U15" s="371"/>
      <c r="V15" s="371"/>
      <c r="W15" s="371"/>
      <c r="X15" s="371"/>
      <c r="Y15" s="371"/>
      <c r="Z15" s="371"/>
    </row>
    <row r="16">
      <c r="A16" s="371"/>
      <c r="B16" s="371"/>
      <c r="C16" s="371"/>
      <c r="D16" s="372"/>
      <c r="E16" s="371"/>
      <c r="F16" s="371"/>
      <c r="G16" s="371"/>
      <c r="H16" s="371"/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Z16" s="371"/>
    </row>
    <row r="17">
      <c r="A17" s="371"/>
      <c r="B17" s="371"/>
      <c r="C17" s="371"/>
      <c r="D17" s="372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Z17" s="371"/>
    </row>
    <row r="18">
      <c r="A18" s="371"/>
      <c r="B18" s="371"/>
      <c r="C18" s="371"/>
      <c r="D18" s="372"/>
      <c r="E18" s="371"/>
      <c r="F18" s="371"/>
      <c r="G18" s="371"/>
      <c r="H18" s="371"/>
      <c r="I18" s="371"/>
      <c r="J18" s="371"/>
      <c r="K18" s="371"/>
      <c r="L18" s="371"/>
      <c r="M18" s="371"/>
      <c r="N18" s="371"/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Z18" s="371"/>
    </row>
    <row r="19">
      <c r="A19" s="371"/>
      <c r="B19" s="371"/>
      <c r="C19" s="371"/>
      <c r="D19" s="372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Z19" s="371"/>
    </row>
    <row r="20">
      <c r="A20" s="371"/>
      <c r="B20" s="371"/>
      <c r="C20" s="371"/>
      <c r="D20" s="372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Z20" s="371"/>
    </row>
    <row r="21">
      <c r="A21" s="371"/>
      <c r="B21" s="371"/>
      <c r="C21" s="371"/>
      <c r="D21" s="372"/>
      <c r="E21" s="371"/>
      <c r="F21" s="371"/>
      <c r="G21" s="371"/>
      <c r="H21" s="371"/>
      <c r="I21" s="371"/>
      <c r="J21" s="371"/>
      <c r="K21" s="371"/>
      <c r="L21" s="371"/>
      <c r="M21" s="371"/>
      <c r="N21" s="371"/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Z21" s="371"/>
    </row>
    <row r="22">
      <c r="A22" s="371"/>
      <c r="B22" s="371"/>
      <c r="C22" s="371"/>
      <c r="D22" s="372"/>
      <c r="E22" s="371"/>
      <c r="F22" s="371"/>
      <c r="G22" s="371"/>
      <c r="H22" s="371"/>
      <c r="I22" s="371"/>
      <c r="J22" s="371"/>
      <c r="K22" s="371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Z22" s="371"/>
    </row>
    <row r="23">
      <c r="A23" s="371"/>
      <c r="B23" s="371"/>
      <c r="C23" s="371"/>
      <c r="D23" s="372"/>
      <c r="E23" s="371"/>
      <c r="F23" s="371"/>
      <c r="G23" s="371"/>
      <c r="H23" s="371"/>
      <c r="I23" s="371"/>
      <c r="J23" s="371"/>
      <c r="K23" s="371"/>
      <c r="L23" s="371"/>
      <c r="M23" s="371"/>
      <c r="N23" s="371"/>
      <c r="O23" s="371"/>
      <c r="P23" s="371"/>
      <c r="Q23" s="371"/>
      <c r="R23" s="371"/>
      <c r="S23" s="371"/>
      <c r="T23" s="371"/>
      <c r="U23" s="371"/>
      <c r="V23" s="371"/>
      <c r="W23" s="371"/>
      <c r="X23" s="371"/>
      <c r="Y23" s="371"/>
      <c r="Z23" s="371"/>
    </row>
    <row r="24">
      <c r="A24" s="371"/>
      <c r="B24" s="371"/>
      <c r="C24" s="371"/>
      <c r="D24" s="372"/>
      <c r="E24" s="371"/>
      <c r="F24" s="371"/>
      <c r="G24" s="371"/>
      <c r="H24" s="371"/>
      <c r="I24" s="371"/>
      <c r="J24" s="371"/>
      <c r="K24" s="371"/>
      <c r="L24" s="371"/>
      <c r="M24" s="371"/>
      <c r="N24" s="371"/>
      <c r="O24" s="371"/>
      <c r="P24" s="371"/>
      <c r="Q24" s="371"/>
      <c r="R24" s="371"/>
      <c r="S24" s="371"/>
      <c r="T24" s="371"/>
      <c r="U24" s="371"/>
      <c r="V24" s="371"/>
      <c r="W24" s="371"/>
      <c r="X24" s="371"/>
      <c r="Y24" s="371"/>
      <c r="Z24" s="371"/>
    </row>
    <row r="25">
      <c r="A25" s="371"/>
      <c r="B25" s="371"/>
      <c r="C25" s="371"/>
      <c r="D25" s="372"/>
      <c r="E25" s="371"/>
      <c r="F25" s="371"/>
      <c r="G25" s="371"/>
      <c r="H25" s="371"/>
      <c r="I25" s="371"/>
      <c r="J25" s="371"/>
      <c r="K25" s="371"/>
      <c r="L25" s="371"/>
      <c r="M25" s="371"/>
      <c r="N25" s="371"/>
      <c r="O25" s="371"/>
      <c r="P25" s="371"/>
      <c r="Q25" s="371"/>
      <c r="R25" s="371"/>
      <c r="S25" s="371"/>
      <c r="T25" s="371"/>
      <c r="U25" s="371"/>
      <c r="V25" s="371"/>
      <c r="W25" s="371"/>
      <c r="X25" s="371"/>
      <c r="Y25" s="371"/>
      <c r="Z25" s="371"/>
    </row>
    <row r="26">
      <c r="A26" s="371"/>
      <c r="B26" s="371"/>
      <c r="C26" s="371"/>
      <c r="D26" s="372"/>
      <c r="E26" s="371"/>
      <c r="F26" s="371"/>
      <c r="G26" s="371"/>
      <c r="H26" s="371"/>
      <c r="I26" s="371"/>
      <c r="J26" s="371"/>
      <c r="K26" s="371"/>
      <c r="L26" s="371"/>
      <c r="M26" s="371"/>
      <c r="N26" s="371"/>
      <c r="O26" s="371"/>
      <c r="P26" s="371"/>
      <c r="Q26" s="371"/>
      <c r="R26" s="371"/>
      <c r="S26" s="371"/>
      <c r="T26" s="371"/>
      <c r="U26" s="371"/>
      <c r="V26" s="371"/>
      <c r="W26" s="371"/>
      <c r="X26" s="371"/>
      <c r="Y26" s="371"/>
      <c r="Z26" s="371"/>
    </row>
    <row r="27">
      <c r="A27" s="371"/>
      <c r="B27" s="371"/>
      <c r="C27" s="371"/>
      <c r="D27" s="372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371"/>
      <c r="V27" s="371"/>
      <c r="W27" s="371"/>
      <c r="X27" s="371"/>
      <c r="Y27" s="371"/>
      <c r="Z27" s="371"/>
    </row>
    <row r="28">
      <c r="A28" s="371"/>
      <c r="B28" s="371"/>
      <c r="C28" s="371"/>
      <c r="D28" s="372"/>
      <c r="E28" s="371"/>
      <c r="F28" s="371"/>
      <c r="G28" s="371"/>
      <c r="H28" s="371"/>
      <c r="I28" s="371"/>
      <c r="J28" s="371"/>
      <c r="K28" s="371"/>
      <c r="L28" s="371"/>
      <c r="M28" s="371"/>
      <c r="N28" s="371"/>
      <c r="O28" s="371"/>
      <c r="P28" s="371"/>
      <c r="Q28" s="371"/>
      <c r="R28" s="371"/>
      <c r="S28" s="371"/>
      <c r="T28" s="371"/>
      <c r="U28" s="371"/>
      <c r="V28" s="371"/>
      <c r="W28" s="371"/>
      <c r="X28" s="371"/>
      <c r="Y28" s="371"/>
      <c r="Z28" s="371"/>
    </row>
    <row r="29">
      <c r="A29" s="371"/>
      <c r="B29" s="371"/>
      <c r="C29" s="371"/>
      <c r="D29" s="372"/>
      <c r="E29" s="371"/>
      <c r="F29" s="371"/>
      <c r="G29" s="371"/>
      <c r="H29" s="371"/>
      <c r="I29" s="371"/>
      <c r="J29" s="371"/>
      <c r="K29" s="371"/>
      <c r="L29" s="371"/>
      <c r="M29" s="371"/>
      <c r="N29" s="371"/>
      <c r="O29" s="371"/>
      <c r="P29" s="371"/>
      <c r="Q29" s="371"/>
      <c r="R29" s="371"/>
      <c r="S29" s="371"/>
      <c r="T29" s="371"/>
      <c r="U29" s="371"/>
      <c r="V29" s="371"/>
      <c r="W29" s="371"/>
      <c r="X29" s="371"/>
      <c r="Y29" s="371"/>
      <c r="Z29" s="371"/>
    </row>
    <row r="30">
      <c r="A30" s="371"/>
      <c r="B30" s="371"/>
      <c r="C30" s="371"/>
      <c r="D30" s="372"/>
      <c r="E30" s="371"/>
      <c r="F30" s="371"/>
      <c r="G30" s="371"/>
      <c r="H30" s="371"/>
      <c r="I30" s="371"/>
      <c r="J30" s="371"/>
      <c r="K30" s="371"/>
      <c r="L30" s="371"/>
      <c r="M30" s="371"/>
      <c r="N30" s="371"/>
      <c r="O30" s="371"/>
      <c r="P30" s="371"/>
      <c r="Q30" s="371"/>
      <c r="R30" s="371"/>
      <c r="S30" s="371"/>
      <c r="T30" s="371"/>
      <c r="U30" s="371"/>
      <c r="V30" s="371"/>
      <c r="W30" s="371"/>
      <c r="X30" s="371"/>
      <c r="Y30" s="371"/>
      <c r="Z30" s="371"/>
    </row>
    <row r="31">
      <c r="A31" s="371"/>
      <c r="B31" s="371"/>
      <c r="C31" s="371"/>
      <c r="D31" s="372"/>
      <c r="E31" s="371"/>
      <c r="F31" s="371"/>
      <c r="G31" s="371"/>
      <c r="H31" s="371"/>
      <c r="I31" s="371"/>
      <c r="J31" s="371"/>
      <c r="K31" s="371"/>
      <c r="L31" s="371"/>
      <c r="M31" s="371"/>
      <c r="N31" s="371"/>
      <c r="O31" s="371"/>
      <c r="P31" s="371"/>
      <c r="Q31" s="371"/>
      <c r="R31" s="371"/>
      <c r="S31" s="371"/>
      <c r="T31" s="371"/>
      <c r="U31" s="371"/>
      <c r="V31" s="371"/>
      <c r="W31" s="371"/>
      <c r="X31" s="371"/>
      <c r="Y31" s="371"/>
      <c r="Z31" s="371"/>
    </row>
    <row r="32">
      <c r="A32" s="371"/>
      <c r="B32" s="371"/>
      <c r="C32" s="371"/>
      <c r="D32" s="372"/>
      <c r="E32" s="371"/>
      <c r="F32" s="371"/>
      <c r="G32" s="371"/>
      <c r="H32" s="371"/>
      <c r="I32" s="371"/>
      <c r="J32" s="371"/>
      <c r="K32" s="371"/>
      <c r="L32" s="371"/>
      <c r="M32" s="371"/>
      <c r="N32" s="371"/>
      <c r="O32" s="371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Z32" s="371"/>
    </row>
    <row r="33">
      <c r="A33" s="371"/>
      <c r="B33" s="371"/>
      <c r="C33" s="371"/>
      <c r="D33" s="372"/>
      <c r="E33" s="371"/>
      <c r="F33" s="371"/>
      <c r="G33" s="371"/>
      <c r="H33" s="371"/>
      <c r="I33" s="371"/>
      <c r="J33" s="371"/>
      <c r="K33" s="371"/>
      <c r="L33" s="371"/>
      <c r="M33" s="371"/>
      <c r="N33" s="371"/>
      <c r="O33" s="371"/>
      <c r="P33" s="371"/>
      <c r="Q33" s="371"/>
      <c r="R33" s="371"/>
      <c r="S33" s="371"/>
      <c r="T33" s="371"/>
      <c r="U33" s="371"/>
      <c r="V33" s="371"/>
      <c r="W33" s="371"/>
      <c r="X33" s="371"/>
      <c r="Y33" s="371"/>
      <c r="Z33" s="371"/>
    </row>
    <row r="34">
      <c r="A34" s="371"/>
      <c r="B34" s="371"/>
      <c r="C34" s="371"/>
      <c r="D34" s="372"/>
      <c r="E34" s="371"/>
      <c r="F34" s="371"/>
      <c r="G34" s="371"/>
      <c r="H34" s="371"/>
      <c r="I34" s="371"/>
      <c r="J34" s="371"/>
      <c r="K34" s="371"/>
      <c r="L34" s="371"/>
      <c r="M34" s="371"/>
      <c r="N34" s="371"/>
      <c r="O34" s="371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Z34" s="371"/>
    </row>
    <row r="35">
      <c r="A35" s="371"/>
      <c r="B35" s="371"/>
      <c r="C35" s="371"/>
      <c r="D35" s="372"/>
      <c r="E35" s="371"/>
      <c r="F35" s="371"/>
      <c r="G35" s="371"/>
      <c r="H35" s="371"/>
      <c r="I35" s="371"/>
      <c r="J35" s="371"/>
      <c r="K35" s="371"/>
      <c r="L35" s="371"/>
      <c r="M35" s="371"/>
      <c r="N35" s="371"/>
      <c r="O35" s="371"/>
      <c r="P35" s="371"/>
      <c r="Q35" s="371"/>
      <c r="R35" s="371"/>
      <c r="S35" s="371"/>
      <c r="T35" s="371"/>
      <c r="U35" s="371"/>
      <c r="V35" s="371"/>
      <c r="W35" s="371"/>
      <c r="X35" s="371"/>
      <c r="Y35" s="371"/>
      <c r="Z35" s="371"/>
    </row>
    <row r="36">
      <c r="A36" s="371"/>
      <c r="B36" s="371"/>
      <c r="C36" s="371"/>
      <c r="D36" s="372"/>
      <c r="E36" s="371"/>
      <c r="F36" s="371"/>
      <c r="G36" s="371"/>
      <c r="H36" s="371"/>
      <c r="I36" s="371"/>
      <c r="J36" s="371"/>
      <c r="K36" s="371"/>
      <c r="L36" s="371"/>
      <c r="M36" s="371"/>
      <c r="N36" s="371"/>
      <c r="O36" s="371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Z36" s="371"/>
    </row>
    <row r="37">
      <c r="A37" s="371"/>
      <c r="B37" s="371"/>
      <c r="C37" s="371"/>
      <c r="D37" s="372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371"/>
      <c r="V37" s="371"/>
      <c r="W37" s="371"/>
      <c r="X37" s="371"/>
      <c r="Y37" s="371"/>
      <c r="Z37" s="371"/>
    </row>
    <row r="38">
      <c r="A38" s="371"/>
      <c r="B38" s="371"/>
      <c r="C38" s="371"/>
      <c r="D38" s="372"/>
      <c r="E38" s="371"/>
      <c r="F38" s="371"/>
      <c r="G38" s="371"/>
      <c r="H38" s="371"/>
      <c r="I38" s="371"/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Z38" s="371"/>
    </row>
    <row r="39">
      <c r="A39" s="371"/>
      <c r="B39" s="371"/>
      <c r="C39" s="371"/>
      <c r="D39" s="372"/>
      <c r="E39" s="371"/>
      <c r="F39" s="371"/>
      <c r="G39" s="371"/>
      <c r="H39" s="371"/>
      <c r="I39" s="371"/>
      <c r="J39" s="371"/>
      <c r="K39" s="371"/>
      <c r="L39" s="371"/>
      <c r="M39" s="371"/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Z39" s="371"/>
    </row>
    <row r="40">
      <c r="A40" s="371"/>
      <c r="B40" s="371"/>
      <c r="C40" s="371"/>
      <c r="D40" s="372"/>
      <c r="E40" s="371"/>
      <c r="F40" s="371"/>
      <c r="G40" s="371"/>
      <c r="H40" s="371"/>
      <c r="I40" s="371"/>
      <c r="J40" s="371"/>
      <c r="K40" s="371"/>
      <c r="L40" s="371"/>
      <c r="M40" s="371"/>
      <c r="N40" s="371"/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Z40" s="371"/>
    </row>
    <row r="41">
      <c r="A41" s="371"/>
      <c r="B41" s="371"/>
      <c r="C41" s="371"/>
      <c r="D41" s="372"/>
      <c r="E41" s="371"/>
      <c r="F41" s="371"/>
      <c r="G41" s="371"/>
      <c r="H41" s="371"/>
      <c r="I41" s="371"/>
      <c r="J41" s="371"/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71"/>
      <c r="V41" s="371"/>
      <c r="W41" s="371"/>
      <c r="X41" s="371"/>
      <c r="Y41" s="371"/>
      <c r="Z41" s="371"/>
    </row>
    <row r="42">
      <c r="A42" s="371"/>
      <c r="B42" s="371"/>
      <c r="C42" s="371"/>
      <c r="D42" s="372"/>
      <c r="E42" s="371"/>
      <c r="F42" s="371"/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Z42" s="371"/>
    </row>
    <row r="43">
      <c r="A43" s="371"/>
      <c r="B43" s="371"/>
      <c r="C43" s="371"/>
      <c r="D43" s="372"/>
      <c r="E43" s="371"/>
      <c r="F43" s="371"/>
      <c r="G43" s="371"/>
      <c r="H43" s="371"/>
      <c r="I43" s="371"/>
      <c r="J43" s="371"/>
      <c r="K43" s="371"/>
      <c r="L43" s="371"/>
      <c r="M43" s="371"/>
      <c r="N43" s="371"/>
      <c r="O43" s="371"/>
      <c r="P43" s="371"/>
      <c r="Q43" s="371"/>
      <c r="R43" s="371"/>
      <c r="S43" s="371"/>
      <c r="T43" s="371"/>
      <c r="U43" s="371"/>
      <c r="V43" s="371"/>
      <c r="W43" s="371"/>
      <c r="X43" s="371"/>
      <c r="Y43" s="371"/>
      <c r="Z43" s="371"/>
    </row>
    <row r="44">
      <c r="A44" s="371"/>
      <c r="B44" s="371"/>
      <c r="C44" s="371"/>
      <c r="D44" s="372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Z44" s="371"/>
    </row>
    <row r="45">
      <c r="A45" s="371"/>
      <c r="B45" s="371"/>
      <c r="C45" s="371"/>
      <c r="D45" s="372"/>
      <c r="E45" s="371"/>
      <c r="F45" s="371"/>
      <c r="G45" s="371"/>
      <c r="H45" s="371"/>
      <c r="I45" s="371"/>
      <c r="J45" s="371"/>
      <c r="K45" s="371"/>
      <c r="L45" s="371"/>
      <c r="M45" s="371"/>
      <c r="N45" s="371"/>
      <c r="O45" s="371"/>
      <c r="P45" s="371"/>
      <c r="Q45" s="371"/>
      <c r="R45" s="371"/>
      <c r="S45" s="371"/>
      <c r="T45" s="371"/>
      <c r="U45" s="371"/>
      <c r="V45" s="371"/>
      <c r="W45" s="371"/>
      <c r="X45" s="371"/>
      <c r="Y45" s="371"/>
      <c r="Z45" s="371"/>
    </row>
    <row r="46">
      <c r="A46" s="371"/>
      <c r="B46" s="371"/>
      <c r="C46" s="371"/>
      <c r="D46" s="372"/>
      <c r="E46" s="371"/>
      <c r="F46" s="371"/>
      <c r="G46" s="371"/>
      <c r="H46" s="371"/>
      <c r="I46" s="371"/>
      <c r="J46" s="371"/>
      <c r="K46" s="371"/>
      <c r="L46" s="371"/>
      <c r="M46" s="371"/>
      <c r="N46" s="371"/>
      <c r="O46" s="371"/>
      <c r="P46" s="371"/>
      <c r="Q46" s="371"/>
      <c r="R46" s="371"/>
      <c r="S46" s="371"/>
      <c r="T46" s="371"/>
      <c r="U46" s="371"/>
      <c r="V46" s="371"/>
      <c r="W46" s="371"/>
      <c r="X46" s="371"/>
      <c r="Y46" s="371"/>
      <c r="Z46" s="371"/>
    </row>
    <row r="47">
      <c r="A47" s="371"/>
      <c r="B47" s="371"/>
      <c r="C47" s="371"/>
      <c r="D47" s="372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371"/>
      <c r="V47" s="371"/>
      <c r="W47" s="371"/>
      <c r="X47" s="371"/>
      <c r="Y47" s="371"/>
      <c r="Z47" s="371"/>
    </row>
    <row r="48">
      <c r="A48" s="371"/>
      <c r="B48" s="371"/>
      <c r="C48" s="371"/>
      <c r="D48" s="372"/>
      <c r="E48" s="371"/>
      <c r="F48" s="371"/>
      <c r="G48" s="371"/>
      <c r="H48" s="371"/>
      <c r="I48" s="371"/>
      <c r="J48" s="371"/>
      <c r="K48" s="371"/>
      <c r="L48" s="371"/>
      <c r="M48" s="371"/>
      <c r="N48" s="371"/>
      <c r="O48" s="371"/>
      <c r="P48" s="371"/>
      <c r="Q48" s="371"/>
      <c r="R48" s="371"/>
      <c r="S48" s="371"/>
      <c r="T48" s="371"/>
      <c r="U48" s="371"/>
      <c r="V48" s="371"/>
      <c r="W48" s="371"/>
      <c r="X48" s="371"/>
      <c r="Y48" s="371"/>
      <c r="Z48" s="371"/>
    </row>
    <row r="49">
      <c r="A49" s="371"/>
      <c r="B49" s="371"/>
      <c r="C49" s="371"/>
      <c r="D49" s="372"/>
      <c r="E49" s="371"/>
      <c r="F49" s="371"/>
      <c r="G49" s="371"/>
      <c r="H49" s="371"/>
      <c r="I49" s="371"/>
      <c r="J49" s="371"/>
      <c r="K49" s="371"/>
      <c r="L49" s="371"/>
      <c r="M49" s="371"/>
      <c r="N49" s="371"/>
      <c r="O49" s="371"/>
      <c r="P49" s="371"/>
      <c r="Q49" s="371"/>
      <c r="R49" s="371"/>
      <c r="S49" s="371"/>
      <c r="T49" s="371"/>
      <c r="U49" s="371"/>
      <c r="V49" s="371"/>
      <c r="W49" s="371"/>
      <c r="X49" s="371"/>
      <c r="Y49" s="371"/>
      <c r="Z49" s="371"/>
    </row>
    <row r="50">
      <c r="A50" s="371"/>
      <c r="B50" s="371"/>
      <c r="C50" s="371"/>
      <c r="D50" s="372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1"/>
      <c r="P50" s="371"/>
      <c r="Q50" s="371"/>
      <c r="R50" s="371"/>
      <c r="S50" s="371"/>
      <c r="T50" s="371"/>
      <c r="U50" s="371"/>
      <c r="V50" s="371"/>
      <c r="W50" s="371"/>
      <c r="X50" s="371"/>
      <c r="Y50" s="371"/>
      <c r="Z50" s="371"/>
    </row>
    <row r="51">
      <c r="A51" s="371"/>
      <c r="B51" s="371"/>
      <c r="C51" s="371"/>
      <c r="D51" s="372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371"/>
      <c r="P51" s="371"/>
      <c r="Q51" s="371"/>
      <c r="R51" s="371"/>
      <c r="S51" s="371"/>
      <c r="T51" s="371"/>
      <c r="U51" s="371"/>
      <c r="V51" s="371"/>
      <c r="W51" s="371"/>
      <c r="X51" s="371"/>
      <c r="Y51" s="371"/>
      <c r="Z51" s="371"/>
    </row>
    <row r="52">
      <c r="A52" s="371"/>
      <c r="B52" s="371"/>
      <c r="C52" s="371"/>
      <c r="D52" s="372"/>
      <c r="E52" s="371"/>
      <c r="F52" s="371"/>
      <c r="G52" s="371"/>
      <c r="H52" s="371"/>
      <c r="I52" s="371"/>
      <c r="J52" s="371"/>
      <c r="K52" s="371"/>
      <c r="L52" s="371"/>
      <c r="M52" s="371"/>
      <c r="N52" s="371"/>
      <c r="O52" s="371"/>
      <c r="P52" s="371"/>
      <c r="Q52" s="371"/>
      <c r="R52" s="371"/>
      <c r="S52" s="371"/>
      <c r="T52" s="371"/>
      <c r="U52" s="371"/>
      <c r="V52" s="371"/>
      <c r="W52" s="371"/>
      <c r="X52" s="371"/>
      <c r="Y52" s="371"/>
      <c r="Z52" s="371"/>
    </row>
    <row r="53">
      <c r="A53" s="371"/>
      <c r="B53" s="371"/>
      <c r="C53" s="371"/>
      <c r="D53" s="372"/>
      <c r="E53" s="371"/>
      <c r="F53" s="371"/>
      <c r="G53" s="371"/>
      <c r="H53" s="371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371"/>
      <c r="T53" s="371"/>
      <c r="U53" s="371"/>
      <c r="V53" s="371"/>
      <c r="W53" s="371"/>
      <c r="X53" s="371"/>
      <c r="Y53" s="371"/>
      <c r="Z53" s="371"/>
    </row>
    <row r="54">
      <c r="A54" s="371"/>
      <c r="B54" s="371"/>
      <c r="C54" s="371"/>
      <c r="D54" s="372"/>
      <c r="E54" s="371"/>
      <c r="F54" s="371"/>
      <c r="G54" s="371"/>
      <c r="H54" s="371"/>
      <c r="I54" s="371"/>
      <c r="J54" s="371"/>
      <c r="K54" s="371"/>
      <c r="L54" s="371"/>
      <c r="M54" s="371"/>
      <c r="N54" s="371"/>
      <c r="O54" s="371"/>
      <c r="P54" s="371"/>
      <c r="Q54" s="371"/>
      <c r="R54" s="371"/>
      <c r="S54" s="371"/>
      <c r="T54" s="371"/>
      <c r="U54" s="371"/>
      <c r="V54" s="371"/>
      <c r="W54" s="371"/>
      <c r="X54" s="371"/>
      <c r="Y54" s="371"/>
      <c r="Z54" s="371"/>
    </row>
    <row r="55">
      <c r="A55" s="371"/>
      <c r="B55" s="371"/>
      <c r="C55" s="371"/>
      <c r="D55" s="372"/>
      <c r="E55" s="371"/>
      <c r="F55" s="371"/>
      <c r="G55" s="371"/>
      <c r="H55" s="371"/>
      <c r="I55" s="371"/>
      <c r="J55" s="371"/>
      <c r="K55" s="371"/>
      <c r="L55" s="371"/>
      <c r="M55" s="371"/>
      <c r="N55" s="371"/>
      <c r="O55" s="371"/>
      <c r="P55" s="371"/>
      <c r="Q55" s="371"/>
      <c r="R55" s="371"/>
      <c r="S55" s="371"/>
      <c r="T55" s="371"/>
      <c r="U55" s="371"/>
      <c r="V55" s="371"/>
      <c r="W55" s="371"/>
      <c r="X55" s="371"/>
      <c r="Y55" s="371"/>
      <c r="Z55" s="371"/>
    </row>
    <row r="56">
      <c r="A56" s="371"/>
      <c r="B56" s="371"/>
      <c r="C56" s="371"/>
      <c r="D56" s="372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/>
      <c r="Z56" s="371"/>
    </row>
    <row r="57">
      <c r="A57" s="371"/>
      <c r="B57" s="371"/>
      <c r="C57" s="371"/>
      <c r="D57" s="372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71"/>
      <c r="V57" s="371"/>
      <c r="W57" s="371"/>
      <c r="X57" s="371"/>
      <c r="Y57" s="371"/>
      <c r="Z57" s="371"/>
    </row>
    <row r="58">
      <c r="A58" s="371"/>
      <c r="B58" s="371"/>
      <c r="C58" s="371"/>
      <c r="D58" s="372"/>
      <c r="E58" s="371"/>
      <c r="F58" s="371"/>
      <c r="G58" s="371"/>
      <c r="H58" s="371"/>
      <c r="I58" s="371"/>
      <c r="J58" s="371"/>
      <c r="K58" s="371"/>
      <c r="L58" s="371"/>
      <c r="M58" s="371"/>
      <c r="N58" s="371"/>
      <c r="O58" s="371"/>
      <c r="P58" s="371"/>
      <c r="Q58" s="371"/>
      <c r="R58" s="371"/>
      <c r="S58" s="371"/>
      <c r="T58" s="371"/>
      <c r="U58" s="371"/>
      <c r="V58" s="371"/>
      <c r="W58" s="371"/>
      <c r="X58" s="371"/>
      <c r="Y58" s="371"/>
      <c r="Z58" s="371"/>
    </row>
    <row r="59">
      <c r="A59" s="371"/>
      <c r="B59" s="371"/>
      <c r="C59" s="371"/>
      <c r="D59" s="372"/>
      <c r="E59" s="371"/>
      <c r="F59" s="371"/>
      <c r="G59" s="371"/>
      <c r="H59" s="371"/>
      <c r="I59" s="371"/>
      <c r="J59" s="371"/>
      <c r="K59" s="371"/>
      <c r="L59" s="371"/>
      <c r="M59" s="371"/>
      <c r="N59" s="371"/>
      <c r="O59" s="371"/>
      <c r="P59" s="371"/>
      <c r="Q59" s="371"/>
      <c r="R59" s="371"/>
      <c r="S59" s="371"/>
      <c r="T59" s="371"/>
      <c r="U59" s="371"/>
      <c r="V59" s="371"/>
      <c r="W59" s="371"/>
      <c r="X59" s="371"/>
      <c r="Y59" s="371"/>
      <c r="Z59" s="371"/>
    </row>
    <row r="60">
      <c r="A60" s="371"/>
      <c r="B60" s="371"/>
      <c r="C60" s="371"/>
      <c r="D60" s="372"/>
      <c r="E60" s="371"/>
      <c r="F60" s="371"/>
      <c r="G60" s="371"/>
      <c r="H60" s="371"/>
      <c r="I60" s="371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  <c r="U60" s="371"/>
      <c r="V60" s="371"/>
      <c r="W60" s="371"/>
      <c r="X60" s="371"/>
      <c r="Y60" s="371"/>
      <c r="Z60" s="371"/>
    </row>
    <row r="61">
      <c r="A61" s="371"/>
      <c r="B61" s="371"/>
      <c r="C61" s="371"/>
      <c r="D61" s="372"/>
      <c r="E61" s="371"/>
      <c r="F61" s="371"/>
      <c r="G61" s="371"/>
      <c r="H61" s="371"/>
      <c r="I61" s="371"/>
      <c r="J61" s="371"/>
      <c r="K61" s="371"/>
      <c r="L61" s="371"/>
      <c r="M61" s="371"/>
      <c r="N61" s="371"/>
      <c r="O61" s="371"/>
      <c r="P61" s="371"/>
      <c r="Q61" s="371"/>
      <c r="R61" s="371"/>
      <c r="S61" s="371"/>
      <c r="T61" s="371"/>
      <c r="U61" s="371"/>
      <c r="V61" s="371"/>
      <c r="W61" s="371"/>
      <c r="X61" s="371"/>
      <c r="Y61" s="371"/>
      <c r="Z61" s="371"/>
    </row>
    <row r="62">
      <c r="A62" s="371"/>
      <c r="B62" s="371"/>
      <c r="C62" s="371"/>
      <c r="D62" s="372"/>
      <c r="E62" s="371"/>
      <c r="F62" s="371"/>
      <c r="G62" s="371"/>
      <c r="H62" s="371"/>
      <c r="I62" s="371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  <c r="U62" s="371"/>
      <c r="V62" s="371"/>
      <c r="W62" s="371"/>
      <c r="X62" s="371"/>
      <c r="Y62" s="371"/>
      <c r="Z62" s="371"/>
    </row>
    <row r="63">
      <c r="A63" s="371"/>
      <c r="B63" s="371"/>
      <c r="C63" s="371"/>
      <c r="D63" s="372"/>
      <c r="E63" s="371"/>
      <c r="F63" s="371"/>
      <c r="G63" s="371"/>
      <c r="H63" s="371"/>
      <c r="I63" s="371"/>
      <c r="J63" s="371"/>
      <c r="K63" s="371"/>
      <c r="L63" s="371"/>
      <c r="M63" s="371"/>
      <c r="N63" s="371"/>
      <c r="O63" s="371"/>
      <c r="P63" s="371"/>
      <c r="Q63" s="371"/>
      <c r="R63" s="371"/>
      <c r="S63" s="371"/>
      <c r="T63" s="371"/>
      <c r="U63" s="371"/>
      <c r="V63" s="371"/>
      <c r="W63" s="371"/>
      <c r="X63" s="371"/>
      <c r="Y63" s="371"/>
      <c r="Z63" s="371"/>
    </row>
    <row r="64">
      <c r="A64" s="371"/>
      <c r="B64" s="371"/>
      <c r="C64" s="371"/>
      <c r="D64" s="372"/>
      <c r="E64" s="371"/>
      <c r="F64" s="371"/>
      <c r="G64" s="371"/>
      <c r="H64" s="371"/>
      <c r="I64" s="371"/>
      <c r="J64" s="371"/>
      <c r="K64" s="371"/>
      <c r="L64" s="371"/>
      <c r="M64" s="371"/>
      <c r="N64" s="371"/>
      <c r="O64" s="371"/>
      <c r="P64" s="371"/>
      <c r="Q64" s="371"/>
      <c r="R64" s="371"/>
      <c r="S64" s="371"/>
      <c r="T64" s="371"/>
      <c r="U64" s="371"/>
      <c r="V64" s="371"/>
      <c r="W64" s="371"/>
      <c r="X64" s="371"/>
      <c r="Y64" s="371"/>
      <c r="Z64" s="371"/>
    </row>
    <row r="65">
      <c r="A65" s="371"/>
      <c r="B65" s="371"/>
      <c r="C65" s="371"/>
      <c r="D65" s="372"/>
      <c r="E65" s="371"/>
      <c r="F65" s="371"/>
      <c r="G65" s="371"/>
      <c r="H65" s="371"/>
      <c r="I65" s="371"/>
      <c r="J65" s="371"/>
      <c r="K65" s="371"/>
      <c r="L65" s="371"/>
      <c r="M65" s="371"/>
      <c r="N65" s="371"/>
      <c r="O65" s="371"/>
      <c r="P65" s="371"/>
      <c r="Q65" s="371"/>
      <c r="R65" s="371"/>
      <c r="S65" s="371"/>
      <c r="T65" s="371"/>
      <c r="U65" s="371"/>
      <c r="V65" s="371"/>
      <c r="W65" s="371"/>
      <c r="X65" s="371"/>
      <c r="Y65" s="371"/>
      <c r="Z65" s="371"/>
    </row>
    <row r="66">
      <c r="A66" s="371"/>
      <c r="B66" s="371"/>
      <c r="C66" s="371"/>
      <c r="D66" s="372"/>
      <c r="E66" s="371"/>
      <c r="F66" s="371"/>
      <c r="G66" s="371"/>
      <c r="H66" s="371"/>
      <c r="I66" s="371"/>
      <c r="J66" s="371"/>
      <c r="K66" s="371"/>
      <c r="L66" s="371"/>
      <c r="M66" s="371"/>
      <c r="N66" s="371"/>
      <c r="O66" s="371"/>
      <c r="P66" s="371"/>
      <c r="Q66" s="371"/>
      <c r="R66" s="371"/>
      <c r="S66" s="371"/>
      <c r="T66" s="371"/>
      <c r="U66" s="371"/>
      <c r="V66" s="371"/>
      <c r="W66" s="371"/>
      <c r="X66" s="371"/>
      <c r="Y66" s="371"/>
      <c r="Z66" s="371"/>
    </row>
    <row r="67">
      <c r="A67" s="371"/>
      <c r="B67" s="371"/>
      <c r="C67" s="371"/>
      <c r="D67" s="372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71"/>
      <c r="V67" s="371"/>
      <c r="W67" s="371"/>
      <c r="X67" s="371"/>
      <c r="Y67" s="371"/>
      <c r="Z67" s="371"/>
    </row>
    <row r="68">
      <c r="A68" s="371"/>
      <c r="B68" s="371"/>
      <c r="C68" s="371"/>
      <c r="D68" s="372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1"/>
      <c r="P68" s="371"/>
      <c r="Q68" s="371"/>
      <c r="R68" s="371"/>
      <c r="S68" s="371"/>
      <c r="T68" s="371"/>
      <c r="U68" s="371"/>
      <c r="V68" s="371"/>
      <c r="W68" s="371"/>
      <c r="X68" s="371"/>
      <c r="Y68" s="371"/>
      <c r="Z68" s="371"/>
    </row>
    <row r="69">
      <c r="A69" s="371"/>
      <c r="B69" s="371"/>
      <c r="C69" s="371"/>
      <c r="D69" s="372"/>
      <c r="E69" s="371"/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1"/>
      <c r="Q69" s="371"/>
      <c r="R69" s="371"/>
      <c r="S69" s="371"/>
      <c r="T69" s="371"/>
      <c r="U69" s="371"/>
      <c r="V69" s="371"/>
      <c r="W69" s="371"/>
      <c r="X69" s="371"/>
      <c r="Y69" s="371"/>
      <c r="Z69" s="371"/>
    </row>
    <row r="70">
      <c r="A70" s="371"/>
      <c r="B70" s="371"/>
      <c r="C70" s="371"/>
      <c r="D70" s="372"/>
      <c r="E70" s="371"/>
      <c r="F70" s="371"/>
      <c r="G70" s="371"/>
      <c r="H70" s="371"/>
      <c r="I70" s="371"/>
      <c r="J70" s="371"/>
      <c r="K70" s="371"/>
      <c r="L70" s="371"/>
      <c r="M70" s="371"/>
      <c r="N70" s="371"/>
      <c r="O70" s="371"/>
      <c r="P70" s="371"/>
      <c r="Q70" s="371"/>
      <c r="R70" s="371"/>
      <c r="S70" s="371"/>
      <c r="T70" s="371"/>
      <c r="U70" s="371"/>
      <c r="V70" s="371"/>
      <c r="W70" s="371"/>
      <c r="X70" s="371"/>
      <c r="Y70" s="371"/>
      <c r="Z70" s="371"/>
    </row>
    <row r="71">
      <c r="A71" s="371"/>
      <c r="B71" s="371"/>
      <c r="C71" s="371"/>
      <c r="D71" s="372"/>
      <c r="E71" s="371"/>
      <c r="F71" s="371"/>
      <c r="G71" s="371"/>
      <c r="H71" s="371"/>
      <c r="I71" s="371"/>
      <c r="J71" s="371"/>
      <c r="K71" s="371"/>
      <c r="L71" s="371"/>
      <c r="M71" s="371"/>
      <c r="N71" s="371"/>
      <c r="O71" s="371"/>
      <c r="P71" s="371"/>
      <c r="Q71" s="371"/>
      <c r="R71" s="371"/>
      <c r="S71" s="371"/>
      <c r="T71" s="371"/>
      <c r="U71" s="371"/>
      <c r="V71" s="371"/>
      <c r="W71" s="371"/>
      <c r="X71" s="371"/>
      <c r="Y71" s="371"/>
      <c r="Z71" s="371"/>
    </row>
    <row r="72">
      <c r="A72" s="371"/>
      <c r="B72" s="371"/>
      <c r="C72" s="371"/>
      <c r="D72" s="372"/>
      <c r="E72" s="371"/>
      <c r="F72" s="371"/>
      <c r="G72" s="371"/>
      <c r="H72" s="371"/>
      <c r="I72" s="371"/>
      <c r="J72" s="371"/>
      <c r="K72" s="371"/>
      <c r="L72" s="371"/>
      <c r="M72" s="371"/>
      <c r="N72" s="371"/>
      <c r="O72" s="371"/>
      <c r="P72" s="371"/>
      <c r="Q72" s="371"/>
      <c r="R72" s="371"/>
      <c r="S72" s="371"/>
      <c r="T72" s="371"/>
      <c r="U72" s="371"/>
      <c r="V72" s="371"/>
      <c r="W72" s="371"/>
      <c r="X72" s="371"/>
      <c r="Y72" s="371"/>
      <c r="Z72" s="371"/>
    </row>
    <row r="73">
      <c r="A73" s="371"/>
      <c r="B73" s="371"/>
      <c r="C73" s="371"/>
      <c r="D73" s="372"/>
      <c r="E73" s="371"/>
      <c r="F73" s="371"/>
      <c r="G73" s="371"/>
      <c r="H73" s="371"/>
      <c r="I73" s="371"/>
      <c r="J73" s="371"/>
      <c r="K73" s="371"/>
      <c r="L73" s="371"/>
      <c r="M73" s="371"/>
      <c r="N73" s="371"/>
      <c r="O73" s="371"/>
      <c r="P73" s="371"/>
      <c r="Q73" s="371"/>
      <c r="R73" s="371"/>
      <c r="S73" s="371"/>
      <c r="T73" s="371"/>
      <c r="U73" s="371"/>
      <c r="V73" s="371"/>
      <c r="W73" s="371"/>
      <c r="X73" s="371"/>
      <c r="Y73" s="371"/>
      <c r="Z73" s="371"/>
    </row>
    <row r="74">
      <c r="A74" s="371"/>
      <c r="B74" s="371"/>
      <c r="C74" s="371"/>
      <c r="D74" s="372"/>
      <c r="E74" s="371"/>
      <c r="F74" s="371"/>
      <c r="G74" s="371"/>
      <c r="H74" s="371"/>
      <c r="I74" s="371"/>
      <c r="J74" s="371"/>
      <c r="K74" s="371"/>
      <c r="L74" s="371"/>
      <c r="M74" s="371"/>
      <c r="N74" s="371"/>
      <c r="O74" s="371"/>
      <c r="P74" s="371"/>
      <c r="Q74" s="371"/>
      <c r="R74" s="371"/>
      <c r="S74" s="371"/>
      <c r="T74" s="371"/>
      <c r="U74" s="371"/>
      <c r="V74" s="371"/>
      <c r="W74" s="371"/>
      <c r="X74" s="371"/>
      <c r="Y74" s="371"/>
      <c r="Z74" s="371"/>
    </row>
    <row r="75">
      <c r="A75" s="371"/>
      <c r="B75" s="371"/>
      <c r="C75" s="371"/>
      <c r="D75" s="372"/>
      <c r="E75" s="371"/>
      <c r="F75" s="371"/>
      <c r="G75" s="371"/>
      <c r="H75" s="371"/>
      <c r="I75" s="371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371"/>
      <c r="V75" s="371"/>
      <c r="W75" s="371"/>
      <c r="X75" s="371"/>
      <c r="Y75" s="371"/>
      <c r="Z75" s="371"/>
    </row>
    <row r="76">
      <c r="A76" s="371"/>
      <c r="B76" s="371"/>
      <c r="C76" s="371"/>
      <c r="D76" s="372"/>
      <c r="E76" s="371"/>
      <c r="F76" s="371"/>
      <c r="G76" s="371"/>
      <c r="H76" s="371"/>
      <c r="I76" s="371"/>
      <c r="J76" s="371"/>
      <c r="K76" s="371"/>
      <c r="L76" s="371"/>
      <c r="M76" s="371"/>
      <c r="N76" s="371"/>
      <c r="O76" s="371"/>
      <c r="P76" s="371"/>
      <c r="Q76" s="371"/>
      <c r="R76" s="371"/>
      <c r="S76" s="371"/>
      <c r="T76" s="371"/>
      <c r="U76" s="371"/>
      <c r="V76" s="371"/>
      <c r="W76" s="371"/>
      <c r="X76" s="371"/>
      <c r="Y76" s="371"/>
      <c r="Z76" s="371"/>
    </row>
    <row r="77">
      <c r="A77" s="371"/>
      <c r="B77" s="371"/>
      <c r="C77" s="371"/>
      <c r="D77" s="372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71"/>
      <c r="V77" s="371"/>
      <c r="W77" s="371"/>
      <c r="X77" s="371"/>
      <c r="Y77" s="371"/>
      <c r="Z77" s="371"/>
    </row>
    <row r="78">
      <c r="A78" s="371"/>
      <c r="B78" s="371"/>
      <c r="C78" s="371"/>
      <c r="D78" s="372"/>
      <c r="E78" s="371"/>
      <c r="F78" s="371"/>
      <c r="G78" s="371"/>
      <c r="H78" s="371"/>
      <c r="I78" s="371"/>
      <c r="J78" s="371"/>
      <c r="K78" s="371"/>
      <c r="L78" s="371"/>
      <c r="M78" s="371"/>
      <c r="N78" s="371"/>
      <c r="O78" s="371"/>
      <c r="P78" s="371"/>
      <c r="Q78" s="371"/>
      <c r="R78" s="371"/>
      <c r="S78" s="371"/>
      <c r="T78" s="371"/>
      <c r="U78" s="371"/>
      <c r="V78" s="371"/>
      <c r="W78" s="371"/>
      <c r="X78" s="371"/>
      <c r="Y78" s="371"/>
      <c r="Z78" s="371"/>
    </row>
    <row r="79">
      <c r="A79" s="371"/>
      <c r="B79" s="371"/>
      <c r="C79" s="371"/>
      <c r="D79" s="372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71"/>
      <c r="W79" s="371"/>
      <c r="X79" s="371"/>
      <c r="Y79" s="371"/>
      <c r="Z79" s="371"/>
    </row>
    <row r="80">
      <c r="A80" s="371"/>
      <c r="B80" s="371"/>
      <c r="C80" s="371"/>
      <c r="D80" s="372"/>
      <c r="E80" s="371"/>
      <c r="F80" s="371"/>
      <c r="G80" s="371"/>
      <c r="H80" s="371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71"/>
      <c r="V80" s="371"/>
      <c r="W80" s="371"/>
      <c r="X80" s="371"/>
      <c r="Y80" s="371"/>
      <c r="Z80" s="371"/>
    </row>
    <row r="81">
      <c r="A81" s="371"/>
      <c r="B81" s="371"/>
      <c r="C81" s="371"/>
      <c r="D81" s="372"/>
      <c r="E81" s="371"/>
      <c r="F81" s="371"/>
      <c r="G81" s="371"/>
      <c r="H81" s="371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V81" s="371"/>
      <c r="W81" s="371"/>
      <c r="X81" s="371"/>
      <c r="Y81" s="371"/>
      <c r="Z81" s="371"/>
    </row>
    <row r="82">
      <c r="A82" s="371"/>
      <c r="B82" s="371"/>
      <c r="C82" s="371"/>
      <c r="D82" s="372"/>
      <c r="E82" s="371"/>
      <c r="F82" s="371"/>
      <c r="G82" s="371"/>
      <c r="H82" s="371"/>
      <c r="I82" s="371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T82" s="371"/>
      <c r="U82" s="371"/>
      <c r="V82" s="371"/>
      <c r="W82" s="371"/>
      <c r="X82" s="371"/>
      <c r="Y82" s="371"/>
      <c r="Z82" s="371"/>
    </row>
    <row r="83">
      <c r="A83" s="371"/>
      <c r="B83" s="371"/>
      <c r="C83" s="371"/>
      <c r="D83" s="372"/>
      <c r="E83" s="371"/>
      <c r="F83" s="371"/>
      <c r="G83" s="371"/>
      <c r="H83" s="371"/>
      <c r="I83" s="371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T83" s="371"/>
      <c r="U83" s="371"/>
      <c r="V83" s="371"/>
      <c r="W83" s="371"/>
      <c r="X83" s="371"/>
      <c r="Y83" s="371"/>
      <c r="Z83" s="371"/>
    </row>
    <row r="84">
      <c r="A84" s="371"/>
      <c r="B84" s="371"/>
      <c r="C84" s="371"/>
      <c r="D84" s="372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71"/>
      <c r="V84" s="371"/>
      <c r="W84" s="371"/>
      <c r="X84" s="371"/>
      <c r="Y84" s="371"/>
      <c r="Z84" s="371"/>
    </row>
    <row r="85">
      <c r="A85" s="371"/>
      <c r="B85" s="371"/>
      <c r="C85" s="371"/>
      <c r="D85" s="372"/>
      <c r="E85" s="371"/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71"/>
      <c r="W85" s="371"/>
      <c r="X85" s="371"/>
      <c r="Y85" s="371"/>
      <c r="Z85" s="371"/>
    </row>
    <row r="86">
      <c r="A86" s="371"/>
      <c r="B86" s="371"/>
      <c r="C86" s="371"/>
      <c r="D86" s="372"/>
      <c r="E86" s="371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371"/>
      <c r="Q86" s="371"/>
      <c r="R86" s="371"/>
      <c r="S86" s="371"/>
      <c r="T86" s="371"/>
      <c r="U86" s="371"/>
      <c r="V86" s="371"/>
      <c r="W86" s="371"/>
      <c r="X86" s="371"/>
      <c r="Y86" s="371"/>
      <c r="Z86" s="371"/>
    </row>
    <row r="87">
      <c r="A87" s="371"/>
      <c r="B87" s="371"/>
      <c r="C87" s="371"/>
      <c r="D87" s="372"/>
      <c r="E87" s="371"/>
      <c r="F87" s="371"/>
      <c r="G87" s="371"/>
      <c r="H87" s="371"/>
      <c r="I87" s="371"/>
      <c r="J87" s="371"/>
      <c r="K87" s="371"/>
      <c r="L87" s="371"/>
      <c r="M87" s="371"/>
      <c r="N87" s="371"/>
      <c r="O87" s="371"/>
      <c r="P87" s="371"/>
      <c r="Q87" s="371"/>
      <c r="R87" s="371"/>
      <c r="S87" s="371"/>
      <c r="T87" s="371"/>
      <c r="U87" s="371"/>
      <c r="V87" s="371"/>
      <c r="W87" s="371"/>
      <c r="X87" s="371"/>
      <c r="Y87" s="371"/>
      <c r="Z87" s="371"/>
    </row>
    <row r="88">
      <c r="A88" s="371"/>
      <c r="B88" s="371"/>
      <c r="C88" s="371"/>
      <c r="D88" s="372"/>
      <c r="E88" s="371"/>
      <c r="F88" s="371"/>
      <c r="G88" s="371"/>
      <c r="H88" s="371"/>
      <c r="I88" s="371"/>
      <c r="J88" s="371"/>
      <c r="K88" s="371"/>
      <c r="L88" s="371"/>
      <c r="M88" s="371"/>
      <c r="N88" s="371"/>
      <c r="O88" s="371"/>
      <c r="P88" s="371"/>
      <c r="Q88" s="371"/>
      <c r="R88" s="371"/>
      <c r="S88" s="371"/>
      <c r="T88" s="371"/>
      <c r="U88" s="371"/>
      <c r="V88" s="371"/>
      <c r="W88" s="371"/>
      <c r="X88" s="371"/>
      <c r="Y88" s="371"/>
      <c r="Z88" s="371"/>
    </row>
    <row r="89">
      <c r="A89" s="371"/>
      <c r="B89" s="371"/>
      <c r="C89" s="371"/>
      <c r="D89" s="372"/>
      <c r="E89" s="371"/>
      <c r="F89" s="371"/>
      <c r="G89" s="371"/>
      <c r="H89" s="371"/>
      <c r="I89" s="371"/>
      <c r="J89" s="371"/>
      <c r="K89" s="371"/>
      <c r="L89" s="371"/>
      <c r="M89" s="371"/>
      <c r="N89" s="371"/>
      <c r="O89" s="371"/>
      <c r="P89" s="371"/>
      <c r="Q89" s="371"/>
      <c r="R89" s="371"/>
      <c r="S89" s="371"/>
      <c r="T89" s="371"/>
      <c r="U89" s="371"/>
      <c r="V89" s="371"/>
      <c r="W89" s="371"/>
      <c r="X89" s="371"/>
      <c r="Y89" s="371"/>
      <c r="Z89" s="371"/>
    </row>
    <row r="90">
      <c r="A90" s="371"/>
      <c r="B90" s="371"/>
      <c r="C90" s="371"/>
      <c r="D90" s="372"/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1"/>
      <c r="P90" s="371"/>
      <c r="Q90" s="371"/>
      <c r="R90" s="371"/>
      <c r="S90" s="371"/>
      <c r="T90" s="371"/>
      <c r="U90" s="371"/>
      <c r="V90" s="371"/>
      <c r="W90" s="371"/>
      <c r="X90" s="371"/>
      <c r="Y90" s="371"/>
      <c r="Z90" s="371"/>
    </row>
    <row r="91">
      <c r="A91" s="371"/>
      <c r="B91" s="371"/>
      <c r="C91" s="371"/>
      <c r="D91" s="372"/>
      <c r="E91" s="371"/>
      <c r="F91" s="371"/>
      <c r="G91" s="371"/>
      <c r="H91" s="371"/>
      <c r="I91" s="371"/>
      <c r="J91" s="371"/>
      <c r="K91" s="371"/>
      <c r="L91" s="371"/>
      <c r="M91" s="371"/>
      <c r="N91" s="371"/>
      <c r="O91" s="371"/>
      <c r="P91" s="371"/>
      <c r="Q91" s="371"/>
      <c r="R91" s="371"/>
      <c r="S91" s="371"/>
      <c r="T91" s="371"/>
      <c r="U91" s="371"/>
      <c r="V91" s="371"/>
      <c r="W91" s="371"/>
      <c r="X91" s="371"/>
      <c r="Y91" s="371"/>
      <c r="Z91" s="371"/>
    </row>
    <row r="92">
      <c r="A92" s="371"/>
      <c r="B92" s="371"/>
      <c r="C92" s="371"/>
      <c r="D92" s="372"/>
      <c r="E92" s="371"/>
      <c r="F92" s="371"/>
      <c r="G92" s="371"/>
      <c r="H92" s="371"/>
      <c r="I92" s="371"/>
      <c r="J92" s="371"/>
      <c r="K92" s="371"/>
      <c r="L92" s="371"/>
      <c r="M92" s="371"/>
      <c r="N92" s="371"/>
      <c r="O92" s="371"/>
      <c r="P92" s="371"/>
      <c r="Q92" s="371"/>
      <c r="R92" s="371"/>
      <c r="S92" s="371"/>
      <c r="T92" s="371"/>
      <c r="U92" s="371"/>
      <c r="V92" s="371"/>
      <c r="W92" s="371"/>
      <c r="X92" s="371"/>
      <c r="Y92" s="371"/>
      <c r="Z92" s="371"/>
    </row>
    <row r="93">
      <c r="A93" s="371"/>
      <c r="B93" s="371"/>
      <c r="C93" s="371"/>
      <c r="D93" s="372"/>
      <c r="E93" s="371"/>
      <c r="F93" s="371"/>
      <c r="G93" s="371"/>
      <c r="H93" s="371"/>
      <c r="I93" s="371"/>
      <c r="J93" s="371"/>
      <c r="K93" s="371"/>
      <c r="L93" s="371"/>
      <c r="M93" s="371"/>
      <c r="N93" s="371"/>
      <c r="O93" s="371"/>
      <c r="P93" s="371"/>
      <c r="Q93" s="371"/>
      <c r="R93" s="371"/>
      <c r="S93" s="371"/>
      <c r="T93" s="371"/>
      <c r="U93" s="371"/>
      <c r="V93" s="371"/>
      <c r="W93" s="371"/>
      <c r="X93" s="371"/>
      <c r="Y93" s="371"/>
      <c r="Z93" s="371"/>
    </row>
    <row r="94">
      <c r="A94" s="371"/>
      <c r="B94" s="371"/>
      <c r="C94" s="371"/>
      <c r="D94" s="372"/>
      <c r="E94" s="371"/>
      <c r="F94" s="371"/>
      <c r="G94" s="371"/>
      <c r="H94" s="371"/>
      <c r="I94" s="371"/>
      <c r="J94" s="371"/>
      <c r="K94" s="371"/>
      <c r="L94" s="371"/>
      <c r="M94" s="371"/>
      <c r="N94" s="371"/>
      <c r="O94" s="371"/>
      <c r="P94" s="371"/>
      <c r="Q94" s="371"/>
      <c r="R94" s="371"/>
      <c r="S94" s="371"/>
      <c r="T94" s="371"/>
      <c r="U94" s="371"/>
      <c r="V94" s="371"/>
      <c r="W94" s="371"/>
      <c r="X94" s="371"/>
      <c r="Y94" s="371"/>
      <c r="Z94" s="371"/>
    </row>
    <row r="95">
      <c r="A95" s="371"/>
      <c r="B95" s="371"/>
      <c r="C95" s="371"/>
      <c r="D95" s="372"/>
      <c r="E95" s="371"/>
      <c r="F95" s="371"/>
      <c r="G95" s="371"/>
      <c r="H95" s="371"/>
      <c r="I95" s="371"/>
      <c r="J95" s="371"/>
      <c r="K95" s="371"/>
      <c r="L95" s="371"/>
      <c r="M95" s="371"/>
      <c r="N95" s="371"/>
      <c r="O95" s="371"/>
      <c r="P95" s="371"/>
      <c r="Q95" s="371"/>
      <c r="R95" s="371"/>
      <c r="S95" s="371"/>
      <c r="T95" s="371"/>
      <c r="U95" s="371"/>
      <c r="V95" s="371"/>
      <c r="W95" s="371"/>
      <c r="X95" s="371"/>
      <c r="Y95" s="371"/>
      <c r="Z95" s="371"/>
    </row>
    <row r="96">
      <c r="A96" s="371"/>
      <c r="B96" s="371"/>
      <c r="C96" s="371"/>
      <c r="D96" s="372"/>
      <c r="E96" s="371"/>
      <c r="F96" s="371"/>
      <c r="G96" s="371"/>
      <c r="H96" s="371"/>
      <c r="I96" s="371"/>
      <c r="J96" s="371"/>
      <c r="K96" s="371"/>
      <c r="L96" s="371"/>
      <c r="M96" s="371"/>
      <c r="N96" s="371"/>
      <c r="O96" s="371"/>
      <c r="P96" s="371"/>
      <c r="Q96" s="371"/>
      <c r="R96" s="371"/>
      <c r="S96" s="371"/>
      <c r="T96" s="371"/>
      <c r="U96" s="371"/>
      <c r="V96" s="371"/>
      <c r="W96" s="371"/>
      <c r="X96" s="371"/>
      <c r="Y96" s="371"/>
      <c r="Z96" s="371"/>
    </row>
    <row r="97">
      <c r="A97" s="371"/>
      <c r="B97" s="371"/>
      <c r="C97" s="371"/>
      <c r="D97" s="372"/>
      <c r="E97" s="371"/>
      <c r="F97" s="371"/>
      <c r="G97" s="371"/>
      <c r="H97" s="371"/>
      <c r="I97" s="371"/>
      <c r="J97" s="371"/>
      <c r="K97" s="371"/>
      <c r="L97" s="371"/>
      <c r="M97" s="371"/>
      <c r="N97" s="371"/>
      <c r="O97" s="371"/>
      <c r="P97" s="371"/>
      <c r="Q97" s="371"/>
      <c r="R97" s="371"/>
      <c r="S97" s="371"/>
      <c r="T97" s="371"/>
      <c r="U97" s="371"/>
      <c r="V97" s="371"/>
      <c r="W97" s="371"/>
      <c r="X97" s="371"/>
      <c r="Y97" s="371"/>
      <c r="Z97" s="371"/>
    </row>
    <row r="98">
      <c r="A98" s="371"/>
      <c r="B98" s="371"/>
      <c r="C98" s="371"/>
      <c r="D98" s="372"/>
      <c r="E98" s="371"/>
      <c r="F98" s="371"/>
      <c r="G98" s="371"/>
      <c r="H98" s="371"/>
      <c r="I98" s="371"/>
      <c r="J98" s="371"/>
      <c r="K98" s="371"/>
      <c r="L98" s="371"/>
      <c r="M98" s="371"/>
      <c r="N98" s="371"/>
      <c r="O98" s="371"/>
      <c r="P98" s="371"/>
      <c r="Q98" s="371"/>
      <c r="R98" s="371"/>
      <c r="S98" s="371"/>
      <c r="T98" s="371"/>
      <c r="U98" s="371"/>
      <c r="V98" s="371"/>
      <c r="W98" s="371"/>
      <c r="X98" s="371"/>
      <c r="Y98" s="371"/>
      <c r="Z98" s="371"/>
    </row>
    <row r="99">
      <c r="A99" s="371"/>
      <c r="B99" s="371"/>
      <c r="C99" s="371"/>
      <c r="D99" s="372"/>
      <c r="E99" s="371"/>
      <c r="F99" s="371"/>
      <c r="G99" s="371"/>
      <c r="H99" s="371"/>
      <c r="I99" s="371"/>
      <c r="J99" s="371"/>
      <c r="K99" s="371"/>
      <c r="L99" s="371"/>
      <c r="M99" s="371"/>
      <c r="N99" s="371"/>
      <c r="O99" s="371"/>
      <c r="P99" s="371"/>
      <c r="Q99" s="371"/>
      <c r="R99" s="371"/>
      <c r="S99" s="371"/>
      <c r="T99" s="371"/>
      <c r="U99" s="371"/>
      <c r="V99" s="371"/>
      <c r="W99" s="371"/>
      <c r="X99" s="371"/>
      <c r="Y99" s="371"/>
      <c r="Z99" s="371"/>
    </row>
    <row r="100">
      <c r="A100" s="371"/>
      <c r="B100" s="371"/>
      <c r="C100" s="371"/>
      <c r="D100" s="372"/>
      <c r="E100" s="371"/>
      <c r="F100" s="371"/>
      <c r="G100" s="371"/>
      <c r="H100" s="371"/>
      <c r="I100" s="371"/>
      <c r="J100" s="371"/>
      <c r="K100" s="371"/>
      <c r="L100" s="371"/>
      <c r="M100" s="371"/>
      <c r="N100" s="371"/>
      <c r="O100" s="371"/>
      <c r="P100" s="371"/>
      <c r="Q100" s="371"/>
      <c r="R100" s="371"/>
      <c r="S100" s="371"/>
      <c r="T100" s="371"/>
      <c r="U100" s="371"/>
      <c r="V100" s="371"/>
      <c r="W100" s="371"/>
      <c r="X100" s="371"/>
      <c r="Y100" s="371"/>
      <c r="Z100" s="371"/>
    </row>
    <row r="101">
      <c r="A101" s="371"/>
      <c r="B101" s="371"/>
      <c r="C101" s="371"/>
      <c r="D101" s="372"/>
      <c r="E101" s="371"/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1"/>
      <c r="Q101" s="371"/>
      <c r="R101" s="371"/>
      <c r="S101" s="371"/>
      <c r="T101" s="371"/>
      <c r="U101" s="371"/>
      <c r="V101" s="371"/>
      <c r="W101" s="371"/>
      <c r="X101" s="371"/>
      <c r="Y101" s="371"/>
      <c r="Z101" s="371"/>
    </row>
    <row r="102">
      <c r="A102" s="371"/>
      <c r="B102" s="371"/>
      <c r="C102" s="371"/>
      <c r="D102" s="372"/>
      <c r="E102" s="371"/>
      <c r="F102" s="371"/>
      <c r="G102" s="371"/>
      <c r="H102" s="371"/>
      <c r="I102" s="371"/>
      <c r="J102" s="371"/>
      <c r="K102" s="371"/>
      <c r="L102" s="371"/>
      <c r="M102" s="371"/>
      <c r="N102" s="371"/>
      <c r="O102" s="371"/>
      <c r="P102" s="371"/>
      <c r="Q102" s="371"/>
      <c r="R102" s="371"/>
      <c r="S102" s="371"/>
      <c r="T102" s="371"/>
      <c r="U102" s="371"/>
      <c r="V102" s="371"/>
      <c r="W102" s="371"/>
      <c r="X102" s="371"/>
      <c r="Y102" s="371"/>
      <c r="Z102" s="371"/>
    </row>
    <row r="103">
      <c r="A103" s="371"/>
      <c r="B103" s="371"/>
      <c r="C103" s="371"/>
      <c r="D103" s="372"/>
      <c r="E103" s="371"/>
      <c r="F103" s="371"/>
      <c r="G103" s="371"/>
      <c r="H103" s="371"/>
      <c r="I103" s="371"/>
      <c r="J103" s="371"/>
      <c r="K103" s="371"/>
      <c r="L103" s="371"/>
      <c r="M103" s="371"/>
      <c r="N103" s="371"/>
      <c r="O103" s="371"/>
      <c r="P103" s="371"/>
      <c r="Q103" s="371"/>
      <c r="R103" s="371"/>
      <c r="S103" s="371"/>
      <c r="T103" s="371"/>
      <c r="U103" s="371"/>
      <c r="V103" s="371"/>
      <c r="W103" s="371"/>
      <c r="X103" s="371"/>
      <c r="Y103" s="371"/>
      <c r="Z103" s="371"/>
    </row>
    <row r="104">
      <c r="A104" s="371"/>
      <c r="B104" s="371"/>
      <c r="C104" s="371"/>
      <c r="D104" s="372"/>
      <c r="E104" s="371"/>
      <c r="F104" s="371"/>
      <c r="G104" s="371"/>
      <c r="H104" s="371"/>
      <c r="I104" s="371"/>
      <c r="J104" s="371"/>
      <c r="K104" s="371"/>
      <c r="L104" s="371"/>
      <c r="M104" s="371"/>
      <c r="N104" s="371"/>
      <c r="O104" s="371"/>
      <c r="P104" s="371"/>
      <c r="Q104" s="371"/>
      <c r="R104" s="371"/>
      <c r="S104" s="371"/>
      <c r="T104" s="371"/>
      <c r="U104" s="371"/>
      <c r="V104" s="371"/>
      <c r="W104" s="371"/>
      <c r="X104" s="371"/>
      <c r="Y104" s="371"/>
      <c r="Z104" s="371"/>
    </row>
    <row r="105">
      <c r="A105" s="371"/>
      <c r="B105" s="371"/>
      <c r="C105" s="371"/>
      <c r="D105" s="372"/>
      <c r="E105" s="371"/>
      <c r="F105" s="371"/>
      <c r="G105" s="371"/>
      <c r="H105" s="371"/>
      <c r="I105" s="371"/>
      <c r="J105" s="371"/>
      <c r="K105" s="371"/>
      <c r="L105" s="371"/>
      <c r="M105" s="371"/>
      <c r="N105" s="371"/>
      <c r="O105" s="371"/>
      <c r="P105" s="371"/>
      <c r="Q105" s="371"/>
      <c r="R105" s="371"/>
      <c r="S105" s="371"/>
      <c r="T105" s="371"/>
      <c r="U105" s="371"/>
      <c r="V105" s="371"/>
      <c r="W105" s="371"/>
      <c r="X105" s="371"/>
      <c r="Y105" s="371"/>
      <c r="Z105" s="371"/>
    </row>
    <row r="106">
      <c r="A106" s="371"/>
      <c r="B106" s="371"/>
      <c r="C106" s="371"/>
      <c r="D106" s="372"/>
      <c r="E106" s="371"/>
      <c r="F106" s="371"/>
      <c r="G106" s="371"/>
      <c r="H106" s="371"/>
      <c r="I106" s="371"/>
      <c r="J106" s="371"/>
      <c r="K106" s="371"/>
      <c r="L106" s="371"/>
      <c r="M106" s="371"/>
      <c r="N106" s="371"/>
      <c r="O106" s="371"/>
      <c r="P106" s="371"/>
      <c r="Q106" s="371"/>
      <c r="R106" s="371"/>
      <c r="S106" s="371"/>
      <c r="T106" s="371"/>
      <c r="U106" s="371"/>
      <c r="V106" s="371"/>
      <c r="W106" s="371"/>
      <c r="X106" s="371"/>
      <c r="Y106" s="371"/>
      <c r="Z106" s="371"/>
    </row>
    <row r="107">
      <c r="A107" s="371"/>
      <c r="B107" s="371"/>
      <c r="C107" s="371"/>
      <c r="D107" s="372"/>
      <c r="E107" s="371"/>
      <c r="F107" s="371"/>
      <c r="G107" s="371"/>
      <c r="H107" s="371"/>
      <c r="I107" s="371"/>
      <c r="J107" s="371"/>
      <c r="K107" s="371"/>
      <c r="L107" s="371"/>
      <c r="M107" s="371"/>
      <c r="N107" s="371"/>
      <c r="O107" s="371"/>
      <c r="P107" s="371"/>
      <c r="Q107" s="371"/>
      <c r="R107" s="371"/>
      <c r="S107" s="371"/>
      <c r="T107" s="371"/>
      <c r="U107" s="371"/>
      <c r="V107" s="371"/>
      <c r="W107" s="371"/>
      <c r="X107" s="371"/>
      <c r="Y107" s="371"/>
      <c r="Z107" s="371"/>
    </row>
    <row r="108">
      <c r="A108" s="371"/>
      <c r="B108" s="371"/>
      <c r="C108" s="371"/>
      <c r="D108" s="372"/>
      <c r="E108" s="371"/>
      <c r="F108" s="371"/>
      <c r="G108" s="371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  <c r="U108" s="371"/>
      <c r="V108" s="371"/>
      <c r="W108" s="371"/>
      <c r="X108" s="371"/>
      <c r="Y108" s="371"/>
      <c r="Z108" s="371"/>
    </row>
    <row r="109">
      <c r="A109" s="371"/>
      <c r="B109" s="371"/>
      <c r="C109" s="371"/>
      <c r="D109" s="372"/>
      <c r="E109" s="371"/>
      <c r="F109" s="371"/>
      <c r="G109" s="371"/>
      <c r="H109" s="371"/>
      <c r="I109" s="371"/>
      <c r="J109" s="371"/>
      <c r="K109" s="371"/>
      <c r="L109" s="371"/>
      <c r="M109" s="371"/>
      <c r="N109" s="371"/>
      <c r="O109" s="371"/>
      <c r="P109" s="371"/>
      <c r="Q109" s="371"/>
      <c r="R109" s="371"/>
      <c r="S109" s="371"/>
      <c r="T109" s="371"/>
      <c r="U109" s="371"/>
      <c r="V109" s="371"/>
      <c r="W109" s="371"/>
      <c r="X109" s="371"/>
      <c r="Y109" s="371"/>
      <c r="Z109" s="371"/>
    </row>
    <row r="110">
      <c r="A110" s="371"/>
      <c r="B110" s="371"/>
      <c r="C110" s="371"/>
      <c r="D110" s="372"/>
      <c r="E110" s="371"/>
      <c r="F110" s="371"/>
      <c r="G110" s="371"/>
      <c r="H110" s="371"/>
      <c r="I110" s="371"/>
      <c r="J110" s="371"/>
      <c r="K110" s="371"/>
      <c r="L110" s="371"/>
      <c r="M110" s="371"/>
      <c r="N110" s="371"/>
      <c r="O110" s="371"/>
      <c r="P110" s="371"/>
      <c r="Q110" s="371"/>
      <c r="R110" s="371"/>
      <c r="S110" s="371"/>
      <c r="T110" s="371"/>
      <c r="U110" s="371"/>
      <c r="V110" s="371"/>
      <c r="W110" s="371"/>
      <c r="X110" s="371"/>
      <c r="Y110" s="371"/>
      <c r="Z110" s="371"/>
    </row>
    <row r="111">
      <c r="A111" s="371"/>
      <c r="B111" s="371"/>
      <c r="C111" s="371"/>
      <c r="D111" s="372"/>
      <c r="E111" s="371"/>
      <c r="F111" s="371"/>
      <c r="G111" s="371"/>
      <c r="H111" s="371"/>
      <c r="I111" s="371"/>
      <c r="J111" s="371"/>
      <c r="K111" s="371"/>
      <c r="L111" s="371"/>
      <c r="M111" s="371"/>
      <c r="N111" s="371"/>
      <c r="O111" s="371"/>
      <c r="P111" s="371"/>
      <c r="Q111" s="371"/>
      <c r="R111" s="371"/>
      <c r="S111" s="371"/>
      <c r="T111" s="371"/>
      <c r="U111" s="371"/>
      <c r="V111" s="371"/>
      <c r="W111" s="371"/>
      <c r="X111" s="371"/>
      <c r="Y111" s="371"/>
      <c r="Z111" s="371"/>
    </row>
    <row r="112">
      <c r="A112" s="371"/>
      <c r="B112" s="371"/>
      <c r="C112" s="371"/>
      <c r="D112" s="372"/>
      <c r="E112" s="371"/>
      <c r="F112" s="371"/>
      <c r="G112" s="371"/>
      <c r="H112" s="371"/>
      <c r="I112" s="371"/>
      <c r="J112" s="371"/>
      <c r="K112" s="371"/>
      <c r="L112" s="371"/>
      <c r="M112" s="371"/>
      <c r="N112" s="371"/>
      <c r="O112" s="371"/>
      <c r="P112" s="371"/>
      <c r="Q112" s="371"/>
      <c r="R112" s="371"/>
      <c r="S112" s="371"/>
      <c r="T112" s="371"/>
      <c r="U112" s="371"/>
      <c r="V112" s="371"/>
      <c r="W112" s="371"/>
      <c r="X112" s="371"/>
      <c r="Y112" s="371"/>
      <c r="Z112" s="371"/>
    </row>
    <row r="113">
      <c r="A113" s="371"/>
      <c r="B113" s="371"/>
      <c r="C113" s="371"/>
      <c r="D113" s="372"/>
      <c r="E113" s="371"/>
      <c r="F113" s="371"/>
      <c r="G113" s="371"/>
      <c r="H113" s="371"/>
      <c r="I113" s="371"/>
      <c r="J113" s="371"/>
      <c r="K113" s="371"/>
      <c r="L113" s="371"/>
      <c r="M113" s="371"/>
      <c r="N113" s="371"/>
      <c r="O113" s="371"/>
      <c r="P113" s="371"/>
      <c r="Q113" s="371"/>
      <c r="R113" s="371"/>
      <c r="S113" s="371"/>
      <c r="T113" s="371"/>
      <c r="U113" s="371"/>
      <c r="V113" s="371"/>
      <c r="W113" s="371"/>
      <c r="X113" s="371"/>
      <c r="Y113" s="371"/>
      <c r="Z113" s="371"/>
    </row>
    <row r="114">
      <c r="A114" s="371"/>
      <c r="B114" s="371"/>
      <c r="C114" s="371"/>
      <c r="D114" s="372"/>
      <c r="E114" s="371"/>
      <c r="F114" s="371"/>
      <c r="G114" s="371"/>
      <c r="H114" s="371"/>
      <c r="I114" s="371"/>
      <c r="J114" s="371"/>
      <c r="K114" s="371"/>
      <c r="L114" s="371"/>
      <c r="M114" s="371"/>
      <c r="N114" s="371"/>
      <c r="O114" s="371"/>
      <c r="P114" s="371"/>
      <c r="Q114" s="371"/>
      <c r="R114" s="371"/>
      <c r="S114" s="371"/>
      <c r="T114" s="371"/>
      <c r="U114" s="371"/>
      <c r="V114" s="371"/>
      <c r="W114" s="371"/>
      <c r="X114" s="371"/>
      <c r="Y114" s="371"/>
      <c r="Z114" s="371"/>
    </row>
    <row r="115">
      <c r="A115" s="371"/>
      <c r="B115" s="371"/>
      <c r="C115" s="371"/>
      <c r="D115" s="372"/>
      <c r="E115" s="371"/>
      <c r="F115" s="371"/>
      <c r="G115" s="371"/>
      <c r="H115" s="371"/>
      <c r="I115" s="371"/>
      <c r="J115" s="371"/>
      <c r="K115" s="371"/>
      <c r="L115" s="371"/>
      <c r="M115" s="371"/>
      <c r="N115" s="371"/>
      <c r="O115" s="371"/>
      <c r="P115" s="371"/>
      <c r="Q115" s="371"/>
      <c r="R115" s="371"/>
      <c r="S115" s="371"/>
      <c r="T115" s="371"/>
      <c r="U115" s="371"/>
      <c r="V115" s="371"/>
      <c r="W115" s="371"/>
      <c r="X115" s="371"/>
      <c r="Y115" s="371"/>
      <c r="Z115" s="371"/>
    </row>
    <row r="116">
      <c r="A116" s="371"/>
      <c r="B116" s="371"/>
      <c r="C116" s="371"/>
      <c r="D116" s="372"/>
      <c r="E116" s="371"/>
      <c r="F116" s="371"/>
      <c r="G116" s="371"/>
      <c r="H116" s="371"/>
      <c r="I116" s="371"/>
      <c r="J116" s="371"/>
      <c r="K116" s="371"/>
      <c r="L116" s="371"/>
      <c r="M116" s="371"/>
      <c r="N116" s="371"/>
      <c r="O116" s="371"/>
      <c r="P116" s="371"/>
      <c r="Q116" s="371"/>
      <c r="R116" s="371"/>
      <c r="S116" s="371"/>
      <c r="T116" s="371"/>
      <c r="U116" s="371"/>
      <c r="V116" s="371"/>
      <c r="W116" s="371"/>
      <c r="X116" s="371"/>
      <c r="Y116" s="371"/>
      <c r="Z116" s="371"/>
    </row>
    <row r="117">
      <c r="A117" s="371"/>
      <c r="B117" s="371"/>
      <c r="C117" s="371"/>
      <c r="D117" s="372"/>
      <c r="E117" s="371"/>
      <c r="F117" s="371"/>
      <c r="G117" s="371"/>
      <c r="H117" s="371"/>
      <c r="I117" s="371"/>
      <c r="J117" s="371"/>
      <c r="K117" s="371"/>
      <c r="L117" s="371"/>
      <c r="M117" s="371"/>
      <c r="N117" s="371"/>
      <c r="O117" s="371"/>
      <c r="P117" s="371"/>
      <c r="Q117" s="371"/>
      <c r="R117" s="371"/>
      <c r="S117" s="371"/>
      <c r="T117" s="371"/>
      <c r="U117" s="371"/>
      <c r="V117" s="371"/>
      <c r="W117" s="371"/>
      <c r="X117" s="371"/>
      <c r="Y117" s="371"/>
      <c r="Z117" s="371"/>
    </row>
    <row r="118">
      <c r="A118" s="371"/>
      <c r="B118" s="371"/>
      <c r="C118" s="371"/>
      <c r="D118" s="372"/>
      <c r="E118" s="371"/>
      <c r="F118" s="371"/>
      <c r="G118" s="371"/>
      <c r="H118" s="371"/>
      <c r="I118" s="371"/>
      <c r="J118" s="371"/>
      <c r="K118" s="371"/>
      <c r="L118" s="371"/>
      <c r="M118" s="371"/>
      <c r="N118" s="371"/>
      <c r="O118" s="371"/>
      <c r="P118" s="371"/>
      <c r="Q118" s="371"/>
      <c r="R118" s="371"/>
      <c r="S118" s="371"/>
      <c r="T118" s="371"/>
      <c r="U118" s="371"/>
      <c r="V118" s="371"/>
      <c r="W118" s="371"/>
      <c r="X118" s="371"/>
      <c r="Y118" s="371"/>
      <c r="Z118" s="371"/>
    </row>
    <row r="119">
      <c r="A119" s="371"/>
      <c r="B119" s="371"/>
      <c r="C119" s="371"/>
      <c r="D119" s="372"/>
      <c r="E119" s="371"/>
      <c r="F119" s="371"/>
      <c r="G119" s="371"/>
      <c r="H119" s="371"/>
      <c r="I119" s="371"/>
      <c r="J119" s="371"/>
      <c r="K119" s="371"/>
      <c r="L119" s="371"/>
      <c r="M119" s="371"/>
      <c r="N119" s="371"/>
      <c r="O119" s="371"/>
      <c r="P119" s="371"/>
      <c r="Q119" s="371"/>
      <c r="R119" s="371"/>
      <c r="S119" s="371"/>
      <c r="T119" s="371"/>
      <c r="U119" s="371"/>
      <c r="V119" s="371"/>
      <c r="W119" s="371"/>
      <c r="X119" s="371"/>
      <c r="Y119" s="371"/>
      <c r="Z119" s="371"/>
    </row>
    <row r="120">
      <c r="A120" s="371"/>
      <c r="B120" s="371"/>
      <c r="C120" s="371"/>
      <c r="D120" s="372"/>
      <c r="E120" s="371"/>
      <c r="F120" s="371"/>
      <c r="G120" s="371"/>
      <c r="H120" s="371"/>
      <c r="I120" s="371"/>
      <c r="J120" s="371"/>
      <c r="K120" s="371"/>
      <c r="L120" s="371"/>
      <c r="M120" s="371"/>
      <c r="N120" s="371"/>
      <c r="O120" s="371"/>
      <c r="P120" s="371"/>
      <c r="Q120" s="371"/>
      <c r="R120" s="371"/>
      <c r="S120" s="371"/>
      <c r="T120" s="371"/>
      <c r="U120" s="371"/>
      <c r="V120" s="371"/>
      <c r="W120" s="371"/>
      <c r="X120" s="371"/>
      <c r="Y120" s="371"/>
      <c r="Z120" s="371"/>
    </row>
    <row r="121">
      <c r="A121" s="371"/>
      <c r="B121" s="371"/>
      <c r="C121" s="371"/>
      <c r="D121" s="372"/>
      <c r="E121" s="371"/>
      <c r="F121" s="371"/>
      <c r="G121" s="371"/>
      <c r="H121" s="371"/>
      <c r="I121" s="371"/>
      <c r="J121" s="371"/>
      <c r="K121" s="371"/>
      <c r="L121" s="371"/>
      <c r="M121" s="371"/>
      <c r="N121" s="371"/>
      <c r="O121" s="371"/>
      <c r="P121" s="371"/>
      <c r="Q121" s="371"/>
      <c r="R121" s="371"/>
      <c r="S121" s="371"/>
      <c r="T121" s="371"/>
      <c r="U121" s="371"/>
      <c r="V121" s="371"/>
      <c r="W121" s="371"/>
      <c r="X121" s="371"/>
      <c r="Y121" s="371"/>
      <c r="Z121" s="371"/>
    </row>
    <row r="122">
      <c r="A122" s="371"/>
      <c r="B122" s="371"/>
      <c r="C122" s="371"/>
      <c r="D122" s="372"/>
      <c r="E122" s="371"/>
      <c r="F122" s="371"/>
      <c r="G122" s="371"/>
      <c r="H122" s="371"/>
      <c r="I122" s="371"/>
      <c r="J122" s="371"/>
      <c r="K122" s="371"/>
      <c r="L122" s="371"/>
      <c r="M122" s="371"/>
      <c r="N122" s="371"/>
      <c r="O122" s="371"/>
      <c r="P122" s="371"/>
      <c r="Q122" s="371"/>
      <c r="R122" s="371"/>
      <c r="S122" s="371"/>
      <c r="T122" s="371"/>
      <c r="U122" s="371"/>
      <c r="V122" s="371"/>
      <c r="W122" s="371"/>
      <c r="X122" s="371"/>
      <c r="Y122" s="371"/>
      <c r="Z122" s="371"/>
    </row>
    <row r="123">
      <c r="A123" s="371"/>
      <c r="B123" s="371"/>
      <c r="C123" s="371"/>
      <c r="D123" s="372"/>
      <c r="E123" s="371"/>
      <c r="F123" s="371"/>
      <c r="G123" s="371"/>
      <c r="H123" s="371"/>
      <c r="I123" s="371"/>
      <c r="J123" s="371"/>
      <c r="K123" s="371"/>
      <c r="L123" s="371"/>
      <c r="M123" s="371"/>
      <c r="N123" s="371"/>
      <c r="O123" s="371"/>
      <c r="P123" s="371"/>
      <c r="Q123" s="371"/>
      <c r="R123" s="371"/>
      <c r="S123" s="371"/>
      <c r="T123" s="371"/>
      <c r="U123" s="371"/>
      <c r="V123" s="371"/>
      <c r="W123" s="371"/>
      <c r="X123" s="371"/>
      <c r="Y123" s="371"/>
      <c r="Z123" s="371"/>
    </row>
    <row r="124">
      <c r="A124" s="371"/>
      <c r="B124" s="371"/>
      <c r="C124" s="371"/>
      <c r="D124" s="372"/>
      <c r="E124" s="371"/>
      <c r="F124" s="371"/>
      <c r="G124" s="371"/>
      <c r="H124" s="371"/>
      <c r="I124" s="371"/>
      <c r="J124" s="371"/>
      <c r="K124" s="371"/>
      <c r="L124" s="371"/>
      <c r="M124" s="371"/>
      <c r="N124" s="371"/>
      <c r="O124" s="371"/>
      <c r="P124" s="371"/>
      <c r="Q124" s="371"/>
      <c r="R124" s="371"/>
      <c r="S124" s="371"/>
      <c r="T124" s="371"/>
      <c r="U124" s="371"/>
      <c r="V124" s="371"/>
      <c r="W124" s="371"/>
      <c r="X124" s="371"/>
      <c r="Y124" s="371"/>
      <c r="Z124" s="371"/>
    </row>
    <row r="125">
      <c r="A125" s="371"/>
      <c r="B125" s="371"/>
      <c r="C125" s="371"/>
      <c r="D125" s="372"/>
      <c r="E125" s="371"/>
      <c r="F125" s="371"/>
      <c r="G125" s="371"/>
      <c r="H125" s="371"/>
      <c r="I125" s="371"/>
      <c r="J125" s="371"/>
      <c r="K125" s="371"/>
      <c r="L125" s="371"/>
      <c r="M125" s="371"/>
      <c r="N125" s="371"/>
      <c r="O125" s="371"/>
      <c r="P125" s="371"/>
      <c r="Q125" s="371"/>
      <c r="R125" s="371"/>
      <c r="S125" s="371"/>
      <c r="T125" s="371"/>
      <c r="U125" s="371"/>
      <c r="V125" s="371"/>
      <c r="W125" s="371"/>
      <c r="X125" s="371"/>
      <c r="Y125" s="371"/>
      <c r="Z125" s="371"/>
    </row>
    <row r="126">
      <c r="A126" s="371"/>
      <c r="B126" s="371"/>
      <c r="C126" s="371"/>
      <c r="D126" s="372"/>
      <c r="E126" s="371"/>
      <c r="F126" s="371"/>
      <c r="G126" s="371"/>
      <c r="H126" s="371"/>
      <c r="I126" s="371"/>
      <c r="J126" s="371"/>
      <c r="K126" s="371"/>
      <c r="L126" s="371"/>
      <c r="M126" s="371"/>
      <c r="N126" s="371"/>
      <c r="O126" s="371"/>
      <c r="P126" s="371"/>
      <c r="Q126" s="371"/>
      <c r="R126" s="371"/>
      <c r="S126" s="371"/>
      <c r="T126" s="371"/>
      <c r="U126" s="371"/>
      <c r="V126" s="371"/>
      <c r="W126" s="371"/>
      <c r="X126" s="371"/>
      <c r="Y126" s="371"/>
      <c r="Z126" s="371"/>
    </row>
    <row r="127">
      <c r="A127" s="371"/>
      <c r="B127" s="371"/>
      <c r="C127" s="371"/>
      <c r="D127" s="372"/>
      <c r="E127" s="371"/>
      <c r="F127" s="371"/>
      <c r="G127" s="371"/>
      <c r="H127" s="371"/>
      <c r="I127" s="371"/>
      <c r="J127" s="371"/>
      <c r="K127" s="371"/>
      <c r="L127" s="371"/>
      <c r="M127" s="371"/>
      <c r="N127" s="371"/>
      <c r="O127" s="371"/>
      <c r="P127" s="371"/>
      <c r="Q127" s="371"/>
      <c r="R127" s="371"/>
      <c r="S127" s="371"/>
      <c r="T127" s="371"/>
      <c r="U127" s="371"/>
      <c r="V127" s="371"/>
      <c r="W127" s="371"/>
      <c r="X127" s="371"/>
      <c r="Y127" s="371"/>
      <c r="Z127" s="371"/>
    </row>
    <row r="128">
      <c r="A128" s="371"/>
      <c r="B128" s="371"/>
      <c r="C128" s="371"/>
      <c r="D128" s="372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1"/>
      <c r="P128" s="371"/>
      <c r="Q128" s="371"/>
      <c r="R128" s="371"/>
      <c r="S128" s="371"/>
      <c r="T128" s="371"/>
      <c r="U128" s="371"/>
      <c r="V128" s="371"/>
      <c r="W128" s="371"/>
      <c r="X128" s="371"/>
      <c r="Y128" s="371"/>
      <c r="Z128" s="371"/>
    </row>
    <row r="129">
      <c r="A129" s="371"/>
      <c r="B129" s="371"/>
      <c r="C129" s="371"/>
      <c r="D129" s="372"/>
      <c r="E129" s="371"/>
      <c r="F129" s="371"/>
      <c r="G129" s="371"/>
      <c r="H129" s="371"/>
      <c r="I129" s="371"/>
      <c r="J129" s="371"/>
      <c r="K129" s="371"/>
      <c r="L129" s="371"/>
      <c r="M129" s="371"/>
      <c r="N129" s="371"/>
      <c r="O129" s="371"/>
      <c r="P129" s="371"/>
      <c r="Q129" s="371"/>
      <c r="R129" s="371"/>
      <c r="S129" s="371"/>
      <c r="T129" s="371"/>
      <c r="U129" s="371"/>
      <c r="V129" s="371"/>
      <c r="W129" s="371"/>
      <c r="X129" s="371"/>
      <c r="Y129" s="371"/>
      <c r="Z129" s="371"/>
    </row>
    <row r="130">
      <c r="A130" s="371"/>
      <c r="B130" s="371"/>
      <c r="C130" s="371"/>
      <c r="D130" s="372"/>
      <c r="E130" s="371"/>
      <c r="F130" s="371"/>
      <c r="G130" s="371"/>
      <c r="H130" s="371"/>
      <c r="I130" s="371"/>
      <c r="J130" s="371"/>
      <c r="K130" s="371"/>
      <c r="L130" s="371"/>
      <c r="M130" s="371"/>
      <c r="N130" s="371"/>
      <c r="O130" s="371"/>
      <c r="P130" s="371"/>
      <c r="Q130" s="371"/>
      <c r="R130" s="371"/>
      <c r="S130" s="371"/>
      <c r="T130" s="371"/>
      <c r="U130" s="371"/>
      <c r="V130" s="371"/>
      <c r="W130" s="371"/>
      <c r="X130" s="371"/>
      <c r="Y130" s="371"/>
      <c r="Z130" s="371"/>
    </row>
    <row r="131">
      <c r="A131" s="371"/>
      <c r="B131" s="371"/>
      <c r="C131" s="371"/>
      <c r="D131" s="372"/>
      <c r="E131" s="371"/>
      <c r="F131" s="371"/>
      <c r="G131" s="371"/>
      <c r="H131" s="371"/>
      <c r="I131" s="371"/>
      <c r="J131" s="371"/>
      <c r="K131" s="371"/>
      <c r="L131" s="371"/>
      <c r="M131" s="371"/>
      <c r="N131" s="371"/>
      <c r="O131" s="371"/>
      <c r="P131" s="371"/>
      <c r="Q131" s="371"/>
      <c r="R131" s="371"/>
      <c r="S131" s="371"/>
      <c r="T131" s="371"/>
      <c r="U131" s="371"/>
      <c r="V131" s="371"/>
      <c r="W131" s="371"/>
      <c r="X131" s="371"/>
      <c r="Y131" s="371"/>
      <c r="Z131" s="371"/>
    </row>
    <row r="132">
      <c r="A132" s="371"/>
      <c r="B132" s="371"/>
      <c r="C132" s="371"/>
      <c r="D132" s="372"/>
      <c r="E132" s="371"/>
      <c r="F132" s="371"/>
      <c r="G132" s="371"/>
      <c r="H132" s="371"/>
      <c r="I132" s="371"/>
      <c r="J132" s="371"/>
      <c r="K132" s="371"/>
      <c r="L132" s="371"/>
      <c r="M132" s="371"/>
      <c r="N132" s="371"/>
      <c r="O132" s="371"/>
      <c r="P132" s="371"/>
      <c r="Q132" s="371"/>
      <c r="R132" s="371"/>
      <c r="S132" s="371"/>
      <c r="T132" s="371"/>
      <c r="U132" s="371"/>
      <c r="V132" s="371"/>
      <c r="W132" s="371"/>
      <c r="X132" s="371"/>
      <c r="Y132" s="371"/>
      <c r="Z132" s="371"/>
    </row>
    <row r="133">
      <c r="A133" s="371"/>
      <c r="B133" s="371"/>
      <c r="C133" s="371"/>
      <c r="D133" s="372"/>
      <c r="E133" s="371"/>
      <c r="F133" s="371"/>
      <c r="G133" s="371"/>
      <c r="H133" s="371"/>
      <c r="I133" s="371"/>
      <c r="J133" s="371"/>
      <c r="K133" s="371"/>
      <c r="L133" s="371"/>
      <c r="M133" s="371"/>
      <c r="N133" s="371"/>
      <c r="O133" s="371"/>
      <c r="P133" s="371"/>
      <c r="Q133" s="371"/>
      <c r="R133" s="371"/>
      <c r="S133" s="371"/>
      <c r="T133" s="371"/>
      <c r="U133" s="371"/>
      <c r="V133" s="371"/>
      <c r="W133" s="371"/>
      <c r="X133" s="371"/>
      <c r="Y133" s="371"/>
      <c r="Z133" s="371"/>
    </row>
    <row r="134">
      <c r="A134" s="371"/>
      <c r="B134" s="371"/>
      <c r="C134" s="371"/>
      <c r="D134" s="372"/>
      <c r="E134" s="371"/>
      <c r="F134" s="371"/>
      <c r="G134" s="371"/>
      <c r="H134" s="371"/>
      <c r="I134" s="371"/>
      <c r="J134" s="371"/>
      <c r="K134" s="371"/>
      <c r="L134" s="371"/>
      <c r="M134" s="371"/>
      <c r="N134" s="371"/>
      <c r="O134" s="371"/>
      <c r="P134" s="371"/>
      <c r="Q134" s="371"/>
      <c r="R134" s="371"/>
      <c r="S134" s="371"/>
      <c r="T134" s="371"/>
      <c r="U134" s="371"/>
      <c r="V134" s="371"/>
      <c r="W134" s="371"/>
      <c r="X134" s="371"/>
      <c r="Y134" s="371"/>
      <c r="Z134" s="371"/>
    </row>
    <row r="135">
      <c r="A135" s="371"/>
      <c r="B135" s="371"/>
      <c r="C135" s="371"/>
      <c r="D135" s="372"/>
      <c r="E135" s="371"/>
      <c r="F135" s="371"/>
      <c r="G135" s="371"/>
      <c r="H135" s="371"/>
      <c r="I135" s="371"/>
      <c r="J135" s="371"/>
      <c r="K135" s="371"/>
      <c r="L135" s="371"/>
      <c r="M135" s="371"/>
      <c r="N135" s="371"/>
      <c r="O135" s="371"/>
      <c r="P135" s="371"/>
      <c r="Q135" s="371"/>
      <c r="R135" s="371"/>
      <c r="S135" s="371"/>
      <c r="T135" s="371"/>
      <c r="U135" s="371"/>
      <c r="V135" s="371"/>
      <c r="W135" s="371"/>
      <c r="X135" s="371"/>
      <c r="Y135" s="371"/>
      <c r="Z135" s="371"/>
    </row>
    <row r="136">
      <c r="A136" s="371"/>
      <c r="B136" s="371"/>
      <c r="C136" s="371"/>
      <c r="D136" s="372"/>
      <c r="E136" s="371"/>
      <c r="F136" s="371"/>
      <c r="G136" s="371"/>
      <c r="H136" s="371"/>
      <c r="I136" s="371"/>
      <c r="J136" s="371"/>
      <c r="K136" s="371"/>
      <c r="L136" s="371"/>
      <c r="M136" s="371"/>
      <c r="N136" s="371"/>
      <c r="O136" s="371"/>
      <c r="P136" s="371"/>
      <c r="Q136" s="371"/>
      <c r="R136" s="371"/>
      <c r="S136" s="371"/>
      <c r="T136" s="371"/>
      <c r="U136" s="371"/>
      <c r="V136" s="371"/>
      <c r="W136" s="371"/>
      <c r="X136" s="371"/>
      <c r="Y136" s="371"/>
      <c r="Z136" s="371"/>
    </row>
    <row r="137">
      <c r="A137" s="371"/>
      <c r="B137" s="371"/>
      <c r="C137" s="371"/>
      <c r="D137" s="372"/>
      <c r="E137" s="371"/>
      <c r="F137" s="371"/>
      <c r="G137" s="371"/>
      <c r="H137" s="371"/>
      <c r="I137" s="371"/>
      <c r="J137" s="371"/>
      <c r="K137" s="371"/>
      <c r="L137" s="371"/>
      <c r="M137" s="371"/>
      <c r="N137" s="371"/>
      <c r="O137" s="371"/>
      <c r="P137" s="371"/>
      <c r="Q137" s="371"/>
      <c r="R137" s="371"/>
      <c r="S137" s="371"/>
      <c r="T137" s="371"/>
      <c r="U137" s="371"/>
      <c r="V137" s="371"/>
      <c r="W137" s="371"/>
      <c r="X137" s="371"/>
      <c r="Y137" s="371"/>
      <c r="Z137" s="371"/>
    </row>
    <row r="138">
      <c r="A138" s="371"/>
      <c r="B138" s="371"/>
      <c r="C138" s="371"/>
      <c r="D138" s="372"/>
      <c r="E138" s="371"/>
      <c r="F138" s="371"/>
      <c r="G138" s="371"/>
      <c r="H138" s="371"/>
      <c r="I138" s="371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  <c r="U138" s="371"/>
      <c r="V138" s="371"/>
      <c r="W138" s="371"/>
      <c r="X138" s="371"/>
      <c r="Y138" s="371"/>
      <c r="Z138" s="371"/>
    </row>
    <row r="139">
      <c r="A139" s="371"/>
      <c r="B139" s="371"/>
      <c r="C139" s="371"/>
      <c r="D139" s="372"/>
      <c r="E139" s="371"/>
      <c r="F139" s="371"/>
      <c r="G139" s="371"/>
      <c r="H139" s="371"/>
      <c r="I139" s="371"/>
      <c r="J139" s="371"/>
      <c r="K139" s="371"/>
      <c r="L139" s="371"/>
      <c r="M139" s="371"/>
      <c r="N139" s="371"/>
      <c r="O139" s="371"/>
      <c r="P139" s="371"/>
      <c r="Q139" s="371"/>
      <c r="R139" s="371"/>
      <c r="S139" s="371"/>
      <c r="T139" s="371"/>
      <c r="U139" s="371"/>
      <c r="V139" s="371"/>
      <c r="W139" s="371"/>
      <c r="X139" s="371"/>
      <c r="Y139" s="371"/>
      <c r="Z139" s="371"/>
    </row>
    <row r="140">
      <c r="A140" s="371"/>
      <c r="B140" s="371"/>
      <c r="C140" s="371"/>
      <c r="D140" s="372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1"/>
      <c r="P140" s="371"/>
      <c r="Q140" s="371"/>
      <c r="R140" s="371"/>
      <c r="S140" s="371"/>
      <c r="T140" s="371"/>
      <c r="U140" s="371"/>
      <c r="V140" s="371"/>
      <c r="W140" s="371"/>
      <c r="X140" s="371"/>
      <c r="Y140" s="371"/>
      <c r="Z140" s="371"/>
    </row>
    <row r="141">
      <c r="A141" s="371"/>
      <c r="B141" s="371"/>
      <c r="C141" s="371"/>
      <c r="D141" s="372"/>
      <c r="E141" s="371"/>
      <c r="F141" s="371"/>
      <c r="G141" s="371"/>
      <c r="H141" s="371"/>
      <c r="I141" s="371"/>
      <c r="J141" s="371"/>
      <c r="K141" s="371"/>
      <c r="L141" s="371"/>
      <c r="M141" s="371"/>
      <c r="N141" s="371"/>
      <c r="O141" s="371"/>
      <c r="P141" s="371"/>
      <c r="Q141" s="371"/>
      <c r="R141" s="371"/>
      <c r="S141" s="371"/>
      <c r="T141" s="371"/>
      <c r="U141" s="371"/>
      <c r="V141" s="371"/>
      <c r="W141" s="371"/>
      <c r="X141" s="371"/>
      <c r="Y141" s="371"/>
      <c r="Z141" s="371"/>
    </row>
    <row r="142">
      <c r="A142" s="371"/>
      <c r="B142" s="371"/>
      <c r="C142" s="371"/>
      <c r="D142" s="372"/>
      <c r="E142" s="371"/>
      <c r="F142" s="371"/>
      <c r="G142" s="371"/>
      <c r="H142" s="371"/>
      <c r="I142" s="371"/>
      <c r="J142" s="371"/>
      <c r="K142" s="371"/>
      <c r="L142" s="371"/>
      <c r="M142" s="371"/>
      <c r="N142" s="371"/>
      <c r="O142" s="371"/>
      <c r="P142" s="371"/>
      <c r="Q142" s="371"/>
      <c r="R142" s="371"/>
      <c r="S142" s="371"/>
      <c r="T142" s="371"/>
      <c r="U142" s="371"/>
      <c r="V142" s="371"/>
      <c r="W142" s="371"/>
      <c r="X142" s="371"/>
      <c r="Y142" s="371"/>
      <c r="Z142" s="371"/>
    </row>
    <row r="143">
      <c r="A143" s="371"/>
      <c r="B143" s="371"/>
      <c r="C143" s="371"/>
      <c r="D143" s="372"/>
      <c r="E143" s="371"/>
      <c r="F143" s="371"/>
      <c r="G143" s="371"/>
      <c r="H143" s="371"/>
      <c r="I143" s="371"/>
      <c r="J143" s="371"/>
      <c r="K143" s="371"/>
      <c r="L143" s="371"/>
      <c r="M143" s="371"/>
      <c r="N143" s="371"/>
      <c r="O143" s="371"/>
      <c r="P143" s="371"/>
      <c r="Q143" s="371"/>
      <c r="R143" s="371"/>
      <c r="S143" s="371"/>
      <c r="T143" s="371"/>
      <c r="U143" s="371"/>
      <c r="V143" s="371"/>
      <c r="W143" s="371"/>
      <c r="X143" s="371"/>
      <c r="Y143" s="371"/>
      <c r="Z143" s="371"/>
    </row>
    <row r="144">
      <c r="A144" s="371"/>
      <c r="B144" s="371"/>
      <c r="C144" s="371"/>
      <c r="D144" s="372"/>
      <c r="E144" s="371"/>
      <c r="F144" s="371"/>
      <c r="G144" s="371"/>
      <c r="H144" s="371"/>
      <c r="I144" s="371"/>
      <c r="J144" s="371"/>
      <c r="K144" s="371"/>
      <c r="L144" s="371"/>
      <c r="M144" s="371"/>
      <c r="N144" s="371"/>
      <c r="O144" s="371"/>
      <c r="P144" s="371"/>
      <c r="Q144" s="371"/>
      <c r="R144" s="371"/>
      <c r="S144" s="371"/>
      <c r="T144" s="371"/>
      <c r="U144" s="371"/>
      <c r="V144" s="371"/>
      <c r="W144" s="371"/>
      <c r="X144" s="371"/>
      <c r="Y144" s="371"/>
      <c r="Z144" s="371"/>
    </row>
    <row r="145">
      <c r="A145" s="371"/>
      <c r="B145" s="371"/>
      <c r="C145" s="371"/>
      <c r="D145" s="372"/>
      <c r="E145" s="371"/>
      <c r="F145" s="371"/>
      <c r="G145" s="371"/>
      <c r="H145" s="371"/>
      <c r="I145" s="371"/>
      <c r="J145" s="371"/>
      <c r="K145" s="371"/>
      <c r="L145" s="371"/>
      <c r="M145" s="371"/>
      <c r="N145" s="371"/>
      <c r="O145" s="371"/>
      <c r="P145" s="371"/>
      <c r="Q145" s="371"/>
      <c r="R145" s="371"/>
      <c r="S145" s="371"/>
      <c r="T145" s="371"/>
      <c r="U145" s="371"/>
      <c r="V145" s="371"/>
      <c r="W145" s="371"/>
      <c r="X145" s="371"/>
      <c r="Y145" s="371"/>
      <c r="Z145" s="371"/>
    </row>
    <row r="146">
      <c r="A146" s="371"/>
      <c r="B146" s="371"/>
      <c r="C146" s="371"/>
      <c r="D146" s="372"/>
      <c r="E146" s="371"/>
      <c r="F146" s="371"/>
      <c r="G146" s="371"/>
      <c r="H146" s="371"/>
      <c r="I146" s="371"/>
      <c r="J146" s="371"/>
      <c r="K146" s="371"/>
      <c r="L146" s="371"/>
      <c r="M146" s="371"/>
      <c r="N146" s="371"/>
      <c r="O146" s="371"/>
      <c r="P146" s="371"/>
      <c r="Q146" s="371"/>
      <c r="R146" s="371"/>
      <c r="S146" s="371"/>
      <c r="T146" s="371"/>
      <c r="U146" s="371"/>
      <c r="V146" s="371"/>
      <c r="W146" s="371"/>
      <c r="X146" s="371"/>
      <c r="Y146" s="371"/>
      <c r="Z146" s="371"/>
    </row>
    <row r="147">
      <c r="A147" s="371"/>
      <c r="B147" s="371"/>
      <c r="C147" s="371"/>
      <c r="D147" s="372"/>
      <c r="E147" s="371"/>
      <c r="F147" s="371"/>
      <c r="G147" s="371"/>
      <c r="H147" s="371"/>
      <c r="I147" s="371"/>
      <c r="J147" s="371"/>
      <c r="K147" s="371"/>
      <c r="L147" s="371"/>
      <c r="M147" s="371"/>
      <c r="N147" s="371"/>
      <c r="O147" s="371"/>
      <c r="P147" s="371"/>
      <c r="Q147" s="371"/>
      <c r="R147" s="371"/>
      <c r="S147" s="371"/>
      <c r="T147" s="371"/>
      <c r="U147" s="371"/>
      <c r="V147" s="371"/>
      <c r="W147" s="371"/>
      <c r="X147" s="371"/>
      <c r="Y147" s="371"/>
      <c r="Z147" s="371"/>
    </row>
    <row r="148">
      <c r="A148" s="371"/>
      <c r="B148" s="371"/>
      <c r="C148" s="371"/>
      <c r="D148" s="372"/>
      <c r="E148" s="371"/>
      <c r="F148" s="371"/>
      <c r="G148" s="371"/>
      <c r="H148" s="371"/>
      <c r="I148" s="371"/>
      <c r="J148" s="371"/>
      <c r="K148" s="371"/>
      <c r="L148" s="371"/>
      <c r="M148" s="371"/>
      <c r="N148" s="371"/>
      <c r="O148" s="371"/>
      <c r="P148" s="371"/>
      <c r="Q148" s="371"/>
      <c r="R148" s="371"/>
      <c r="S148" s="371"/>
      <c r="T148" s="371"/>
      <c r="U148" s="371"/>
      <c r="V148" s="371"/>
      <c r="W148" s="371"/>
      <c r="X148" s="371"/>
      <c r="Y148" s="371"/>
      <c r="Z148" s="371"/>
    </row>
    <row r="149">
      <c r="A149" s="371"/>
      <c r="B149" s="371"/>
      <c r="C149" s="371"/>
      <c r="D149" s="372"/>
      <c r="E149" s="371"/>
      <c r="F149" s="371"/>
      <c r="G149" s="371"/>
      <c r="H149" s="371"/>
      <c r="I149" s="371"/>
      <c r="J149" s="371"/>
      <c r="K149" s="371"/>
      <c r="L149" s="371"/>
      <c r="M149" s="371"/>
      <c r="N149" s="371"/>
      <c r="O149" s="371"/>
      <c r="P149" s="371"/>
      <c r="Q149" s="371"/>
      <c r="R149" s="371"/>
      <c r="S149" s="371"/>
      <c r="T149" s="371"/>
      <c r="U149" s="371"/>
      <c r="V149" s="371"/>
      <c r="W149" s="371"/>
      <c r="X149" s="371"/>
      <c r="Y149" s="371"/>
      <c r="Z149" s="371"/>
    </row>
    <row r="150">
      <c r="A150" s="371"/>
      <c r="B150" s="371"/>
      <c r="C150" s="371"/>
      <c r="D150" s="372"/>
      <c r="E150" s="371"/>
      <c r="F150" s="371"/>
      <c r="G150" s="371"/>
      <c r="H150" s="371"/>
      <c r="I150" s="371"/>
      <c r="J150" s="371"/>
      <c r="K150" s="371"/>
      <c r="L150" s="371"/>
      <c r="M150" s="371"/>
      <c r="N150" s="371"/>
      <c r="O150" s="371"/>
      <c r="P150" s="371"/>
      <c r="Q150" s="371"/>
      <c r="R150" s="371"/>
      <c r="S150" s="371"/>
      <c r="T150" s="371"/>
      <c r="U150" s="371"/>
      <c r="V150" s="371"/>
      <c r="W150" s="371"/>
      <c r="X150" s="371"/>
      <c r="Y150" s="371"/>
      <c r="Z150" s="371"/>
    </row>
    <row r="151">
      <c r="A151" s="371"/>
      <c r="B151" s="371"/>
      <c r="C151" s="371"/>
      <c r="D151" s="372"/>
      <c r="E151" s="371"/>
      <c r="F151" s="371"/>
      <c r="G151" s="371"/>
      <c r="H151" s="371"/>
      <c r="I151" s="371"/>
      <c r="J151" s="371"/>
      <c r="K151" s="371"/>
      <c r="L151" s="371"/>
      <c r="M151" s="371"/>
      <c r="N151" s="371"/>
      <c r="O151" s="371"/>
      <c r="P151" s="371"/>
      <c r="Q151" s="371"/>
      <c r="R151" s="371"/>
      <c r="S151" s="371"/>
      <c r="T151" s="371"/>
      <c r="U151" s="371"/>
      <c r="V151" s="371"/>
      <c r="W151" s="371"/>
      <c r="X151" s="371"/>
      <c r="Y151" s="371"/>
      <c r="Z151" s="371"/>
    </row>
    <row r="152">
      <c r="A152" s="371"/>
      <c r="B152" s="371"/>
      <c r="C152" s="371"/>
      <c r="D152" s="372"/>
      <c r="E152" s="371"/>
      <c r="F152" s="371"/>
      <c r="G152" s="371"/>
      <c r="H152" s="371"/>
      <c r="I152" s="371"/>
      <c r="J152" s="371"/>
      <c r="K152" s="371"/>
      <c r="L152" s="371"/>
      <c r="M152" s="371"/>
      <c r="N152" s="371"/>
      <c r="O152" s="371"/>
      <c r="P152" s="371"/>
      <c r="Q152" s="371"/>
      <c r="R152" s="371"/>
      <c r="S152" s="371"/>
      <c r="T152" s="371"/>
      <c r="U152" s="371"/>
      <c r="V152" s="371"/>
      <c r="W152" s="371"/>
      <c r="X152" s="371"/>
      <c r="Y152" s="371"/>
      <c r="Z152" s="371"/>
    </row>
    <row r="153">
      <c r="A153" s="371"/>
      <c r="B153" s="371"/>
      <c r="C153" s="371"/>
      <c r="D153" s="372"/>
      <c r="E153" s="371"/>
      <c r="F153" s="371"/>
      <c r="G153" s="371"/>
      <c r="H153" s="371"/>
      <c r="I153" s="371"/>
      <c r="J153" s="371"/>
      <c r="K153" s="371"/>
      <c r="L153" s="371"/>
      <c r="M153" s="371"/>
      <c r="N153" s="371"/>
      <c r="O153" s="371"/>
      <c r="P153" s="371"/>
      <c r="Q153" s="371"/>
      <c r="R153" s="371"/>
      <c r="S153" s="371"/>
      <c r="T153" s="371"/>
      <c r="U153" s="371"/>
      <c r="V153" s="371"/>
      <c r="W153" s="371"/>
      <c r="X153" s="371"/>
      <c r="Y153" s="371"/>
      <c r="Z153" s="371"/>
    </row>
    <row r="154">
      <c r="A154" s="371"/>
      <c r="B154" s="371"/>
      <c r="C154" s="371"/>
      <c r="D154" s="372"/>
      <c r="E154" s="371"/>
      <c r="F154" s="371"/>
      <c r="G154" s="371"/>
      <c r="H154" s="371"/>
      <c r="I154" s="371"/>
      <c r="J154" s="371"/>
      <c r="K154" s="371"/>
      <c r="L154" s="371"/>
      <c r="M154" s="371"/>
      <c r="N154" s="371"/>
      <c r="O154" s="371"/>
      <c r="P154" s="371"/>
      <c r="Q154" s="371"/>
      <c r="R154" s="371"/>
      <c r="S154" s="371"/>
      <c r="T154" s="371"/>
      <c r="U154" s="371"/>
      <c r="V154" s="371"/>
      <c r="W154" s="371"/>
      <c r="X154" s="371"/>
      <c r="Y154" s="371"/>
      <c r="Z154" s="371"/>
    </row>
    <row r="155">
      <c r="A155" s="371"/>
      <c r="B155" s="371"/>
      <c r="C155" s="371"/>
      <c r="D155" s="372"/>
      <c r="E155" s="371"/>
      <c r="F155" s="371"/>
      <c r="G155" s="371"/>
      <c r="H155" s="371"/>
      <c r="I155" s="371"/>
      <c r="J155" s="371"/>
      <c r="K155" s="371"/>
      <c r="L155" s="371"/>
      <c r="M155" s="371"/>
      <c r="N155" s="371"/>
      <c r="O155" s="371"/>
      <c r="P155" s="371"/>
      <c r="Q155" s="371"/>
      <c r="R155" s="371"/>
      <c r="S155" s="371"/>
      <c r="T155" s="371"/>
      <c r="U155" s="371"/>
      <c r="V155" s="371"/>
      <c r="W155" s="371"/>
      <c r="X155" s="371"/>
      <c r="Y155" s="371"/>
      <c r="Z155" s="371"/>
    </row>
    <row r="156">
      <c r="A156" s="371"/>
      <c r="B156" s="371"/>
      <c r="C156" s="371"/>
      <c r="D156" s="372"/>
      <c r="E156" s="371"/>
      <c r="F156" s="371"/>
      <c r="G156" s="371"/>
      <c r="H156" s="371"/>
      <c r="I156" s="371"/>
      <c r="J156" s="371"/>
      <c r="K156" s="371"/>
      <c r="L156" s="371"/>
      <c r="M156" s="371"/>
      <c r="N156" s="371"/>
      <c r="O156" s="371"/>
      <c r="P156" s="371"/>
      <c r="Q156" s="371"/>
      <c r="R156" s="371"/>
      <c r="S156" s="371"/>
      <c r="T156" s="371"/>
      <c r="U156" s="371"/>
      <c r="V156" s="371"/>
      <c r="W156" s="371"/>
      <c r="X156" s="371"/>
      <c r="Y156" s="371"/>
      <c r="Z156" s="371"/>
    </row>
    <row r="157">
      <c r="A157" s="371"/>
      <c r="B157" s="371"/>
      <c r="C157" s="371"/>
      <c r="D157" s="372"/>
      <c r="E157" s="371"/>
      <c r="F157" s="371"/>
      <c r="G157" s="371"/>
      <c r="H157" s="371"/>
      <c r="I157" s="371"/>
      <c r="J157" s="371"/>
      <c r="K157" s="371"/>
      <c r="L157" s="371"/>
      <c r="M157" s="371"/>
      <c r="N157" s="371"/>
      <c r="O157" s="371"/>
      <c r="P157" s="371"/>
      <c r="Q157" s="371"/>
      <c r="R157" s="371"/>
      <c r="S157" s="371"/>
      <c r="T157" s="371"/>
      <c r="U157" s="371"/>
      <c r="V157" s="371"/>
      <c r="W157" s="371"/>
      <c r="X157" s="371"/>
      <c r="Y157" s="371"/>
      <c r="Z157" s="371"/>
    </row>
    <row r="158">
      <c r="A158" s="371"/>
      <c r="B158" s="371"/>
      <c r="C158" s="371"/>
      <c r="D158" s="372"/>
      <c r="E158" s="371"/>
      <c r="F158" s="371"/>
      <c r="G158" s="371"/>
      <c r="H158" s="371"/>
      <c r="I158" s="371"/>
      <c r="J158" s="371"/>
      <c r="K158" s="371"/>
      <c r="L158" s="371"/>
      <c r="M158" s="371"/>
      <c r="N158" s="371"/>
      <c r="O158" s="371"/>
      <c r="P158" s="371"/>
      <c r="Q158" s="371"/>
      <c r="R158" s="371"/>
      <c r="S158" s="371"/>
      <c r="T158" s="371"/>
      <c r="U158" s="371"/>
      <c r="V158" s="371"/>
      <c r="W158" s="371"/>
      <c r="X158" s="371"/>
      <c r="Y158" s="371"/>
      <c r="Z158" s="371"/>
    </row>
    <row r="159">
      <c r="A159" s="371"/>
      <c r="B159" s="371"/>
      <c r="C159" s="371"/>
      <c r="D159" s="372"/>
      <c r="E159" s="371"/>
      <c r="F159" s="371"/>
      <c r="G159" s="371"/>
      <c r="H159" s="371"/>
      <c r="I159" s="371"/>
      <c r="J159" s="371"/>
      <c r="K159" s="371"/>
      <c r="L159" s="371"/>
      <c r="M159" s="371"/>
      <c r="N159" s="371"/>
      <c r="O159" s="371"/>
      <c r="P159" s="371"/>
      <c r="Q159" s="371"/>
      <c r="R159" s="371"/>
      <c r="S159" s="371"/>
      <c r="T159" s="371"/>
      <c r="U159" s="371"/>
      <c r="V159" s="371"/>
      <c r="W159" s="371"/>
      <c r="X159" s="371"/>
      <c r="Y159" s="371"/>
      <c r="Z159" s="371"/>
    </row>
    <row r="160">
      <c r="A160" s="371"/>
      <c r="B160" s="371"/>
      <c r="C160" s="371"/>
      <c r="D160" s="372"/>
      <c r="E160" s="371"/>
      <c r="F160" s="371"/>
      <c r="G160" s="371"/>
      <c r="H160" s="371"/>
      <c r="I160" s="371"/>
      <c r="J160" s="371"/>
      <c r="K160" s="371"/>
      <c r="L160" s="371"/>
      <c r="M160" s="371"/>
      <c r="N160" s="371"/>
      <c r="O160" s="371"/>
      <c r="P160" s="371"/>
      <c r="Q160" s="371"/>
      <c r="R160" s="371"/>
      <c r="S160" s="371"/>
      <c r="T160" s="371"/>
      <c r="U160" s="371"/>
      <c r="V160" s="371"/>
      <c r="W160" s="371"/>
      <c r="X160" s="371"/>
      <c r="Y160" s="371"/>
      <c r="Z160" s="371"/>
    </row>
    <row r="161">
      <c r="A161" s="371"/>
      <c r="B161" s="371"/>
      <c r="C161" s="371"/>
      <c r="D161" s="372"/>
      <c r="E161" s="371"/>
      <c r="F161" s="371"/>
      <c r="G161" s="371"/>
      <c r="H161" s="371"/>
      <c r="I161" s="371"/>
      <c r="J161" s="371"/>
      <c r="K161" s="371"/>
      <c r="L161" s="371"/>
      <c r="M161" s="371"/>
      <c r="N161" s="371"/>
      <c r="O161" s="371"/>
      <c r="P161" s="371"/>
      <c r="Q161" s="371"/>
      <c r="R161" s="371"/>
      <c r="S161" s="371"/>
      <c r="T161" s="371"/>
      <c r="U161" s="371"/>
      <c r="V161" s="371"/>
      <c r="W161" s="371"/>
      <c r="X161" s="371"/>
      <c r="Y161" s="371"/>
      <c r="Z161" s="371"/>
    </row>
    <row r="162">
      <c r="A162" s="371"/>
      <c r="B162" s="371"/>
      <c r="C162" s="371"/>
      <c r="D162" s="372"/>
      <c r="E162" s="371"/>
      <c r="F162" s="371"/>
      <c r="G162" s="371"/>
      <c r="H162" s="371"/>
      <c r="I162" s="371"/>
      <c r="J162" s="371"/>
      <c r="K162" s="371"/>
      <c r="L162" s="371"/>
      <c r="M162" s="371"/>
      <c r="N162" s="371"/>
      <c r="O162" s="371"/>
      <c r="P162" s="371"/>
      <c r="Q162" s="371"/>
      <c r="R162" s="371"/>
      <c r="S162" s="371"/>
      <c r="T162" s="371"/>
      <c r="U162" s="371"/>
      <c r="V162" s="371"/>
      <c r="W162" s="371"/>
      <c r="X162" s="371"/>
      <c r="Y162" s="371"/>
      <c r="Z162" s="371"/>
    </row>
    <row r="163">
      <c r="A163" s="371"/>
      <c r="B163" s="371"/>
      <c r="C163" s="371"/>
      <c r="D163" s="372"/>
      <c r="E163" s="371"/>
      <c r="F163" s="371"/>
      <c r="G163" s="371"/>
      <c r="H163" s="371"/>
      <c r="I163" s="371"/>
      <c r="J163" s="371"/>
      <c r="K163" s="371"/>
      <c r="L163" s="371"/>
      <c r="M163" s="371"/>
      <c r="N163" s="371"/>
      <c r="O163" s="371"/>
      <c r="P163" s="371"/>
      <c r="Q163" s="371"/>
      <c r="R163" s="371"/>
      <c r="S163" s="371"/>
      <c r="T163" s="371"/>
      <c r="U163" s="371"/>
      <c r="V163" s="371"/>
      <c r="W163" s="371"/>
      <c r="X163" s="371"/>
      <c r="Y163" s="371"/>
      <c r="Z163" s="371"/>
    </row>
    <row r="164">
      <c r="A164" s="371"/>
      <c r="B164" s="371"/>
      <c r="C164" s="371"/>
      <c r="D164" s="372"/>
      <c r="E164" s="371"/>
      <c r="F164" s="371"/>
      <c r="G164" s="371"/>
      <c r="H164" s="371"/>
      <c r="I164" s="371"/>
      <c r="J164" s="371"/>
      <c r="K164" s="371"/>
      <c r="L164" s="371"/>
      <c r="M164" s="371"/>
      <c r="N164" s="371"/>
      <c r="O164" s="371"/>
      <c r="P164" s="371"/>
      <c r="Q164" s="371"/>
      <c r="R164" s="371"/>
      <c r="S164" s="371"/>
      <c r="T164" s="371"/>
      <c r="U164" s="371"/>
      <c r="V164" s="371"/>
      <c r="W164" s="371"/>
      <c r="X164" s="371"/>
      <c r="Y164" s="371"/>
      <c r="Z164" s="371"/>
    </row>
    <row r="165">
      <c r="A165" s="371"/>
      <c r="B165" s="371"/>
      <c r="C165" s="371"/>
      <c r="D165" s="372"/>
      <c r="E165" s="371"/>
      <c r="F165" s="371"/>
      <c r="G165" s="371"/>
      <c r="H165" s="371"/>
      <c r="I165" s="371"/>
      <c r="J165" s="371"/>
      <c r="K165" s="371"/>
      <c r="L165" s="371"/>
      <c r="M165" s="371"/>
      <c r="N165" s="371"/>
      <c r="O165" s="371"/>
      <c r="P165" s="371"/>
      <c r="Q165" s="371"/>
      <c r="R165" s="371"/>
      <c r="S165" s="371"/>
      <c r="T165" s="371"/>
      <c r="U165" s="371"/>
      <c r="V165" s="371"/>
      <c r="W165" s="371"/>
      <c r="X165" s="371"/>
      <c r="Y165" s="371"/>
      <c r="Z165" s="371"/>
    </row>
    <row r="166">
      <c r="A166" s="371"/>
      <c r="B166" s="371"/>
      <c r="C166" s="371"/>
      <c r="D166" s="372"/>
      <c r="E166" s="371"/>
      <c r="F166" s="371"/>
      <c r="G166" s="371"/>
      <c r="H166" s="371"/>
      <c r="I166" s="371"/>
      <c r="J166" s="371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  <c r="U166" s="371"/>
      <c r="V166" s="371"/>
      <c r="W166" s="371"/>
      <c r="X166" s="371"/>
      <c r="Y166" s="371"/>
      <c r="Z166" s="371"/>
    </row>
    <row r="167">
      <c r="A167" s="371"/>
      <c r="B167" s="371"/>
      <c r="C167" s="371"/>
      <c r="D167" s="372"/>
      <c r="E167" s="371"/>
      <c r="F167" s="371"/>
      <c r="G167" s="371"/>
      <c r="H167" s="371"/>
      <c r="I167" s="371"/>
      <c r="J167" s="371"/>
      <c r="K167" s="371"/>
      <c r="L167" s="371"/>
      <c r="M167" s="371"/>
      <c r="N167" s="371"/>
      <c r="O167" s="371"/>
      <c r="P167" s="371"/>
      <c r="Q167" s="371"/>
      <c r="R167" s="371"/>
      <c r="S167" s="371"/>
      <c r="T167" s="371"/>
      <c r="U167" s="371"/>
      <c r="V167" s="371"/>
      <c r="W167" s="371"/>
      <c r="X167" s="371"/>
      <c r="Y167" s="371"/>
      <c r="Z167" s="371"/>
    </row>
    <row r="168">
      <c r="A168" s="371"/>
      <c r="B168" s="371"/>
      <c r="C168" s="371"/>
      <c r="D168" s="372"/>
      <c r="E168" s="371"/>
      <c r="F168" s="371"/>
      <c r="G168" s="371"/>
      <c r="H168" s="371"/>
      <c r="I168" s="371"/>
      <c r="J168" s="371"/>
      <c r="K168" s="371"/>
      <c r="L168" s="371"/>
      <c r="M168" s="371"/>
      <c r="N168" s="371"/>
      <c r="O168" s="371"/>
      <c r="P168" s="371"/>
      <c r="Q168" s="371"/>
      <c r="R168" s="371"/>
      <c r="S168" s="371"/>
      <c r="T168" s="371"/>
      <c r="U168" s="371"/>
      <c r="V168" s="371"/>
      <c r="W168" s="371"/>
      <c r="X168" s="371"/>
      <c r="Y168" s="371"/>
      <c r="Z168" s="371"/>
    </row>
    <row r="169">
      <c r="A169" s="371"/>
      <c r="B169" s="371"/>
      <c r="C169" s="371"/>
      <c r="D169" s="372"/>
      <c r="E169" s="371"/>
      <c r="F169" s="371"/>
      <c r="G169" s="371"/>
      <c r="H169" s="371"/>
      <c r="I169" s="371"/>
      <c r="J169" s="371"/>
      <c r="K169" s="371"/>
      <c r="L169" s="371"/>
      <c r="M169" s="371"/>
      <c r="N169" s="371"/>
      <c r="O169" s="371"/>
      <c r="P169" s="371"/>
      <c r="Q169" s="371"/>
      <c r="R169" s="371"/>
      <c r="S169" s="371"/>
      <c r="T169" s="371"/>
      <c r="U169" s="371"/>
      <c r="V169" s="371"/>
      <c r="W169" s="371"/>
      <c r="X169" s="371"/>
      <c r="Y169" s="371"/>
      <c r="Z169" s="371"/>
    </row>
    <row r="170">
      <c r="A170" s="371"/>
      <c r="B170" s="371"/>
      <c r="C170" s="371"/>
      <c r="D170" s="372"/>
      <c r="E170" s="371"/>
      <c r="F170" s="371"/>
      <c r="G170" s="371"/>
      <c r="H170" s="371"/>
      <c r="I170" s="371"/>
      <c r="J170" s="371"/>
      <c r="K170" s="371"/>
      <c r="L170" s="371"/>
      <c r="M170" s="371"/>
      <c r="N170" s="371"/>
      <c r="O170" s="371"/>
      <c r="P170" s="371"/>
      <c r="Q170" s="371"/>
      <c r="R170" s="371"/>
      <c r="S170" s="371"/>
      <c r="T170" s="371"/>
      <c r="U170" s="371"/>
      <c r="V170" s="371"/>
      <c r="W170" s="371"/>
      <c r="X170" s="371"/>
      <c r="Y170" s="371"/>
      <c r="Z170" s="371"/>
    </row>
    <row r="171">
      <c r="A171" s="371"/>
      <c r="B171" s="371"/>
      <c r="C171" s="371"/>
      <c r="D171" s="372"/>
      <c r="E171" s="371"/>
      <c r="F171" s="371"/>
      <c r="G171" s="371"/>
      <c r="H171" s="371"/>
      <c r="I171" s="371"/>
      <c r="J171" s="371"/>
      <c r="K171" s="371"/>
      <c r="L171" s="371"/>
      <c r="M171" s="371"/>
      <c r="N171" s="371"/>
      <c r="O171" s="371"/>
      <c r="P171" s="371"/>
      <c r="Q171" s="371"/>
      <c r="R171" s="371"/>
      <c r="S171" s="371"/>
      <c r="T171" s="371"/>
      <c r="U171" s="371"/>
      <c r="V171" s="371"/>
      <c r="W171" s="371"/>
      <c r="X171" s="371"/>
      <c r="Y171" s="371"/>
      <c r="Z171" s="371"/>
    </row>
    <row r="172">
      <c r="A172" s="371"/>
      <c r="B172" s="371"/>
      <c r="C172" s="371"/>
      <c r="D172" s="372"/>
      <c r="E172" s="371"/>
      <c r="F172" s="371"/>
      <c r="G172" s="371"/>
      <c r="H172" s="371"/>
      <c r="I172" s="371"/>
      <c r="J172" s="371"/>
      <c r="K172" s="371"/>
      <c r="L172" s="371"/>
      <c r="M172" s="371"/>
      <c r="N172" s="371"/>
      <c r="O172" s="371"/>
      <c r="P172" s="371"/>
      <c r="Q172" s="371"/>
      <c r="R172" s="371"/>
      <c r="S172" s="371"/>
      <c r="T172" s="371"/>
      <c r="U172" s="371"/>
      <c r="V172" s="371"/>
      <c r="W172" s="371"/>
      <c r="X172" s="371"/>
      <c r="Y172" s="371"/>
      <c r="Z172" s="371"/>
    </row>
    <row r="173">
      <c r="A173" s="371"/>
      <c r="B173" s="371"/>
      <c r="C173" s="371"/>
      <c r="D173" s="372"/>
      <c r="E173" s="371"/>
      <c r="F173" s="371"/>
      <c r="G173" s="371"/>
      <c r="H173" s="371"/>
      <c r="I173" s="371"/>
      <c r="J173" s="371"/>
      <c r="K173" s="371"/>
      <c r="L173" s="371"/>
      <c r="M173" s="371"/>
      <c r="N173" s="371"/>
      <c r="O173" s="371"/>
      <c r="P173" s="371"/>
      <c r="Q173" s="371"/>
      <c r="R173" s="371"/>
      <c r="S173" s="371"/>
      <c r="T173" s="371"/>
      <c r="U173" s="371"/>
      <c r="V173" s="371"/>
      <c r="W173" s="371"/>
      <c r="X173" s="371"/>
      <c r="Y173" s="371"/>
      <c r="Z173" s="371"/>
    </row>
    <row r="174">
      <c r="A174" s="371"/>
      <c r="B174" s="371"/>
      <c r="C174" s="371"/>
      <c r="D174" s="372"/>
      <c r="E174" s="371"/>
      <c r="F174" s="371"/>
      <c r="G174" s="371"/>
      <c r="H174" s="371"/>
      <c r="I174" s="371"/>
      <c r="J174" s="371"/>
      <c r="K174" s="371"/>
      <c r="L174" s="371"/>
      <c r="M174" s="371"/>
      <c r="N174" s="371"/>
      <c r="O174" s="371"/>
      <c r="P174" s="371"/>
      <c r="Q174" s="371"/>
      <c r="R174" s="371"/>
      <c r="S174" s="371"/>
      <c r="T174" s="371"/>
      <c r="U174" s="371"/>
      <c r="V174" s="371"/>
      <c r="W174" s="371"/>
      <c r="X174" s="371"/>
      <c r="Y174" s="371"/>
      <c r="Z174" s="371"/>
    </row>
    <row r="175">
      <c r="A175" s="371"/>
      <c r="B175" s="371"/>
      <c r="C175" s="371"/>
      <c r="D175" s="372"/>
      <c r="E175" s="371"/>
      <c r="F175" s="371"/>
      <c r="G175" s="371"/>
      <c r="H175" s="371"/>
      <c r="I175" s="371"/>
      <c r="J175" s="371"/>
      <c r="K175" s="371"/>
      <c r="L175" s="371"/>
      <c r="M175" s="371"/>
      <c r="N175" s="371"/>
      <c r="O175" s="371"/>
      <c r="P175" s="371"/>
      <c r="Q175" s="371"/>
      <c r="R175" s="371"/>
      <c r="S175" s="371"/>
      <c r="T175" s="371"/>
      <c r="U175" s="371"/>
      <c r="V175" s="371"/>
      <c r="W175" s="371"/>
      <c r="X175" s="371"/>
      <c r="Y175" s="371"/>
      <c r="Z175" s="371"/>
    </row>
    <row r="176">
      <c r="A176" s="371"/>
      <c r="B176" s="371"/>
      <c r="C176" s="371"/>
      <c r="D176" s="372"/>
      <c r="E176" s="371"/>
      <c r="F176" s="371"/>
      <c r="G176" s="371"/>
      <c r="H176" s="371"/>
      <c r="I176" s="371"/>
      <c r="J176" s="371"/>
      <c r="K176" s="371"/>
      <c r="L176" s="371"/>
      <c r="M176" s="371"/>
      <c r="N176" s="371"/>
      <c r="O176" s="371"/>
      <c r="P176" s="371"/>
      <c r="Q176" s="371"/>
      <c r="R176" s="371"/>
      <c r="S176" s="371"/>
      <c r="T176" s="371"/>
      <c r="U176" s="371"/>
      <c r="V176" s="371"/>
      <c r="W176" s="371"/>
      <c r="X176" s="371"/>
      <c r="Y176" s="371"/>
      <c r="Z176" s="371"/>
    </row>
    <row r="177">
      <c r="A177" s="371"/>
      <c r="B177" s="371"/>
      <c r="C177" s="371"/>
      <c r="D177" s="372"/>
      <c r="E177" s="371"/>
      <c r="F177" s="371"/>
      <c r="G177" s="371"/>
      <c r="H177" s="371"/>
      <c r="I177" s="371"/>
      <c r="J177" s="371"/>
      <c r="K177" s="371"/>
      <c r="L177" s="371"/>
      <c r="M177" s="371"/>
      <c r="N177" s="371"/>
      <c r="O177" s="371"/>
      <c r="P177" s="371"/>
      <c r="Q177" s="371"/>
      <c r="R177" s="371"/>
      <c r="S177" s="371"/>
      <c r="T177" s="371"/>
      <c r="U177" s="371"/>
      <c r="V177" s="371"/>
      <c r="W177" s="371"/>
      <c r="X177" s="371"/>
      <c r="Y177" s="371"/>
      <c r="Z177" s="371"/>
    </row>
    <row r="178">
      <c r="A178" s="371"/>
      <c r="B178" s="371"/>
      <c r="C178" s="371"/>
      <c r="D178" s="372"/>
      <c r="E178" s="371"/>
      <c r="F178" s="371"/>
      <c r="G178" s="371"/>
      <c r="H178" s="371"/>
      <c r="I178" s="371"/>
      <c r="J178" s="371"/>
      <c r="K178" s="371"/>
      <c r="L178" s="371"/>
      <c r="M178" s="371"/>
      <c r="N178" s="371"/>
      <c r="O178" s="371"/>
      <c r="P178" s="371"/>
      <c r="Q178" s="371"/>
      <c r="R178" s="371"/>
      <c r="S178" s="371"/>
      <c r="T178" s="371"/>
      <c r="U178" s="371"/>
      <c r="V178" s="371"/>
      <c r="W178" s="371"/>
      <c r="X178" s="371"/>
      <c r="Y178" s="371"/>
      <c r="Z178" s="371"/>
    </row>
    <row r="179">
      <c r="A179" s="371"/>
      <c r="B179" s="371"/>
      <c r="C179" s="371"/>
      <c r="D179" s="372"/>
      <c r="E179" s="371"/>
      <c r="F179" s="371"/>
      <c r="G179" s="371"/>
      <c r="H179" s="371"/>
      <c r="I179" s="371"/>
      <c r="J179" s="371"/>
      <c r="K179" s="371"/>
      <c r="L179" s="371"/>
      <c r="M179" s="371"/>
      <c r="N179" s="371"/>
      <c r="O179" s="371"/>
      <c r="P179" s="371"/>
      <c r="Q179" s="371"/>
      <c r="R179" s="371"/>
      <c r="S179" s="371"/>
      <c r="T179" s="371"/>
      <c r="U179" s="371"/>
      <c r="V179" s="371"/>
      <c r="W179" s="371"/>
      <c r="X179" s="371"/>
      <c r="Y179" s="371"/>
      <c r="Z179" s="371"/>
    </row>
    <row r="180">
      <c r="A180" s="371"/>
      <c r="B180" s="371"/>
      <c r="C180" s="371"/>
      <c r="D180" s="372"/>
      <c r="E180" s="371"/>
      <c r="F180" s="371"/>
      <c r="G180" s="371"/>
      <c r="H180" s="371"/>
      <c r="I180" s="371"/>
      <c r="J180" s="371"/>
      <c r="K180" s="371"/>
      <c r="L180" s="371"/>
      <c r="M180" s="371"/>
      <c r="N180" s="371"/>
      <c r="O180" s="371"/>
      <c r="P180" s="371"/>
      <c r="Q180" s="371"/>
      <c r="R180" s="371"/>
      <c r="S180" s="371"/>
      <c r="T180" s="371"/>
      <c r="U180" s="371"/>
      <c r="V180" s="371"/>
      <c r="W180" s="371"/>
      <c r="X180" s="371"/>
      <c r="Y180" s="371"/>
      <c r="Z180" s="371"/>
    </row>
    <row r="181">
      <c r="A181" s="371"/>
      <c r="B181" s="371"/>
      <c r="C181" s="371"/>
      <c r="D181" s="372"/>
      <c r="E181" s="371"/>
      <c r="F181" s="371"/>
      <c r="G181" s="371"/>
      <c r="H181" s="371"/>
      <c r="I181" s="371"/>
      <c r="J181" s="371"/>
      <c r="K181" s="371"/>
      <c r="L181" s="371"/>
      <c r="M181" s="371"/>
      <c r="N181" s="371"/>
      <c r="O181" s="371"/>
      <c r="P181" s="371"/>
      <c r="Q181" s="371"/>
      <c r="R181" s="371"/>
      <c r="S181" s="371"/>
      <c r="T181" s="371"/>
      <c r="U181" s="371"/>
      <c r="V181" s="371"/>
      <c r="W181" s="371"/>
      <c r="X181" s="371"/>
      <c r="Y181" s="371"/>
      <c r="Z181" s="371"/>
    </row>
    <row r="182">
      <c r="A182" s="371"/>
      <c r="B182" s="371"/>
      <c r="C182" s="371"/>
      <c r="D182" s="372"/>
      <c r="E182" s="371"/>
      <c r="F182" s="371"/>
      <c r="G182" s="371"/>
      <c r="H182" s="371"/>
      <c r="I182" s="371"/>
      <c r="J182" s="371"/>
      <c r="K182" s="371"/>
      <c r="L182" s="371"/>
      <c r="M182" s="371"/>
      <c r="N182" s="371"/>
      <c r="O182" s="371"/>
      <c r="P182" s="371"/>
      <c r="Q182" s="371"/>
      <c r="R182" s="371"/>
      <c r="S182" s="371"/>
      <c r="T182" s="371"/>
      <c r="U182" s="371"/>
      <c r="V182" s="371"/>
      <c r="W182" s="371"/>
      <c r="X182" s="371"/>
      <c r="Y182" s="371"/>
      <c r="Z182" s="371"/>
    </row>
    <row r="183">
      <c r="A183" s="371"/>
      <c r="B183" s="371"/>
      <c r="C183" s="371"/>
      <c r="D183" s="372"/>
      <c r="E183" s="371"/>
      <c r="F183" s="371"/>
      <c r="G183" s="371"/>
      <c r="H183" s="371"/>
      <c r="I183" s="371"/>
      <c r="J183" s="371"/>
      <c r="K183" s="371"/>
      <c r="L183" s="371"/>
      <c r="M183" s="371"/>
      <c r="N183" s="371"/>
      <c r="O183" s="371"/>
      <c r="P183" s="371"/>
      <c r="Q183" s="371"/>
      <c r="R183" s="371"/>
      <c r="S183" s="371"/>
      <c r="T183" s="371"/>
      <c r="U183" s="371"/>
      <c r="V183" s="371"/>
      <c r="W183" s="371"/>
      <c r="X183" s="371"/>
      <c r="Y183" s="371"/>
      <c r="Z183" s="371"/>
    </row>
    <row r="184">
      <c r="A184" s="371"/>
      <c r="B184" s="371"/>
      <c r="C184" s="371"/>
      <c r="D184" s="372"/>
      <c r="E184" s="371"/>
      <c r="F184" s="371"/>
      <c r="G184" s="371"/>
      <c r="H184" s="371"/>
      <c r="I184" s="371"/>
      <c r="J184" s="371"/>
      <c r="K184" s="371"/>
      <c r="L184" s="371"/>
      <c r="M184" s="371"/>
      <c r="N184" s="371"/>
      <c r="O184" s="371"/>
      <c r="P184" s="371"/>
      <c r="Q184" s="371"/>
      <c r="R184" s="371"/>
      <c r="S184" s="371"/>
      <c r="T184" s="371"/>
      <c r="U184" s="371"/>
      <c r="V184" s="371"/>
      <c r="W184" s="371"/>
      <c r="X184" s="371"/>
      <c r="Y184" s="371"/>
      <c r="Z184" s="371"/>
    </row>
    <row r="185">
      <c r="A185" s="371"/>
      <c r="B185" s="371"/>
      <c r="C185" s="371"/>
      <c r="D185" s="372"/>
      <c r="E185" s="371"/>
      <c r="F185" s="371"/>
      <c r="G185" s="371"/>
      <c r="H185" s="371"/>
      <c r="I185" s="371"/>
      <c r="J185" s="371"/>
      <c r="K185" s="371"/>
      <c r="L185" s="371"/>
      <c r="M185" s="371"/>
      <c r="N185" s="371"/>
      <c r="O185" s="371"/>
      <c r="P185" s="371"/>
      <c r="Q185" s="371"/>
      <c r="R185" s="371"/>
      <c r="S185" s="371"/>
      <c r="T185" s="371"/>
      <c r="U185" s="371"/>
      <c r="V185" s="371"/>
      <c r="W185" s="371"/>
      <c r="X185" s="371"/>
      <c r="Y185" s="371"/>
      <c r="Z185" s="371"/>
    </row>
    <row r="186">
      <c r="A186" s="371"/>
      <c r="B186" s="371"/>
      <c r="C186" s="371"/>
      <c r="D186" s="372"/>
      <c r="E186" s="371"/>
      <c r="F186" s="371"/>
      <c r="G186" s="371"/>
      <c r="H186" s="371"/>
      <c r="I186" s="371"/>
      <c r="J186" s="371"/>
      <c r="K186" s="371"/>
      <c r="L186" s="371"/>
      <c r="M186" s="371"/>
      <c r="N186" s="371"/>
      <c r="O186" s="371"/>
      <c r="P186" s="371"/>
      <c r="Q186" s="371"/>
      <c r="R186" s="371"/>
      <c r="S186" s="371"/>
      <c r="T186" s="371"/>
      <c r="U186" s="371"/>
      <c r="V186" s="371"/>
      <c r="W186" s="371"/>
      <c r="X186" s="371"/>
      <c r="Y186" s="371"/>
      <c r="Z186" s="371"/>
    </row>
    <row r="187">
      <c r="A187" s="371"/>
      <c r="B187" s="371"/>
      <c r="C187" s="371"/>
      <c r="D187" s="372"/>
      <c r="E187" s="371"/>
      <c r="F187" s="371"/>
      <c r="G187" s="371"/>
      <c r="H187" s="371"/>
      <c r="I187" s="371"/>
      <c r="J187" s="371"/>
      <c r="K187" s="371"/>
      <c r="L187" s="371"/>
      <c r="M187" s="371"/>
      <c r="N187" s="371"/>
      <c r="O187" s="371"/>
      <c r="P187" s="371"/>
      <c r="Q187" s="371"/>
      <c r="R187" s="371"/>
      <c r="S187" s="371"/>
      <c r="T187" s="371"/>
      <c r="U187" s="371"/>
      <c r="V187" s="371"/>
      <c r="W187" s="371"/>
      <c r="X187" s="371"/>
      <c r="Y187" s="371"/>
      <c r="Z187" s="371"/>
    </row>
    <row r="188">
      <c r="A188" s="371"/>
      <c r="B188" s="371"/>
      <c r="C188" s="371"/>
      <c r="D188" s="372"/>
      <c r="E188" s="371"/>
      <c r="F188" s="371"/>
      <c r="G188" s="371"/>
      <c r="H188" s="371"/>
      <c r="I188" s="371"/>
      <c r="J188" s="371"/>
      <c r="K188" s="371"/>
      <c r="L188" s="371"/>
      <c r="M188" s="371"/>
      <c r="N188" s="371"/>
      <c r="O188" s="371"/>
      <c r="P188" s="371"/>
      <c r="Q188" s="371"/>
      <c r="R188" s="371"/>
      <c r="S188" s="371"/>
      <c r="T188" s="371"/>
      <c r="U188" s="371"/>
      <c r="V188" s="371"/>
      <c r="W188" s="371"/>
      <c r="X188" s="371"/>
      <c r="Y188" s="371"/>
      <c r="Z188" s="371"/>
    </row>
    <row r="189">
      <c r="A189" s="371"/>
      <c r="B189" s="371"/>
      <c r="C189" s="371"/>
      <c r="D189" s="372"/>
      <c r="E189" s="371"/>
      <c r="F189" s="371"/>
      <c r="G189" s="371"/>
      <c r="H189" s="371"/>
      <c r="I189" s="371"/>
      <c r="J189" s="371"/>
      <c r="K189" s="371"/>
      <c r="L189" s="371"/>
      <c r="M189" s="371"/>
      <c r="N189" s="371"/>
      <c r="O189" s="371"/>
      <c r="P189" s="371"/>
      <c r="Q189" s="371"/>
      <c r="R189" s="371"/>
      <c r="S189" s="371"/>
      <c r="T189" s="371"/>
      <c r="U189" s="371"/>
      <c r="V189" s="371"/>
      <c r="W189" s="371"/>
      <c r="X189" s="371"/>
      <c r="Y189" s="371"/>
      <c r="Z189" s="371"/>
    </row>
    <row r="190">
      <c r="A190" s="371"/>
      <c r="B190" s="371"/>
      <c r="C190" s="371"/>
      <c r="D190" s="372"/>
      <c r="E190" s="371"/>
      <c r="F190" s="371"/>
      <c r="G190" s="371"/>
      <c r="H190" s="371"/>
      <c r="I190" s="371"/>
      <c r="J190" s="371"/>
      <c r="K190" s="371"/>
      <c r="L190" s="371"/>
      <c r="M190" s="371"/>
      <c r="N190" s="371"/>
      <c r="O190" s="371"/>
      <c r="P190" s="371"/>
      <c r="Q190" s="371"/>
      <c r="R190" s="371"/>
      <c r="S190" s="371"/>
      <c r="T190" s="371"/>
      <c r="U190" s="371"/>
      <c r="V190" s="371"/>
      <c r="W190" s="371"/>
      <c r="X190" s="371"/>
      <c r="Y190" s="371"/>
      <c r="Z190" s="371"/>
    </row>
    <row r="191">
      <c r="A191" s="371"/>
      <c r="B191" s="371"/>
      <c r="C191" s="371"/>
      <c r="D191" s="372"/>
      <c r="E191" s="371"/>
      <c r="F191" s="371"/>
      <c r="G191" s="371"/>
      <c r="H191" s="371"/>
      <c r="I191" s="371"/>
      <c r="J191" s="371"/>
      <c r="K191" s="371"/>
      <c r="L191" s="371"/>
      <c r="M191" s="371"/>
      <c r="N191" s="371"/>
      <c r="O191" s="371"/>
      <c r="P191" s="371"/>
      <c r="Q191" s="371"/>
      <c r="R191" s="371"/>
      <c r="S191" s="371"/>
      <c r="T191" s="371"/>
      <c r="U191" s="371"/>
      <c r="V191" s="371"/>
      <c r="W191" s="371"/>
      <c r="X191" s="371"/>
      <c r="Y191" s="371"/>
      <c r="Z191" s="371"/>
    </row>
    <row r="192">
      <c r="A192" s="371"/>
      <c r="B192" s="371"/>
      <c r="C192" s="371"/>
      <c r="D192" s="372"/>
      <c r="E192" s="371"/>
      <c r="F192" s="371"/>
      <c r="G192" s="371"/>
      <c r="H192" s="371"/>
      <c r="I192" s="371"/>
      <c r="J192" s="371"/>
      <c r="K192" s="371"/>
      <c r="L192" s="371"/>
      <c r="M192" s="371"/>
      <c r="N192" s="371"/>
      <c r="O192" s="371"/>
      <c r="P192" s="371"/>
      <c r="Q192" s="371"/>
      <c r="R192" s="371"/>
      <c r="S192" s="371"/>
      <c r="T192" s="371"/>
      <c r="U192" s="371"/>
      <c r="V192" s="371"/>
      <c r="W192" s="371"/>
      <c r="X192" s="371"/>
      <c r="Y192" s="371"/>
      <c r="Z192" s="371"/>
    </row>
    <row r="193">
      <c r="A193" s="371"/>
      <c r="B193" s="371"/>
      <c r="C193" s="371"/>
      <c r="D193" s="372"/>
      <c r="E193" s="371"/>
      <c r="F193" s="371"/>
      <c r="G193" s="371"/>
      <c r="H193" s="371"/>
      <c r="I193" s="371"/>
      <c r="J193" s="371"/>
      <c r="K193" s="371"/>
      <c r="L193" s="371"/>
      <c r="M193" s="371"/>
      <c r="N193" s="371"/>
      <c r="O193" s="371"/>
      <c r="P193" s="371"/>
      <c r="Q193" s="371"/>
      <c r="R193" s="371"/>
      <c r="S193" s="371"/>
      <c r="T193" s="371"/>
      <c r="U193" s="371"/>
      <c r="V193" s="371"/>
      <c r="W193" s="371"/>
      <c r="X193" s="371"/>
      <c r="Y193" s="371"/>
      <c r="Z193" s="371"/>
    </row>
    <row r="194">
      <c r="A194" s="371"/>
      <c r="B194" s="371"/>
      <c r="C194" s="371"/>
      <c r="D194" s="372"/>
      <c r="E194" s="371"/>
      <c r="F194" s="371"/>
      <c r="G194" s="371"/>
      <c r="H194" s="371"/>
      <c r="I194" s="371"/>
      <c r="J194" s="371"/>
      <c r="K194" s="371"/>
      <c r="L194" s="371"/>
      <c r="M194" s="371"/>
      <c r="N194" s="371"/>
      <c r="O194" s="371"/>
      <c r="P194" s="371"/>
      <c r="Q194" s="371"/>
      <c r="R194" s="371"/>
      <c r="S194" s="371"/>
      <c r="T194" s="371"/>
      <c r="U194" s="371"/>
      <c r="V194" s="371"/>
      <c r="W194" s="371"/>
      <c r="X194" s="371"/>
      <c r="Y194" s="371"/>
      <c r="Z194" s="371"/>
    </row>
    <row r="195">
      <c r="A195" s="371"/>
      <c r="B195" s="371"/>
      <c r="C195" s="371"/>
      <c r="D195" s="372"/>
      <c r="E195" s="371"/>
      <c r="F195" s="371"/>
      <c r="G195" s="371"/>
      <c r="H195" s="371"/>
      <c r="I195" s="371"/>
      <c r="J195" s="371"/>
      <c r="K195" s="371"/>
      <c r="L195" s="371"/>
      <c r="M195" s="371"/>
      <c r="N195" s="371"/>
      <c r="O195" s="371"/>
      <c r="P195" s="371"/>
      <c r="Q195" s="371"/>
      <c r="R195" s="371"/>
      <c r="S195" s="371"/>
      <c r="T195" s="371"/>
      <c r="U195" s="371"/>
      <c r="V195" s="371"/>
      <c r="W195" s="371"/>
      <c r="X195" s="371"/>
      <c r="Y195" s="371"/>
      <c r="Z195" s="371"/>
    </row>
    <row r="196">
      <c r="A196" s="371"/>
      <c r="B196" s="371"/>
      <c r="C196" s="371"/>
      <c r="D196" s="372"/>
      <c r="E196" s="371"/>
      <c r="F196" s="371"/>
      <c r="G196" s="371"/>
      <c r="H196" s="371"/>
      <c r="I196" s="371"/>
      <c r="J196" s="371"/>
      <c r="K196" s="371"/>
      <c r="L196" s="371"/>
      <c r="M196" s="371"/>
      <c r="N196" s="371"/>
      <c r="O196" s="371"/>
      <c r="P196" s="371"/>
      <c r="Q196" s="371"/>
      <c r="R196" s="371"/>
      <c r="S196" s="371"/>
      <c r="T196" s="371"/>
      <c r="U196" s="371"/>
      <c r="V196" s="371"/>
      <c r="W196" s="371"/>
      <c r="X196" s="371"/>
      <c r="Y196" s="371"/>
      <c r="Z196" s="371"/>
    </row>
    <row r="197">
      <c r="A197" s="371"/>
      <c r="B197" s="371"/>
      <c r="C197" s="371"/>
      <c r="D197" s="372"/>
      <c r="E197" s="371"/>
      <c r="F197" s="371"/>
      <c r="G197" s="371"/>
      <c r="H197" s="371"/>
      <c r="I197" s="371"/>
      <c r="J197" s="371"/>
      <c r="K197" s="371"/>
      <c r="L197" s="371"/>
      <c r="M197" s="371"/>
      <c r="N197" s="371"/>
      <c r="O197" s="371"/>
      <c r="P197" s="371"/>
      <c r="Q197" s="371"/>
      <c r="R197" s="371"/>
      <c r="S197" s="371"/>
      <c r="T197" s="371"/>
      <c r="U197" s="371"/>
      <c r="V197" s="371"/>
      <c r="W197" s="371"/>
      <c r="X197" s="371"/>
      <c r="Y197" s="371"/>
      <c r="Z197" s="371"/>
    </row>
    <row r="198">
      <c r="A198" s="371"/>
      <c r="B198" s="371"/>
      <c r="C198" s="371"/>
      <c r="D198" s="372"/>
      <c r="E198" s="371"/>
      <c r="F198" s="371"/>
      <c r="G198" s="371"/>
      <c r="H198" s="371"/>
      <c r="I198" s="371"/>
      <c r="J198" s="371"/>
      <c r="K198" s="371"/>
      <c r="L198" s="371"/>
      <c r="M198" s="371"/>
      <c r="N198" s="371"/>
      <c r="O198" s="371"/>
      <c r="P198" s="371"/>
      <c r="Q198" s="371"/>
      <c r="R198" s="371"/>
      <c r="S198" s="371"/>
      <c r="T198" s="371"/>
      <c r="U198" s="371"/>
      <c r="V198" s="371"/>
      <c r="W198" s="371"/>
      <c r="X198" s="371"/>
      <c r="Y198" s="371"/>
      <c r="Z198" s="371"/>
    </row>
    <row r="199">
      <c r="A199" s="371"/>
      <c r="B199" s="371"/>
      <c r="C199" s="371"/>
      <c r="D199" s="372"/>
      <c r="E199" s="371"/>
      <c r="F199" s="371"/>
      <c r="G199" s="371"/>
      <c r="H199" s="371"/>
      <c r="I199" s="371"/>
      <c r="J199" s="371"/>
      <c r="K199" s="371"/>
      <c r="L199" s="371"/>
      <c r="M199" s="371"/>
      <c r="N199" s="371"/>
      <c r="O199" s="371"/>
      <c r="P199" s="371"/>
      <c r="Q199" s="371"/>
      <c r="R199" s="371"/>
      <c r="S199" s="371"/>
      <c r="T199" s="371"/>
      <c r="U199" s="371"/>
      <c r="V199" s="371"/>
      <c r="W199" s="371"/>
      <c r="X199" s="371"/>
      <c r="Y199" s="371"/>
      <c r="Z199" s="371"/>
    </row>
    <row r="200">
      <c r="A200" s="371"/>
      <c r="B200" s="371"/>
      <c r="C200" s="371"/>
      <c r="D200" s="372"/>
      <c r="E200" s="371"/>
      <c r="F200" s="371"/>
      <c r="G200" s="371"/>
      <c r="H200" s="371"/>
      <c r="I200" s="371"/>
      <c r="J200" s="371"/>
      <c r="K200" s="371"/>
      <c r="L200" s="371"/>
      <c r="M200" s="371"/>
      <c r="N200" s="371"/>
      <c r="O200" s="371"/>
      <c r="P200" s="371"/>
      <c r="Q200" s="371"/>
      <c r="R200" s="371"/>
      <c r="S200" s="371"/>
      <c r="T200" s="371"/>
      <c r="U200" s="371"/>
      <c r="V200" s="371"/>
      <c r="W200" s="371"/>
      <c r="X200" s="371"/>
      <c r="Y200" s="371"/>
      <c r="Z200" s="371"/>
    </row>
    <row r="201">
      <c r="A201" s="371"/>
      <c r="B201" s="371"/>
      <c r="C201" s="371"/>
      <c r="D201" s="372"/>
      <c r="E201" s="371"/>
      <c r="F201" s="371"/>
      <c r="G201" s="371"/>
      <c r="H201" s="371"/>
      <c r="I201" s="371"/>
      <c r="J201" s="371"/>
      <c r="K201" s="371"/>
      <c r="L201" s="371"/>
      <c r="M201" s="371"/>
      <c r="N201" s="371"/>
      <c r="O201" s="371"/>
      <c r="P201" s="371"/>
      <c r="Q201" s="371"/>
      <c r="R201" s="371"/>
      <c r="S201" s="371"/>
      <c r="T201" s="371"/>
      <c r="U201" s="371"/>
      <c r="V201" s="371"/>
      <c r="W201" s="371"/>
      <c r="X201" s="371"/>
      <c r="Y201" s="371"/>
      <c r="Z201" s="371"/>
    </row>
    <row r="202">
      <c r="A202" s="371"/>
      <c r="B202" s="371"/>
      <c r="C202" s="371"/>
      <c r="D202" s="372"/>
      <c r="E202" s="371"/>
      <c r="F202" s="371"/>
      <c r="G202" s="371"/>
      <c r="H202" s="371"/>
      <c r="I202" s="371"/>
      <c r="J202" s="371"/>
      <c r="K202" s="371"/>
      <c r="L202" s="371"/>
      <c r="M202" s="371"/>
      <c r="N202" s="371"/>
      <c r="O202" s="371"/>
      <c r="P202" s="371"/>
      <c r="Q202" s="371"/>
      <c r="R202" s="371"/>
      <c r="S202" s="371"/>
      <c r="T202" s="371"/>
      <c r="U202" s="371"/>
      <c r="V202" s="371"/>
      <c r="W202" s="371"/>
      <c r="X202" s="371"/>
      <c r="Y202" s="371"/>
      <c r="Z202" s="371"/>
    </row>
    <row r="203">
      <c r="A203" s="371"/>
      <c r="B203" s="371"/>
      <c r="C203" s="371"/>
      <c r="D203" s="372"/>
      <c r="E203" s="371"/>
      <c r="F203" s="371"/>
      <c r="G203" s="371"/>
      <c r="H203" s="371"/>
      <c r="I203" s="371"/>
      <c r="J203" s="371"/>
      <c r="K203" s="371"/>
      <c r="L203" s="371"/>
      <c r="M203" s="371"/>
      <c r="N203" s="371"/>
      <c r="O203" s="371"/>
      <c r="P203" s="371"/>
      <c r="Q203" s="371"/>
      <c r="R203" s="371"/>
      <c r="S203" s="371"/>
      <c r="T203" s="371"/>
      <c r="U203" s="371"/>
      <c r="V203" s="371"/>
      <c r="W203" s="371"/>
      <c r="X203" s="371"/>
      <c r="Y203" s="371"/>
      <c r="Z203" s="371"/>
    </row>
    <row r="204">
      <c r="A204" s="371"/>
      <c r="B204" s="371"/>
      <c r="C204" s="371"/>
      <c r="D204" s="372"/>
      <c r="E204" s="371"/>
      <c r="F204" s="371"/>
      <c r="G204" s="371"/>
      <c r="H204" s="371"/>
      <c r="I204" s="371"/>
      <c r="J204" s="371"/>
      <c r="K204" s="371"/>
      <c r="L204" s="371"/>
      <c r="M204" s="371"/>
      <c r="N204" s="371"/>
      <c r="O204" s="371"/>
      <c r="P204" s="371"/>
      <c r="Q204" s="371"/>
      <c r="R204" s="371"/>
      <c r="S204" s="371"/>
      <c r="T204" s="371"/>
      <c r="U204" s="371"/>
      <c r="V204" s="371"/>
      <c r="W204" s="371"/>
      <c r="X204" s="371"/>
      <c r="Y204" s="371"/>
      <c r="Z204" s="371"/>
    </row>
    <row r="205">
      <c r="A205" s="371"/>
      <c r="B205" s="371"/>
      <c r="C205" s="371"/>
      <c r="D205" s="372"/>
      <c r="E205" s="371"/>
      <c r="F205" s="371"/>
      <c r="G205" s="371"/>
      <c r="H205" s="371"/>
      <c r="I205" s="371"/>
      <c r="J205" s="371"/>
      <c r="K205" s="371"/>
      <c r="L205" s="371"/>
      <c r="M205" s="371"/>
      <c r="N205" s="371"/>
      <c r="O205" s="371"/>
      <c r="P205" s="371"/>
      <c r="Q205" s="371"/>
      <c r="R205" s="371"/>
      <c r="S205" s="371"/>
      <c r="T205" s="371"/>
      <c r="U205" s="371"/>
      <c r="V205" s="371"/>
      <c r="W205" s="371"/>
      <c r="X205" s="371"/>
      <c r="Y205" s="371"/>
      <c r="Z205" s="371"/>
    </row>
    <row r="206">
      <c r="A206" s="371"/>
      <c r="B206" s="371"/>
      <c r="C206" s="371"/>
      <c r="D206" s="372"/>
      <c r="E206" s="371"/>
      <c r="F206" s="371"/>
      <c r="G206" s="371"/>
      <c r="H206" s="371"/>
      <c r="I206" s="371"/>
      <c r="J206" s="371"/>
      <c r="K206" s="371"/>
      <c r="L206" s="371"/>
      <c r="M206" s="371"/>
      <c r="N206" s="371"/>
      <c r="O206" s="371"/>
      <c r="P206" s="371"/>
      <c r="Q206" s="371"/>
      <c r="R206" s="371"/>
      <c r="S206" s="371"/>
      <c r="T206" s="371"/>
      <c r="U206" s="371"/>
      <c r="V206" s="371"/>
      <c r="W206" s="371"/>
      <c r="X206" s="371"/>
      <c r="Y206" s="371"/>
      <c r="Z206" s="371"/>
    </row>
    <row r="207">
      <c r="A207" s="371"/>
      <c r="B207" s="371"/>
      <c r="C207" s="371"/>
      <c r="D207" s="372"/>
      <c r="E207" s="371"/>
      <c r="F207" s="371"/>
      <c r="G207" s="371"/>
      <c r="H207" s="371"/>
      <c r="I207" s="371"/>
      <c r="J207" s="371"/>
      <c r="K207" s="371"/>
      <c r="L207" s="371"/>
      <c r="M207" s="371"/>
      <c r="N207" s="371"/>
      <c r="O207" s="371"/>
      <c r="P207" s="371"/>
      <c r="Q207" s="371"/>
      <c r="R207" s="371"/>
      <c r="S207" s="371"/>
      <c r="T207" s="371"/>
      <c r="U207" s="371"/>
      <c r="V207" s="371"/>
      <c r="W207" s="371"/>
      <c r="X207" s="371"/>
      <c r="Y207" s="371"/>
      <c r="Z207" s="371"/>
    </row>
    <row r="208">
      <c r="A208" s="371"/>
      <c r="B208" s="371"/>
      <c r="C208" s="371"/>
      <c r="D208" s="372"/>
      <c r="E208" s="371"/>
      <c r="F208" s="371"/>
      <c r="G208" s="371"/>
      <c r="H208" s="371"/>
      <c r="I208" s="371"/>
      <c r="J208" s="371"/>
      <c r="K208" s="371"/>
      <c r="L208" s="371"/>
      <c r="M208" s="371"/>
      <c r="N208" s="371"/>
      <c r="O208" s="371"/>
      <c r="P208" s="371"/>
      <c r="Q208" s="371"/>
      <c r="R208" s="371"/>
      <c r="S208" s="371"/>
      <c r="T208" s="371"/>
      <c r="U208" s="371"/>
      <c r="V208" s="371"/>
      <c r="W208" s="371"/>
      <c r="X208" s="371"/>
      <c r="Y208" s="371"/>
      <c r="Z208" s="371"/>
    </row>
    <row r="209">
      <c r="A209" s="371"/>
      <c r="B209" s="371"/>
      <c r="C209" s="371"/>
      <c r="D209" s="372"/>
      <c r="E209" s="371"/>
      <c r="F209" s="371"/>
      <c r="G209" s="371"/>
      <c r="H209" s="371"/>
      <c r="I209" s="371"/>
      <c r="J209" s="371"/>
      <c r="K209" s="371"/>
      <c r="L209" s="371"/>
      <c r="M209" s="371"/>
      <c r="N209" s="371"/>
      <c r="O209" s="371"/>
      <c r="P209" s="371"/>
      <c r="Q209" s="371"/>
      <c r="R209" s="371"/>
      <c r="S209" s="371"/>
      <c r="T209" s="371"/>
      <c r="U209" s="371"/>
      <c r="V209" s="371"/>
      <c r="W209" s="371"/>
      <c r="X209" s="371"/>
      <c r="Y209" s="371"/>
      <c r="Z209" s="371"/>
    </row>
    <row r="210">
      <c r="A210" s="371"/>
      <c r="B210" s="371"/>
      <c r="C210" s="371"/>
      <c r="D210" s="372"/>
      <c r="E210" s="371"/>
      <c r="F210" s="371"/>
      <c r="G210" s="371"/>
      <c r="H210" s="371"/>
      <c r="I210" s="371"/>
      <c r="J210" s="371"/>
      <c r="K210" s="371"/>
      <c r="L210" s="371"/>
      <c r="M210" s="371"/>
      <c r="N210" s="371"/>
      <c r="O210" s="371"/>
      <c r="P210" s="371"/>
      <c r="Q210" s="371"/>
      <c r="R210" s="371"/>
      <c r="S210" s="371"/>
      <c r="T210" s="371"/>
      <c r="U210" s="371"/>
      <c r="V210" s="371"/>
      <c r="W210" s="371"/>
      <c r="X210" s="371"/>
      <c r="Y210" s="371"/>
      <c r="Z210" s="371"/>
    </row>
    <row r="211">
      <c r="A211" s="371"/>
      <c r="B211" s="371"/>
      <c r="C211" s="371"/>
      <c r="D211" s="372"/>
      <c r="E211" s="371"/>
      <c r="F211" s="371"/>
      <c r="G211" s="371"/>
      <c r="H211" s="371"/>
      <c r="I211" s="371"/>
      <c r="J211" s="371"/>
      <c r="K211" s="371"/>
      <c r="L211" s="371"/>
      <c r="M211" s="371"/>
      <c r="N211" s="371"/>
      <c r="O211" s="371"/>
      <c r="P211" s="371"/>
      <c r="Q211" s="371"/>
      <c r="R211" s="371"/>
      <c r="S211" s="371"/>
      <c r="T211" s="371"/>
      <c r="U211" s="371"/>
      <c r="V211" s="371"/>
      <c r="W211" s="371"/>
      <c r="X211" s="371"/>
      <c r="Y211" s="371"/>
      <c r="Z211" s="371"/>
    </row>
    <row r="212">
      <c r="A212" s="371"/>
      <c r="B212" s="371"/>
      <c r="C212" s="371"/>
      <c r="D212" s="372"/>
      <c r="E212" s="371"/>
      <c r="F212" s="371"/>
      <c r="G212" s="371"/>
      <c r="H212" s="371"/>
      <c r="I212" s="371"/>
      <c r="J212" s="371"/>
      <c r="K212" s="371"/>
      <c r="L212" s="371"/>
      <c r="M212" s="371"/>
      <c r="N212" s="371"/>
      <c r="O212" s="371"/>
      <c r="P212" s="371"/>
      <c r="Q212" s="371"/>
      <c r="R212" s="371"/>
      <c r="S212" s="371"/>
      <c r="T212" s="371"/>
      <c r="U212" s="371"/>
      <c r="V212" s="371"/>
      <c r="W212" s="371"/>
      <c r="X212" s="371"/>
      <c r="Y212" s="371"/>
      <c r="Z212" s="371"/>
    </row>
    <row r="213">
      <c r="A213" s="371"/>
      <c r="B213" s="371"/>
      <c r="C213" s="371"/>
      <c r="D213" s="372"/>
      <c r="E213" s="371"/>
      <c r="F213" s="371"/>
      <c r="G213" s="371"/>
      <c r="H213" s="371"/>
      <c r="I213" s="371"/>
      <c r="J213" s="371"/>
      <c r="K213" s="371"/>
      <c r="L213" s="371"/>
      <c r="M213" s="371"/>
      <c r="N213" s="371"/>
      <c r="O213" s="371"/>
      <c r="P213" s="371"/>
      <c r="Q213" s="371"/>
      <c r="R213" s="371"/>
      <c r="S213" s="371"/>
      <c r="T213" s="371"/>
      <c r="U213" s="371"/>
      <c r="V213" s="371"/>
      <c r="W213" s="371"/>
      <c r="X213" s="371"/>
      <c r="Y213" s="371"/>
      <c r="Z213" s="371"/>
    </row>
    <row r="214">
      <c r="A214" s="371"/>
      <c r="B214" s="371"/>
      <c r="C214" s="371"/>
      <c r="D214" s="372"/>
      <c r="E214" s="371"/>
      <c r="F214" s="371"/>
      <c r="G214" s="371"/>
      <c r="H214" s="371"/>
      <c r="I214" s="371"/>
      <c r="J214" s="371"/>
      <c r="K214" s="371"/>
      <c r="L214" s="371"/>
      <c r="M214" s="371"/>
      <c r="N214" s="371"/>
      <c r="O214" s="371"/>
      <c r="P214" s="371"/>
      <c r="Q214" s="371"/>
      <c r="R214" s="371"/>
      <c r="S214" s="371"/>
      <c r="T214" s="371"/>
      <c r="U214" s="371"/>
      <c r="V214" s="371"/>
      <c r="W214" s="371"/>
      <c r="X214" s="371"/>
      <c r="Y214" s="371"/>
      <c r="Z214" s="371"/>
    </row>
    <row r="215">
      <c r="A215" s="371"/>
      <c r="B215" s="371"/>
      <c r="C215" s="371"/>
      <c r="D215" s="372"/>
      <c r="E215" s="371"/>
      <c r="F215" s="371"/>
      <c r="G215" s="371"/>
      <c r="H215" s="371"/>
      <c r="I215" s="371"/>
      <c r="J215" s="371"/>
      <c r="K215" s="371"/>
      <c r="L215" s="371"/>
      <c r="M215" s="371"/>
      <c r="N215" s="371"/>
      <c r="O215" s="371"/>
      <c r="P215" s="371"/>
      <c r="Q215" s="371"/>
      <c r="R215" s="371"/>
      <c r="S215" s="371"/>
      <c r="T215" s="371"/>
      <c r="U215" s="371"/>
      <c r="V215" s="371"/>
      <c r="W215" s="371"/>
      <c r="X215" s="371"/>
      <c r="Y215" s="371"/>
      <c r="Z215" s="371"/>
    </row>
    <row r="216">
      <c r="A216" s="371"/>
      <c r="B216" s="371"/>
      <c r="C216" s="371"/>
      <c r="D216" s="372"/>
      <c r="E216" s="371"/>
      <c r="F216" s="371"/>
      <c r="G216" s="371"/>
      <c r="H216" s="371"/>
      <c r="I216" s="371"/>
      <c r="J216" s="371"/>
      <c r="K216" s="371"/>
      <c r="L216" s="371"/>
      <c r="M216" s="371"/>
      <c r="N216" s="371"/>
      <c r="O216" s="371"/>
      <c r="P216" s="371"/>
      <c r="Q216" s="371"/>
      <c r="R216" s="371"/>
      <c r="S216" s="371"/>
      <c r="T216" s="371"/>
      <c r="U216" s="371"/>
      <c r="V216" s="371"/>
      <c r="W216" s="371"/>
      <c r="X216" s="371"/>
      <c r="Y216" s="371"/>
      <c r="Z216" s="371"/>
    </row>
    <row r="217">
      <c r="A217" s="371"/>
      <c r="B217" s="371"/>
      <c r="C217" s="371"/>
      <c r="D217" s="372"/>
      <c r="E217" s="371"/>
      <c r="F217" s="371"/>
      <c r="G217" s="371"/>
      <c r="H217" s="371"/>
      <c r="I217" s="371"/>
      <c r="J217" s="371"/>
      <c r="K217" s="371"/>
      <c r="L217" s="371"/>
      <c r="M217" s="371"/>
      <c r="N217" s="371"/>
      <c r="O217" s="371"/>
      <c r="P217" s="371"/>
      <c r="Q217" s="371"/>
      <c r="R217" s="371"/>
      <c r="S217" s="371"/>
      <c r="T217" s="371"/>
      <c r="U217" s="371"/>
      <c r="V217" s="371"/>
      <c r="W217" s="371"/>
      <c r="X217" s="371"/>
      <c r="Y217" s="371"/>
      <c r="Z217" s="371"/>
    </row>
    <row r="218">
      <c r="A218" s="371"/>
      <c r="B218" s="371"/>
      <c r="C218" s="371"/>
      <c r="D218" s="372"/>
      <c r="E218" s="371"/>
      <c r="F218" s="371"/>
      <c r="G218" s="371"/>
      <c r="H218" s="371"/>
      <c r="I218" s="371"/>
      <c r="J218" s="371"/>
      <c r="K218" s="371"/>
      <c r="L218" s="371"/>
      <c r="M218" s="371"/>
      <c r="N218" s="371"/>
      <c r="O218" s="371"/>
      <c r="P218" s="371"/>
      <c r="Q218" s="371"/>
      <c r="R218" s="371"/>
      <c r="S218" s="371"/>
      <c r="T218" s="371"/>
      <c r="U218" s="371"/>
      <c r="V218" s="371"/>
      <c r="W218" s="371"/>
      <c r="X218" s="371"/>
      <c r="Y218" s="371"/>
      <c r="Z218" s="371"/>
    </row>
    <row r="219">
      <c r="A219" s="371"/>
      <c r="B219" s="371"/>
      <c r="C219" s="371"/>
      <c r="D219" s="372"/>
      <c r="E219" s="371"/>
      <c r="F219" s="371"/>
      <c r="G219" s="371"/>
      <c r="H219" s="371"/>
      <c r="I219" s="371"/>
      <c r="J219" s="371"/>
      <c r="K219" s="371"/>
      <c r="L219" s="371"/>
      <c r="M219" s="371"/>
      <c r="N219" s="371"/>
      <c r="O219" s="371"/>
      <c r="P219" s="371"/>
      <c r="Q219" s="371"/>
      <c r="R219" s="371"/>
      <c r="S219" s="371"/>
      <c r="T219" s="371"/>
      <c r="U219" s="371"/>
      <c r="V219" s="371"/>
      <c r="W219" s="371"/>
      <c r="X219" s="371"/>
      <c r="Y219" s="371"/>
      <c r="Z219" s="371"/>
    </row>
    <row r="220">
      <c r="A220" s="371"/>
      <c r="B220" s="371"/>
      <c r="C220" s="371"/>
      <c r="D220" s="372"/>
      <c r="E220" s="371"/>
      <c r="F220" s="371"/>
      <c r="G220" s="371"/>
      <c r="H220" s="371"/>
      <c r="I220" s="371"/>
      <c r="J220" s="371"/>
      <c r="K220" s="371"/>
      <c r="L220" s="371"/>
      <c r="M220" s="371"/>
      <c r="N220" s="371"/>
      <c r="O220" s="371"/>
      <c r="P220" s="371"/>
      <c r="Q220" s="371"/>
      <c r="R220" s="371"/>
      <c r="S220" s="371"/>
      <c r="T220" s="371"/>
      <c r="U220" s="371"/>
      <c r="V220" s="371"/>
      <c r="W220" s="371"/>
      <c r="X220" s="371"/>
      <c r="Y220" s="371"/>
      <c r="Z220" s="371"/>
    </row>
    <row r="221">
      <c r="A221" s="371"/>
      <c r="B221" s="371"/>
      <c r="C221" s="371"/>
      <c r="D221" s="372"/>
      <c r="E221" s="371"/>
      <c r="F221" s="371"/>
      <c r="G221" s="371"/>
      <c r="H221" s="371"/>
      <c r="I221" s="371"/>
      <c r="J221" s="371"/>
      <c r="K221" s="371"/>
      <c r="L221" s="371"/>
      <c r="M221" s="371"/>
      <c r="N221" s="371"/>
      <c r="O221" s="371"/>
      <c r="P221" s="371"/>
      <c r="Q221" s="371"/>
      <c r="R221" s="371"/>
      <c r="S221" s="371"/>
      <c r="T221" s="371"/>
      <c r="U221" s="371"/>
      <c r="V221" s="371"/>
      <c r="W221" s="371"/>
      <c r="X221" s="371"/>
      <c r="Y221" s="371"/>
      <c r="Z221" s="371"/>
    </row>
    <row r="222">
      <c r="A222" s="371"/>
      <c r="B222" s="371"/>
      <c r="C222" s="371"/>
      <c r="D222" s="372"/>
      <c r="E222" s="371"/>
      <c r="F222" s="371"/>
      <c r="G222" s="371"/>
      <c r="H222" s="371"/>
      <c r="I222" s="371"/>
      <c r="J222" s="371"/>
      <c r="K222" s="371"/>
      <c r="L222" s="371"/>
      <c r="M222" s="371"/>
      <c r="N222" s="371"/>
      <c r="O222" s="371"/>
      <c r="P222" s="371"/>
      <c r="Q222" s="371"/>
      <c r="R222" s="371"/>
      <c r="S222" s="371"/>
      <c r="T222" s="371"/>
      <c r="U222" s="371"/>
      <c r="V222" s="371"/>
      <c r="W222" s="371"/>
      <c r="X222" s="371"/>
      <c r="Y222" s="371"/>
      <c r="Z222" s="371"/>
    </row>
    <row r="223">
      <c r="A223" s="371"/>
      <c r="B223" s="371"/>
      <c r="C223" s="371"/>
      <c r="D223" s="372"/>
      <c r="E223" s="371"/>
      <c r="F223" s="371"/>
      <c r="G223" s="371"/>
      <c r="H223" s="371"/>
      <c r="I223" s="371"/>
      <c r="J223" s="371"/>
      <c r="K223" s="371"/>
      <c r="L223" s="371"/>
      <c r="M223" s="371"/>
      <c r="N223" s="371"/>
      <c r="O223" s="371"/>
      <c r="P223" s="371"/>
      <c r="Q223" s="371"/>
      <c r="R223" s="371"/>
      <c r="S223" s="371"/>
      <c r="T223" s="371"/>
      <c r="U223" s="371"/>
      <c r="V223" s="371"/>
      <c r="W223" s="371"/>
      <c r="X223" s="371"/>
      <c r="Y223" s="371"/>
      <c r="Z223" s="371"/>
    </row>
    <row r="224">
      <c r="A224" s="371"/>
      <c r="B224" s="371"/>
      <c r="C224" s="371"/>
      <c r="D224" s="372"/>
      <c r="E224" s="371"/>
      <c r="F224" s="371"/>
      <c r="G224" s="371"/>
      <c r="H224" s="371"/>
      <c r="I224" s="371"/>
      <c r="J224" s="371"/>
      <c r="K224" s="371"/>
      <c r="L224" s="371"/>
      <c r="M224" s="371"/>
      <c r="N224" s="371"/>
      <c r="O224" s="371"/>
      <c r="P224" s="371"/>
      <c r="Q224" s="371"/>
      <c r="R224" s="371"/>
      <c r="S224" s="371"/>
      <c r="T224" s="371"/>
      <c r="U224" s="371"/>
      <c r="V224" s="371"/>
      <c r="W224" s="371"/>
      <c r="X224" s="371"/>
      <c r="Y224" s="371"/>
      <c r="Z224" s="371"/>
    </row>
    <row r="225">
      <c r="A225" s="371"/>
      <c r="B225" s="371"/>
      <c r="C225" s="371"/>
      <c r="D225" s="372"/>
      <c r="E225" s="371"/>
      <c r="F225" s="371"/>
      <c r="G225" s="371"/>
      <c r="H225" s="371"/>
      <c r="I225" s="371"/>
      <c r="J225" s="371"/>
      <c r="K225" s="371"/>
      <c r="L225" s="371"/>
      <c r="M225" s="371"/>
      <c r="N225" s="371"/>
      <c r="O225" s="371"/>
      <c r="P225" s="371"/>
      <c r="Q225" s="371"/>
      <c r="R225" s="371"/>
      <c r="S225" s="371"/>
      <c r="T225" s="371"/>
      <c r="U225" s="371"/>
      <c r="V225" s="371"/>
      <c r="W225" s="371"/>
      <c r="X225" s="371"/>
      <c r="Y225" s="371"/>
      <c r="Z225" s="371"/>
    </row>
    <row r="226">
      <c r="A226" s="371"/>
      <c r="B226" s="371"/>
      <c r="C226" s="371"/>
      <c r="D226" s="372"/>
      <c r="E226" s="371"/>
      <c r="F226" s="371"/>
      <c r="G226" s="371"/>
      <c r="H226" s="371"/>
      <c r="I226" s="371"/>
      <c r="J226" s="371"/>
      <c r="K226" s="371"/>
      <c r="L226" s="371"/>
      <c r="M226" s="371"/>
      <c r="N226" s="371"/>
      <c r="O226" s="371"/>
      <c r="P226" s="371"/>
      <c r="Q226" s="371"/>
      <c r="R226" s="371"/>
      <c r="S226" s="371"/>
      <c r="T226" s="371"/>
      <c r="U226" s="371"/>
      <c r="V226" s="371"/>
      <c r="W226" s="371"/>
      <c r="X226" s="371"/>
      <c r="Y226" s="371"/>
      <c r="Z226" s="371"/>
    </row>
    <row r="227">
      <c r="A227" s="371"/>
      <c r="B227" s="371"/>
      <c r="C227" s="371"/>
      <c r="D227" s="372"/>
      <c r="E227" s="371"/>
      <c r="F227" s="371"/>
      <c r="G227" s="371"/>
      <c r="H227" s="371"/>
      <c r="I227" s="371"/>
      <c r="J227" s="371"/>
      <c r="K227" s="371"/>
      <c r="L227" s="371"/>
      <c r="M227" s="371"/>
      <c r="N227" s="371"/>
      <c r="O227" s="371"/>
      <c r="P227" s="371"/>
      <c r="Q227" s="371"/>
      <c r="R227" s="371"/>
      <c r="S227" s="371"/>
      <c r="T227" s="371"/>
      <c r="U227" s="371"/>
      <c r="V227" s="371"/>
      <c r="W227" s="371"/>
      <c r="X227" s="371"/>
      <c r="Y227" s="371"/>
      <c r="Z227" s="371"/>
    </row>
    <row r="228">
      <c r="A228" s="371"/>
      <c r="B228" s="371"/>
      <c r="C228" s="371"/>
      <c r="D228" s="372"/>
      <c r="E228" s="371"/>
      <c r="F228" s="371"/>
      <c r="G228" s="371"/>
      <c r="H228" s="371"/>
      <c r="I228" s="371"/>
      <c r="J228" s="371"/>
      <c r="K228" s="371"/>
      <c r="L228" s="371"/>
      <c r="M228" s="371"/>
      <c r="N228" s="371"/>
      <c r="O228" s="371"/>
      <c r="P228" s="371"/>
      <c r="Q228" s="371"/>
      <c r="R228" s="371"/>
      <c r="S228" s="371"/>
      <c r="T228" s="371"/>
      <c r="U228" s="371"/>
      <c r="V228" s="371"/>
      <c r="W228" s="371"/>
      <c r="X228" s="371"/>
      <c r="Y228" s="371"/>
      <c r="Z228" s="371"/>
    </row>
    <row r="229">
      <c r="A229" s="371"/>
      <c r="B229" s="371"/>
      <c r="C229" s="371"/>
      <c r="D229" s="372"/>
      <c r="E229" s="371"/>
      <c r="F229" s="371"/>
      <c r="G229" s="371"/>
      <c r="H229" s="371"/>
      <c r="I229" s="371"/>
      <c r="J229" s="371"/>
      <c r="K229" s="371"/>
      <c r="L229" s="371"/>
      <c r="M229" s="371"/>
      <c r="N229" s="371"/>
      <c r="O229" s="371"/>
      <c r="P229" s="371"/>
      <c r="Q229" s="371"/>
      <c r="R229" s="371"/>
      <c r="S229" s="371"/>
      <c r="T229" s="371"/>
      <c r="U229" s="371"/>
      <c r="V229" s="371"/>
      <c r="W229" s="371"/>
      <c r="X229" s="371"/>
      <c r="Y229" s="371"/>
      <c r="Z229" s="371"/>
    </row>
    <row r="230">
      <c r="A230" s="371"/>
      <c r="B230" s="371"/>
      <c r="C230" s="371"/>
      <c r="D230" s="372"/>
      <c r="E230" s="371"/>
      <c r="F230" s="371"/>
      <c r="G230" s="371"/>
      <c r="H230" s="371"/>
      <c r="I230" s="371"/>
      <c r="J230" s="371"/>
      <c r="K230" s="371"/>
      <c r="L230" s="371"/>
      <c r="M230" s="371"/>
      <c r="N230" s="371"/>
      <c r="O230" s="371"/>
      <c r="P230" s="371"/>
      <c r="Q230" s="371"/>
      <c r="R230" s="371"/>
      <c r="S230" s="371"/>
      <c r="T230" s="371"/>
      <c r="U230" s="371"/>
      <c r="V230" s="371"/>
      <c r="W230" s="371"/>
      <c r="X230" s="371"/>
      <c r="Y230" s="371"/>
      <c r="Z230" s="371"/>
    </row>
    <row r="231">
      <c r="A231" s="371"/>
      <c r="B231" s="371"/>
      <c r="C231" s="371"/>
      <c r="D231" s="372"/>
      <c r="E231" s="371"/>
      <c r="F231" s="371"/>
      <c r="G231" s="371"/>
      <c r="H231" s="371"/>
      <c r="I231" s="371"/>
      <c r="J231" s="371"/>
      <c r="K231" s="371"/>
      <c r="L231" s="371"/>
      <c r="M231" s="371"/>
      <c r="N231" s="371"/>
      <c r="O231" s="371"/>
      <c r="P231" s="371"/>
      <c r="Q231" s="371"/>
      <c r="R231" s="371"/>
      <c r="S231" s="371"/>
      <c r="T231" s="371"/>
      <c r="U231" s="371"/>
      <c r="V231" s="371"/>
      <c r="W231" s="371"/>
      <c r="X231" s="371"/>
      <c r="Y231" s="371"/>
      <c r="Z231" s="371"/>
    </row>
    <row r="232">
      <c r="A232" s="371"/>
      <c r="B232" s="371"/>
      <c r="C232" s="371"/>
      <c r="D232" s="372"/>
      <c r="E232" s="371"/>
      <c r="F232" s="371"/>
      <c r="G232" s="371"/>
      <c r="H232" s="371"/>
      <c r="I232" s="371"/>
      <c r="J232" s="371"/>
      <c r="K232" s="371"/>
      <c r="L232" s="371"/>
      <c r="M232" s="371"/>
      <c r="N232" s="371"/>
      <c r="O232" s="371"/>
      <c r="P232" s="371"/>
      <c r="Q232" s="371"/>
      <c r="R232" s="371"/>
      <c r="S232" s="371"/>
      <c r="T232" s="371"/>
      <c r="U232" s="371"/>
      <c r="V232" s="371"/>
      <c r="W232" s="371"/>
      <c r="X232" s="371"/>
      <c r="Y232" s="371"/>
      <c r="Z232" s="371"/>
    </row>
    <row r="233">
      <c r="A233" s="371"/>
      <c r="B233" s="371"/>
      <c r="C233" s="371"/>
      <c r="D233" s="372"/>
      <c r="E233" s="371"/>
      <c r="F233" s="371"/>
      <c r="G233" s="371"/>
      <c r="H233" s="371"/>
      <c r="I233" s="371"/>
      <c r="J233" s="371"/>
      <c r="K233" s="371"/>
      <c r="L233" s="371"/>
      <c r="M233" s="371"/>
      <c r="N233" s="371"/>
      <c r="O233" s="371"/>
      <c r="P233" s="371"/>
      <c r="Q233" s="371"/>
      <c r="R233" s="371"/>
      <c r="S233" s="371"/>
      <c r="T233" s="371"/>
      <c r="U233" s="371"/>
      <c r="V233" s="371"/>
      <c r="W233" s="371"/>
      <c r="X233" s="371"/>
      <c r="Y233" s="371"/>
      <c r="Z233" s="371"/>
    </row>
    <row r="234">
      <c r="A234" s="371"/>
      <c r="B234" s="371"/>
      <c r="C234" s="371"/>
      <c r="D234" s="372"/>
      <c r="E234" s="371"/>
      <c r="F234" s="371"/>
      <c r="G234" s="371"/>
      <c r="H234" s="371"/>
      <c r="I234" s="371"/>
      <c r="J234" s="371"/>
      <c r="K234" s="371"/>
      <c r="L234" s="371"/>
      <c r="M234" s="371"/>
      <c r="N234" s="371"/>
      <c r="O234" s="371"/>
      <c r="P234" s="371"/>
      <c r="Q234" s="371"/>
      <c r="R234" s="371"/>
      <c r="S234" s="371"/>
      <c r="T234" s="371"/>
      <c r="U234" s="371"/>
      <c r="V234" s="371"/>
      <c r="W234" s="371"/>
      <c r="X234" s="371"/>
      <c r="Y234" s="371"/>
      <c r="Z234" s="371"/>
    </row>
    <row r="235">
      <c r="A235" s="371"/>
      <c r="B235" s="371"/>
      <c r="C235" s="371"/>
      <c r="D235" s="372"/>
      <c r="E235" s="371"/>
      <c r="F235" s="371"/>
      <c r="G235" s="371"/>
      <c r="H235" s="371"/>
      <c r="I235" s="371"/>
      <c r="J235" s="371"/>
      <c r="K235" s="371"/>
      <c r="L235" s="371"/>
      <c r="M235" s="371"/>
      <c r="N235" s="371"/>
      <c r="O235" s="371"/>
      <c r="P235" s="371"/>
      <c r="Q235" s="371"/>
      <c r="R235" s="371"/>
      <c r="S235" s="371"/>
      <c r="T235" s="371"/>
      <c r="U235" s="371"/>
      <c r="V235" s="371"/>
      <c r="W235" s="371"/>
      <c r="X235" s="371"/>
      <c r="Y235" s="371"/>
      <c r="Z235" s="371"/>
    </row>
    <row r="236">
      <c r="A236" s="371"/>
      <c r="B236" s="371"/>
      <c r="C236" s="371"/>
      <c r="D236" s="372"/>
      <c r="E236" s="371"/>
      <c r="F236" s="371"/>
      <c r="G236" s="371"/>
      <c r="H236" s="371"/>
      <c r="I236" s="371"/>
      <c r="J236" s="371"/>
      <c r="K236" s="371"/>
      <c r="L236" s="371"/>
      <c r="M236" s="371"/>
      <c r="N236" s="371"/>
      <c r="O236" s="371"/>
      <c r="P236" s="371"/>
      <c r="Q236" s="371"/>
      <c r="R236" s="371"/>
      <c r="S236" s="371"/>
      <c r="T236" s="371"/>
      <c r="U236" s="371"/>
      <c r="V236" s="371"/>
      <c r="W236" s="371"/>
      <c r="X236" s="371"/>
      <c r="Y236" s="371"/>
      <c r="Z236" s="371"/>
    </row>
    <row r="237">
      <c r="A237" s="371"/>
      <c r="B237" s="371"/>
      <c r="C237" s="371"/>
      <c r="D237" s="372"/>
      <c r="E237" s="371"/>
      <c r="F237" s="371"/>
      <c r="G237" s="371"/>
      <c r="H237" s="371"/>
      <c r="I237" s="371"/>
      <c r="J237" s="371"/>
      <c r="K237" s="371"/>
      <c r="L237" s="371"/>
      <c r="M237" s="371"/>
      <c r="N237" s="371"/>
      <c r="O237" s="371"/>
      <c r="P237" s="371"/>
      <c r="Q237" s="371"/>
      <c r="R237" s="371"/>
      <c r="S237" s="371"/>
      <c r="T237" s="371"/>
      <c r="U237" s="371"/>
      <c r="V237" s="371"/>
      <c r="W237" s="371"/>
      <c r="X237" s="371"/>
      <c r="Y237" s="371"/>
      <c r="Z237" s="371"/>
    </row>
    <row r="238">
      <c r="A238" s="371"/>
      <c r="B238" s="371"/>
      <c r="C238" s="371"/>
      <c r="D238" s="372"/>
      <c r="E238" s="371"/>
      <c r="F238" s="371"/>
      <c r="G238" s="371"/>
      <c r="H238" s="371"/>
      <c r="I238" s="371"/>
      <c r="J238" s="371"/>
      <c r="K238" s="371"/>
      <c r="L238" s="371"/>
      <c r="M238" s="371"/>
      <c r="N238" s="371"/>
      <c r="O238" s="371"/>
      <c r="P238" s="371"/>
      <c r="Q238" s="371"/>
      <c r="R238" s="371"/>
      <c r="S238" s="371"/>
      <c r="T238" s="371"/>
      <c r="U238" s="371"/>
      <c r="V238" s="371"/>
      <c r="W238" s="371"/>
      <c r="X238" s="371"/>
      <c r="Y238" s="371"/>
      <c r="Z238" s="371"/>
    </row>
    <row r="239">
      <c r="A239" s="371"/>
      <c r="B239" s="371"/>
      <c r="C239" s="371"/>
      <c r="D239" s="372"/>
      <c r="E239" s="371"/>
      <c r="F239" s="371"/>
      <c r="G239" s="371"/>
      <c r="H239" s="371"/>
      <c r="I239" s="371"/>
      <c r="J239" s="371"/>
      <c r="K239" s="371"/>
      <c r="L239" s="371"/>
      <c r="M239" s="371"/>
      <c r="N239" s="371"/>
      <c r="O239" s="371"/>
      <c r="P239" s="371"/>
      <c r="Q239" s="371"/>
      <c r="R239" s="371"/>
      <c r="S239" s="371"/>
      <c r="T239" s="371"/>
      <c r="U239" s="371"/>
      <c r="V239" s="371"/>
      <c r="W239" s="371"/>
      <c r="X239" s="371"/>
      <c r="Y239" s="371"/>
      <c r="Z239" s="371"/>
    </row>
    <row r="240">
      <c r="A240" s="371"/>
      <c r="B240" s="371"/>
      <c r="C240" s="371"/>
      <c r="D240" s="372"/>
      <c r="E240" s="371"/>
      <c r="F240" s="371"/>
      <c r="G240" s="371"/>
      <c r="H240" s="371"/>
      <c r="I240" s="371"/>
      <c r="J240" s="371"/>
      <c r="K240" s="371"/>
      <c r="L240" s="371"/>
      <c r="M240" s="371"/>
      <c r="N240" s="371"/>
      <c r="O240" s="371"/>
      <c r="P240" s="371"/>
      <c r="Q240" s="371"/>
      <c r="R240" s="371"/>
      <c r="S240" s="371"/>
      <c r="T240" s="371"/>
      <c r="U240" s="371"/>
      <c r="V240" s="371"/>
      <c r="W240" s="371"/>
      <c r="X240" s="371"/>
      <c r="Y240" s="371"/>
      <c r="Z240" s="371"/>
    </row>
    <row r="241">
      <c r="A241" s="371"/>
      <c r="B241" s="371"/>
      <c r="C241" s="371"/>
      <c r="D241" s="372"/>
      <c r="E241" s="371"/>
      <c r="F241" s="371"/>
      <c r="G241" s="371"/>
      <c r="H241" s="371"/>
      <c r="I241" s="371"/>
      <c r="J241" s="371"/>
      <c r="K241" s="371"/>
      <c r="L241" s="371"/>
      <c r="M241" s="371"/>
      <c r="N241" s="371"/>
      <c r="O241" s="371"/>
      <c r="P241" s="371"/>
      <c r="Q241" s="371"/>
      <c r="R241" s="371"/>
      <c r="S241" s="371"/>
      <c r="T241" s="371"/>
      <c r="U241" s="371"/>
      <c r="V241" s="371"/>
      <c r="W241" s="371"/>
      <c r="X241" s="371"/>
      <c r="Y241" s="371"/>
      <c r="Z241" s="371"/>
    </row>
    <row r="242">
      <c r="A242" s="371"/>
      <c r="B242" s="371"/>
      <c r="C242" s="371"/>
      <c r="D242" s="372"/>
      <c r="E242" s="371"/>
      <c r="F242" s="371"/>
      <c r="G242" s="371"/>
      <c r="H242" s="371"/>
      <c r="I242" s="371"/>
      <c r="J242" s="371"/>
      <c r="K242" s="371"/>
      <c r="L242" s="371"/>
      <c r="M242" s="371"/>
      <c r="N242" s="371"/>
      <c r="O242" s="371"/>
      <c r="P242" s="371"/>
      <c r="Q242" s="371"/>
      <c r="R242" s="371"/>
      <c r="S242" s="371"/>
      <c r="T242" s="371"/>
      <c r="U242" s="371"/>
      <c r="V242" s="371"/>
      <c r="W242" s="371"/>
      <c r="X242" s="371"/>
      <c r="Y242" s="371"/>
      <c r="Z242" s="371"/>
    </row>
    <row r="243">
      <c r="A243" s="371"/>
      <c r="B243" s="371"/>
      <c r="C243" s="371"/>
      <c r="D243" s="372"/>
      <c r="E243" s="371"/>
      <c r="F243" s="371"/>
      <c r="G243" s="371"/>
      <c r="H243" s="371"/>
      <c r="I243" s="371"/>
      <c r="J243" s="371"/>
      <c r="K243" s="371"/>
      <c r="L243" s="371"/>
      <c r="M243" s="371"/>
      <c r="N243" s="371"/>
      <c r="O243" s="371"/>
      <c r="P243" s="371"/>
      <c r="Q243" s="371"/>
      <c r="R243" s="371"/>
      <c r="S243" s="371"/>
      <c r="T243" s="371"/>
      <c r="U243" s="371"/>
      <c r="V243" s="371"/>
      <c r="W243" s="371"/>
      <c r="X243" s="371"/>
      <c r="Y243" s="371"/>
      <c r="Z243" s="371"/>
    </row>
    <row r="244">
      <c r="A244" s="371"/>
      <c r="B244" s="371"/>
      <c r="C244" s="371"/>
      <c r="D244" s="372"/>
      <c r="E244" s="371"/>
      <c r="F244" s="371"/>
      <c r="G244" s="371"/>
      <c r="H244" s="371"/>
      <c r="I244" s="371"/>
      <c r="J244" s="371"/>
      <c r="K244" s="371"/>
      <c r="L244" s="371"/>
      <c r="M244" s="371"/>
      <c r="N244" s="371"/>
      <c r="O244" s="371"/>
      <c r="P244" s="371"/>
      <c r="Q244" s="371"/>
      <c r="R244" s="371"/>
      <c r="S244" s="371"/>
      <c r="T244" s="371"/>
      <c r="U244" s="371"/>
      <c r="V244" s="371"/>
      <c r="W244" s="371"/>
      <c r="X244" s="371"/>
      <c r="Y244" s="371"/>
      <c r="Z244" s="371"/>
    </row>
    <row r="245">
      <c r="A245" s="371"/>
      <c r="B245" s="371"/>
      <c r="C245" s="371"/>
      <c r="D245" s="372"/>
      <c r="E245" s="371"/>
      <c r="F245" s="371"/>
      <c r="G245" s="371"/>
      <c r="H245" s="371"/>
      <c r="I245" s="371"/>
      <c r="J245" s="371"/>
      <c r="K245" s="371"/>
      <c r="L245" s="371"/>
      <c r="M245" s="371"/>
      <c r="N245" s="371"/>
      <c r="O245" s="371"/>
      <c r="P245" s="371"/>
      <c r="Q245" s="371"/>
      <c r="R245" s="371"/>
      <c r="S245" s="371"/>
      <c r="T245" s="371"/>
      <c r="U245" s="371"/>
      <c r="V245" s="371"/>
      <c r="W245" s="371"/>
      <c r="X245" s="371"/>
      <c r="Y245" s="371"/>
      <c r="Z245" s="371"/>
    </row>
    <row r="246">
      <c r="A246" s="371"/>
      <c r="B246" s="371"/>
      <c r="C246" s="371"/>
      <c r="D246" s="372"/>
      <c r="E246" s="371"/>
      <c r="F246" s="371"/>
      <c r="G246" s="371"/>
      <c r="H246" s="371"/>
      <c r="I246" s="371"/>
      <c r="J246" s="371"/>
      <c r="K246" s="371"/>
      <c r="L246" s="371"/>
      <c r="M246" s="371"/>
      <c r="N246" s="371"/>
      <c r="O246" s="371"/>
      <c r="P246" s="371"/>
      <c r="Q246" s="371"/>
      <c r="R246" s="371"/>
      <c r="S246" s="371"/>
      <c r="T246" s="371"/>
      <c r="U246" s="371"/>
      <c r="V246" s="371"/>
      <c r="W246" s="371"/>
      <c r="X246" s="371"/>
      <c r="Y246" s="371"/>
      <c r="Z246" s="371"/>
    </row>
    <row r="247">
      <c r="A247" s="371"/>
      <c r="B247" s="371"/>
      <c r="C247" s="371"/>
      <c r="D247" s="372"/>
      <c r="E247" s="371"/>
      <c r="F247" s="371"/>
      <c r="G247" s="371"/>
      <c r="H247" s="371"/>
      <c r="I247" s="371"/>
      <c r="J247" s="371"/>
      <c r="K247" s="371"/>
      <c r="L247" s="371"/>
      <c r="M247" s="371"/>
      <c r="N247" s="371"/>
      <c r="O247" s="371"/>
      <c r="P247" s="371"/>
      <c r="Q247" s="371"/>
      <c r="R247" s="371"/>
      <c r="S247" s="371"/>
      <c r="T247" s="371"/>
      <c r="U247" s="371"/>
      <c r="V247" s="371"/>
      <c r="W247" s="371"/>
      <c r="X247" s="371"/>
      <c r="Y247" s="371"/>
      <c r="Z247" s="371"/>
    </row>
    <row r="248">
      <c r="A248" s="371"/>
      <c r="B248" s="371"/>
      <c r="C248" s="371"/>
      <c r="D248" s="372"/>
      <c r="E248" s="371"/>
      <c r="F248" s="371"/>
      <c r="G248" s="371"/>
      <c r="H248" s="371"/>
      <c r="I248" s="371"/>
      <c r="J248" s="371"/>
      <c r="K248" s="371"/>
      <c r="L248" s="371"/>
      <c r="M248" s="371"/>
      <c r="N248" s="371"/>
      <c r="O248" s="371"/>
      <c r="P248" s="371"/>
      <c r="Q248" s="371"/>
      <c r="R248" s="371"/>
      <c r="S248" s="371"/>
      <c r="T248" s="371"/>
      <c r="U248" s="371"/>
      <c r="V248" s="371"/>
      <c r="W248" s="371"/>
      <c r="X248" s="371"/>
      <c r="Y248" s="371"/>
      <c r="Z248" s="371"/>
    </row>
    <row r="249">
      <c r="A249" s="371"/>
      <c r="B249" s="371"/>
      <c r="C249" s="371"/>
      <c r="D249" s="372"/>
      <c r="E249" s="371"/>
      <c r="F249" s="371"/>
      <c r="G249" s="371"/>
      <c r="H249" s="371"/>
      <c r="I249" s="371"/>
      <c r="J249" s="371"/>
      <c r="K249" s="371"/>
      <c r="L249" s="371"/>
      <c r="M249" s="371"/>
      <c r="N249" s="371"/>
      <c r="O249" s="371"/>
      <c r="P249" s="371"/>
      <c r="Q249" s="371"/>
      <c r="R249" s="371"/>
      <c r="S249" s="371"/>
      <c r="T249" s="371"/>
      <c r="U249" s="371"/>
      <c r="V249" s="371"/>
      <c r="W249" s="371"/>
      <c r="X249" s="371"/>
      <c r="Y249" s="371"/>
      <c r="Z249" s="371"/>
    </row>
    <row r="250">
      <c r="A250" s="371"/>
      <c r="B250" s="371"/>
      <c r="C250" s="371"/>
      <c r="D250" s="372"/>
      <c r="E250" s="371"/>
      <c r="F250" s="371"/>
      <c r="G250" s="371"/>
      <c r="H250" s="371"/>
      <c r="I250" s="371"/>
      <c r="J250" s="371"/>
      <c r="K250" s="371"/>
      <c r="L250" s="371"/>
      <c r="M250" s="371"/>
      <c r="N250" s="371"/>
      <c r="O250" s="371"/>
      <c r="P250" s="371"/>
      <c r="Q250" s="371"/>
      <c r="R250" s="371"/>
      <c r="S250" s="371"/>
      <c r="T250" s="371"/>
      <c r="U250" s="371"/>
      <c r="V250" s="371"/>
      <c r="W250" s="371"/>
      <c r="X250" s="371"/>
      <c r="Y250" s="371"/>
      <c r="Z250" s="371"/>
    </row>
    <row r="251">
      <c r="A251" s="371"/>
      <c r="B251" s="371"/>
      <c r="C251" s="371"/>
      <c r="D251" s="372"/>
      <c r="E251" s="371"/>
      <c r="F251" s="371"/>
      <c r="G251" s="371"/>
      <c r="H251" s="371"/>
      <c r="I251" s="371"/>
      <c r="J251" s="371"/>
      <c r="K251" s="371"/>
      <c r="L251" s="371"/>
      <c r="M251" s="371"/>
      <c r="N251" s="371"/>
      <c r="O251" s="371"/>
      <c r="P251" s="371"/>
      <c r="Q251" s="371"/>
      <c r="R251" s="371"/>
      <c r="S251" s="371"/>
      <c r="T251" s="371"/>
      <c r="U251" s="371"/>
      <c r="V251" s="371"/>
      <c r="W251" s="371"/>
      <c r="X251" s="371"/>
      <c r="Y251" s="371"/>
      <c r="Z251" s="371"/>
    </row>
    <row r="252">
      <c r="A252" s="371"/>
      <c r="B252" s="371"/>
      <c r="C252" s="371"/>
      <c r="D252" s="372"/>
      <c r="E252" s="371"/>
      <c r="F252" s="371"/>
      <c r="G252" s="371"/>
      <c r="H252" s="371"/>
      <c r="I252" s="371"/>
      <c r="J252" s="371"/>
      <c r="K252" s="371"/>
      <c r="L252" s="371"/>
      <c r="M252" s="371"/>
      <c r="N252" s="371"/>
      <c r="O252" s="371"/>
      <c r="P252" s="371"/>
      <c r="Q252" s="371"/>
      <c r="R252" s="371"/>
      <c r="S252" s="371"/>
      <c r="T252" s="371"/>
      <c r="U252" s="371"/>
      <c r="V252" s="371"/>
      <c r="W252" s="371"/>
      <c r="X252" s="371"/>
      <c r="Y252" s="371"/>
      <c r="Z252" s="371"/>
    </row>
    <row r="253">
      <c r="A253" s="371"/>
      <c r="B253" s="371"/>
      <c r="C253" s="371"/>
      <c r="D253" s="372"/>
      <c r="E253" s="371"/>
      <c r="F253" s="371"/>
      <c r="G253" s="371"/>
      <c r="H253" s="371"/>
      <c r="I253" s="371"/>
      <c r="J253" s="371"/>
      <c r="K253" s="371"/>
      <c r="L253" s="371"/>
      <c r="M253" s="371"/>
      <c r="N253" s="371"/>
      <c r="O253" s="371"/>
      <c r="P253" s="371"/>
      <c r="Q253" s="371"/>
      <c r="R253" s="371"/>
      <c r="S253" s="371"/>
      <c r="T253" s="371"/>
      <c r="U253" s="371"/>
      <c r="V253" s="371"/>
      <c r="W253" s="371"/>
      <c r="X253" s="371"/>
      <c r="Y253" s="371"/>
      <c r="Z253" s="371"/>
    </row>
    <row r="254">
      <c r="A254" s="371"/>
      <c r="B254" s="371"/>
      <c r="C254" s="371"/>
      <c r="D254" s="372"/>
      <c r="E254" s="371"/>
      <c r="F254" s="371"/>
      <c r="G254" s="371"/>
      <c r="H254" s="371"/>
      <c r="I254" s="371"/>
      <c r="J254" s="371"/>
      <c r="K254" s="371"/>
      <c r="L254" s="371"/>
      <c r="M254" s="371"/>
      <c r="N254" s="371"/>
      <c r="O254" s="371"/>
      <c r="P254" s="371"/>
      <c r="Q254" s="371"/>
      <c r="R254" s="371"/>
      <c r="S254" s="371"/>
      <c r="T254" s="371"/>
      <c r="U254" s="371"/>
      <c r="V254" s="371"/>
      <c r="W254" s="371"/>
      <c r="X254" s="371"/>
      <c r="Y254" s="371"/>
      <c r="Z254" s="371"/>
    </row>
    <row r="255">
      <c r="A255" s="371"/>
      <c r="B255" s="371"/>
      <c r="C255" s="371"/>
      <c r="D255" s="372"/>
      <c r="E255" s="371"/>
      <c r="F255" s="371"/>
      <c r="G255" s="371"/>
      <c r="H255" s="371"/>
      <c r="I255" s="371"/>
      <c r="J255" s="371"/>
      <c r="K255" s="371"/>
      <c r="L255" s="371"/>
      <c r="M255" s="371"/>
      <c r="N255" s="371"/>
      <c r="O255" s="371"/>
      <c r="P255" s="371"/>
      <c r="Q255" s="371"/>
      <c r="R255" s="371"/>
      <c r="S255" s="371"/>
      <c r="T255" s="371"/>
      <c r="U255" s="371"/>
      <c r="V255" s="371"/>
      <c r="W255" s="371"/>
      <c r="X255" s="371"/>
      <c r="Y255" s="371"/>
      <c r="Z255" s="371"/>
    </row>
    <row r="256">
      <c r="A256" s="371"/>
      <c r="B256" s="371"/>
      <c r="C256" s="371"/>
      <c r="D256" s="372"/>
      <c r="E256" s="371"/>
      <c r="F256" s="371"/>
      <c r="G256" s="371"/>
      <c r="H256" s="371"/>
      <c r="I256" s="371"/>
      <c r="J256" s="371"/>
      <c r="K256" s="371"/>
      <c r="L256" s="371"/>
      <c r="M256" s="371"/>
      <c r="N256" s="371"/>
      <c r="O256" s="371"/>
      <c r="P256" s="371"/>
      <c r="Q256" s="371"/>
      <c r="R256" s="371"/>
      <c r="S256" s="371"/>
      <c r="T256" s="371"/>
      <c r="U256" s="371"/>
      <c r="V256" s="371"/>
      <c r="W256" s="371"/>
      <c r="X256" s="371"/>
      <c r="Y256" s="371"/>
      <c r="Z256" s="371"/>
    </row>
    <row r="257">
      <c r="A257" s="371"/>
      <c r="B257" s="371"/>
      <c r="C257" s="371"/>
      <c r="D257" s="372"/>
      <c r="E257" s="371"/>
      <c r="F257" s="371"/>
      <c r="G257" s="371"/>
      <c r="H257" s="371"/>
      <c r="I257" s="371"/>
      <c r="J257" s="371"/>
      <c r="K257" s="371"/>
      <c r="L257" s="371"/>
      <c r="M257" s="371"/>
      <c r="N257" s="371"/>
      <c r="O257" s="371"/>
      <c r="P257" s="371"/>
      <c r="Q257" s="371"/>
      <c r="R257" s="371"/>
      <c r="S257" s="371"/>
      <c r="T257" s="371"/>
      <c r="U257" s="371"/>
      <c r="V257" s="371"/>
      <c r="W257" s="371"/>
      <c r="X257" s="371"/>
      <c r="Y257" s="371"/>
      <c r="Z257" s="371"/>
    </row>
    <row r="258">
      <c r="A258" s="371"/>
      <c r="B258" s="371"/>
      <c r="C258" s="371"/>
      <c r="D258" s="372"/>
      <c r="E258" s="371"/>
      <c r="F258" s="371"/>
      <c r="G258" s="371"/>
      <c r="H258" s="371"/>
      <c r="I258" s="371"/>
      <c r="J258" s="371"/>
      <c r="K258" s="371"/>
      <c r="L258" s="371"/>
      <c r="M258" s="371"/>
      <c r="N258" s="371"/>
      <c r="O258" s="371"/>
      <c r="P258" s="371"/>
      <c r="Q258" s="371"/>
      <c r="R258" s="371"/>
      <c r="S258" s="371"/>
      <c r="T258" s="371"/>
      <c r="U258" s="371"/>
      <c r="V258" s="371"/>
      <c r="W258" s="371"/>
      <c r="X258" s="371"/>
      <c r="Y258" s="371"/>
      <c r="Z258" s="371"/>
    </row>
    <row r="259">
      <c r="A259" s="371"/>
      <c r="B259" s="371"/>
      <c r="C259" s="371"/>
      <c r="D259" s="372"/>
      <c r="E259" s="371"/>
      <c r="F259" s="371"/>
      <c r="G259" s="371"/>
      <c r="H259" s="371"/>
      <c r="I259" s="371"/>
      <c r="J259" s="371"/>
      <c r="K259" s="371"/>
      <c r="L259" s="371"/>
      <c r="M259" s="371"/>
      <c r="N259" s="371"/>
      <c r="O259" s="371"/>
      <c r="P259" s="371"/>
      <c r="Q259" s="371"/>
      <c r="R259" s="371"/>
      <c r="S259" s="371"/>
      <c r="T259" s="371"/>
      <c r="U259" s="371"/>
      <c r="V259" s="371"/>
      <c r="W259" s="371"/>
      <c r="X259" s="371"/>
      <c r="Y259" s="371"/>
      <c r="Z259" s="371"/>
    </row>
    <row r="260">
      <c r="A260" s="371"/>
      <c r="B260" s="371"/>
      <c r="C260" s="371"/>
      <c r="D260" s="372"/>
      <c r="E260" s="371"/>
      <c r="F260" s="371"/>
      <c r="G260" s="371"/>
      <c r="H260" s="371"/>
      <c r="I260" s="371"/>
      <c r="J260" s="371"/>
      <c r="K260" s="371"/>
      <c r="L260" s="371"/>
      <c r="M260" s="371"/>
      <c r="N260" s="371"/>
      <c r="O260" s="371"/>
      <c r="P260" s="371"/>
      <c r="Q260" s="371"/>
      <c r="R260" s="371"/>
      <c r="S260" s="371"/>
      <c r="T260" s="371"/>
      <c r="U260" s="371"/>
      <c r="V260" s="371"/>
      <c r="W260" s="371"/>
      <c r="X260" s="371"/>
      <c r="Y260" s="371"/>
      <c r="Z260" s="371"/>
    </row>
    <row r="261">
      <c r="A261" s="371"/>
      <c r="B261" s="371"/>
      <c r="C261" s="371"/>
      <c r="D261" s="372"/>
      <c r="E261" s="371"/>
      <c r="F261" s="371"/>
      <c r="G261" s="371"/>
      <c r="H261" s="371"/>
      <c r="I261" s="371"/>
      <c r="J261" s="371"/>
      <c r="K261" s="371"/>
      <c r="L261" s="371"/>
      <c r="M261" s="371"/>
      <c r="N261" s="371"/>
      <c r="O261" s="371"/>
      <c r="P261" s="371"/>
      <c r="Q261" s="371"/>
      <c r="R261" s="371"/>
      <c r="S261" s="371"/>
      <c r="T261" s="371"/>
      <c r="U261" s="371"/>
      <c r="V261" s="371"/>
      <c r="W261" s="371"/>
      <c r="X261" s="371"/>
      <c r="Y261" s="371"/>
      <c r="Z261" s="371"/>
    </row>
    <row r="262">
      <c r="A262" s="371"/>
      <c r="B262" s="371"/>
      <c r="C262" s="371"/>
      <c r="D262" s="372"/>
      <c r="E262" s="371"/>
      <c r="F262" s="371"/>
      <c r="G262" s="371"/>
      <c r="H262" s="371"/>
      <c r="I262" s="371"/>
      <c r="J262" s="371"/>
      <c r="K262" s="371"/>
      <c r="L262" s="371"/>
      <c r="M262" s="371"/>
      <c r="N262" s="371"/>
      <c r="O262" s="371"/>
      <c r="P262" s="371"/>
      <c r="Q262" s="371"/>
      <c r="R262" s="371"/>
      <c r="S262" s="371"/>
      <c r="T262" s="371"/>
      <c r="U262" s="371"/>
      <c r="V262" s="371"/>
      <c r="W262" s="371"/>
      <c r="X262" s="371"/>
      <c r="Y262" s="371"/>
      <c r="Z262" s="371"/>
    </row>
    <row r="263">
      <c r="A263" s="371"/>
      <c r="B263" s="371"/>
      <c r="C263" s="371"/>
      <c r="D263" s="372"/>
      <c r="E263" s="371"/>
      <c r="F263" s="371"/>
      <c r="G263" s="371"/>
      <c r="H263" s="371"/>
      <c r="I263" s="371"/>
      <c r="J263" s="371"/>
      <c r="K263" s="371"/>
      <c r="L263" s="371"/>
      <c r="M263" s="371"/>
      <c r="N263" s="371"/>
      <c r="O263" s="371"/>
      <c r="P263" s="371"/>
      <c r="Q263" s="371"/>
      <c r="R263" s="371"/>
      <c r="S263" s="371"/>
      <c r="T263" s="371"/>
      <c r="U263" s="371"/>
      <c r="V263" s="371"/>
      <c r="W263" s="371"/>
      <c r="X263" s="371"/>
      <c r="Y263" s="371"/>
      <c r="Z263" s="371"/>
    </row>
    <row r="264">
      <c r="A264" s="371"/>
      <c r="B264" s="371"/>
      <c r="C264" s="371"/>
      <c r="D264" s="372"/>
      <c r="E264" s="371"/>
      <c r="F264" s="371"/>
      <c r="G264" s="371"/>
      <c r="H264" s="371"/>
      <c r="I264" s="371"/>
      <c r="J264" s="371"/>
      <c r="K264" s="371"/>
      <c r="L264" s="371"/>
      <c r="M264" s="371"/>
      <c r="N264" s="371"/>
      <c r="O264" s="371"/>
      <c r="P264" s="371"/>
      <c r="Q264" s="371"/>
      <c r="R264" s="371"/>
      <c r="S264" s="371"/>
      <c r="T264" s="371"/>
      <c r="U264" s="371"/>
      <c r="V264" s="371"/>
      <c r="W264" s="371"/>
      <c r="X264" s="371"/>
      <c r="Y264" s="371"/>
      <c r="Z264" s="371"/>
    </row>
    <row r="265">
      <c r="A265" s="371"/>
      <c r="B265" s="371"/>
      <c r="C265" s="371"/>
      <c r="D265" s="372"/>
      <c r="E265" s="371"/>
      <c r="F265" s="371"/>
      <c r="G265" s="371"/>
      <c r="H265" s="371"/>
      <c r="I265" s="371"/>
      <c r="J265" s="371"/>
      <c r="K265" s="371"/>
      <c r="L265" s="371"/>
      <c r="M265" s="371"/>
      <c r="N265" s="371"/>
      <c r="O265" s="371"/>
      <c r="P265" s="371"/>
      <c r="Q265" s="371"/>
      <c r="R265" s="371"/>
      <c r="S265" s="371"/>
      <c r="T265" s="371"/>
      <c r="U265" s="371"/>
      <c r="V265" s="371"/>
      <c r="W265" s="371"/>
      <c r="X265" s="371"/>
      <c r="Y265" s="371"/>
      <c r="Z265" s="371"/>
    </row>
    <row r="266">
      <c r="A266" s="371"/>
      <c r="B266" s="371"/>
      <c r="C266" s="371"/>
      <c r="D266" s="372"/>
      <c r="E266" s="371"/>
      <c r="F266" s="371"/>
      <c r="G266" s="371"/>
      <c r="H266" s="371"/>
      <c r="I266" s="371"/>
      <c r="J266" s="371"/>
      <c r="K266" s="371"/>
      <c r="L266" s="371"/>
      <c r="M266" s="371"/>
      <c r="N266" s="371"/>
      <c r="O266" s="371"/>
      <c r="P266" s="371"/>
      <c r="Q266" s="371"/>
      <c r="R266" s="371"/>
      <c r="S266" s="371"/>
      <c r="T266" s="371"/>
      <c r="U266" s="371"/>
      <c r="V266" s="371"/>
      <c r="W266" s="371"/>
      <c r="X266" s="371"/>
      <c r="Y266" s="371"/>
      <c r="Z266" s="371"/>
    </row>
    <row r="267">
      <c r="A267" s="371"/>
      <c r="B267" s="371"/>
      <c r="C267" s="371"/>
      <c r="D267" s="372"/>
      <c r="E267" s="371"/>
      <c r="F267" s="371"/>
      <c r="G267" s="371"/>
      <c r="H267" s="371"/>
      <c r="I267" s="371"/>
      <c r="J267" s="371"/>
      <c r="K267" s="371"/>
      <c r="L267" s="371"/>
      <c r="M267" s="371"/>
      <c r="N267" s="371"/>
      <c r="O267" s="371"/>
      <c r="P267" s="371"/>
      <c r="Q267" s="371"/>
      <c r="R267" s="371"/>
      <c r="S267" s="371"/>
      <c r="T267" s="371"/>
      <c r="U267" s="371"/>
      <c r="V267" s="371"/>
      <c r="W267" s="371"/>
      <c r="X267" s="371"/>
      <c r="Y267" s="371"/>
      <c r="Z267" s="371"/>
    </row>
    <row r="268">
      <c r="A268" s="371"/>
      <c r="B268" s="371"/>
      <c r="C268" s="371"/>
      <c r="D268" s="372"/>
      <c r="E268" s="371"/>
      <c r="F268" s="371"/>
      <c r="G268" s="371"/>
      <c r="H268" s="371"/>
      <c r="I268" s="371"/>
      <c r="J268" s="371"/>
      <c r="K268" s="371"/>
      <c r="L268" s="371"/>
      <c r="M268" s="371"/>
      <c r="N268" s="371"/>
      <c r="O268" s="371"/>
      <c r="P268" s="371"/>
      <c r="Q268" s="371"/>
      <c r="R268" s="371"/>
      <c r="S268" s="371"/>
      <c r="T268" s="371"/>
      <c r="U268" s="371"/>
      <c r="V268" s="371"/>
      <c r="W268" s="371"/>
      <c r="X268" s="371"/>
      <c r="Y268" s="371"/>
      <c r="Z268" s="371"/>
    </row>
    <row r="269">
      <c r="A269" s="371"/>
      <c r="B269" s="371"/>
      <c r="C269" s="371"/>
      <c r="D269" s="372"/>
      <c r="E269" s="371"/>
      <c r="F269" s="371"/>
      <c r="G269" s="371"/>
      <c r="H269" s="371"/>
      <c r="I269" s="371"/>
      <c r="J269" s="371"/>
      <c r="K269" s="371"/>
      <c r="L269" s="371"/>
      <c r="M269" s="371"/>
      <c r="N269" s="371"/>
      <c r="O269" s="371"/>
      <c r="P269" s="371"/>
      <c r="Q269" s="371"/>
      <c r="R269" s="371"/>
      <c r="S269" s="371"/>
      <c r="T269" s="371"/>
      <c r="U269" s="371"/>
      <c r="V269" s="371"/>
      <c r="W269" s="371"/>
      <c r="X269" s="371"/>
      <c r="Y269" s="371"/>
      <c r="Z269" s="371"/>
    </row>
    <row r="270">
      <c r="A270" s="371"/>
      <c r="B270" s="371"/>
      <c r="C270" s="371"/>
      <c r="D270" s="372"/>
      <c r="E270" s="371"/>
      <c r="F270" s="371"/>
      <c r="G270" s="371"/>
      <c r="H270" s="371"/>
      <c r="I270" s="371"/>
      <c r="J270" s="371"/>
      <c r="K270" s="371"/>
      <c r="L270" s="371"/>
      <c r="M270" s="371"/>
      <c r="N270" s="371"/>
      <c r="O270" s="371"/>
      <c r="P270" s="371"/>
      <c r="Q270" s="371"/>
      <c r="R270" s="371"/>
      <c r="S270" s="371"/>
      <c r="T270" s="371"/>
      <c r="U270" s="371"/>
      <c r="V270" s="371"/>
      <c r="W270" s="371"/>
      <c r="X270" s="371"/>
      <c r="Y270" s="371"/>
      <c r="Z270" s="371"/>
    </row>
    <row r="271">
      <c r="A271" s="371"/>
      <c r="B271" s="371"/>
      <c r="C271" s="371"/>
      <c r="D271" s="372"/>
      <c r="E271" s="371"/>
      <c r="F271" s="371"/>
      <c r="G271" s="371"/>
      <c r="H271" s="371"/>
      <c r="I271" s="371"/>
      <c r="J271" s="371"/>
      <c r="K271" s="371"/>
      <c r="L271" s="371"/>
      <c r="M271" s="371"/>
      <c r="N271" s="371"/>
      <c r="O271" s="371"/>
      <c r="P271" s="371"/>
      <c r="Q271" s="371"/>
      <c r="R271" s="371"/>
      <c r="S271" s="371"/>
      <c r="T271" s="371"/>
      <c r="U271" s="371"/>
      <c r="V271" s="371"/>
      <c r="W271" s="371"/>
      <c r="X271" s="371"/>
      <c r="Y271" s="371"/>
      <c r="Z271" s="371"/>
    </row>
    <row r="272">
      <c r="A272" s="371"/>
      <c r="B272" s="371"/>
      <c r="C272" s="371"/>
      <c r="D272" s="372"/>
      <c r="E272" s="371"/>
      <c r="F272" s="371"/>
      <c r="G272" s="371"/>
      <c r="H272" s="371"/>
      <c r="I272" s="371"/>
      <c r="J272" s="371"/>
      <c r="K272" s="371"/>
      <c r="L272" s="371"/>
      <c r="M272" s="371"/>
      <c r="N272" s="371"/>
      <c r="O272" s="371"/>
      <c r="P272" s="371"/>
      <c r="Q272" s="371"/>
      <c r="R272" s="371"/>
      <c r="S272" s="371"/>
      <c r="T272" s="371"/>
      <c r="U272" s="371"/>
      <c r="V272" s="371"/>
      <c r="W272" s="371"/>
      <c r="X272" s="371"/>
      <c r="Y272" s="371"/>
      <c r="Z272" s="371"/>
    </row>
    <row r="273">
      <c r="A273" s="371"/>
      <c r="B273" s="371"/>
      <c r="C273" s="371"/>
      <c r="D273" s="372"/>
      <c r="E273" s="371"/>
      <c r="F273" s="371"/>
      <c r="G273" s="371"/>
      <c r="H273" s="371"/>
      <c r="I273" s="371"/>
      <c r="J273" s="371"/>
      <c r="K273" s="371"/>
      <c r="L273" s="371"/>
      <c r="M273" s="371"/>
      <c r="N273" s="371"/>
      <c r="O273" s="371"/>
      <c r="P273" s="371"/>
      <c r="Q273" s="371"/>
      <c r="R273" s="371"/>
      <c r="S273" s="371"/>
      <c r="T273" s="371"/>
      <c r="U273" s="371"/>
      <c r="V273" s="371"/>
      <c r="W273" s="371"/>
      <c r="X273" s="371"/>
      <c r="Y273" s="371"/>
      <c r="Z273" s="371"/>
    </row>
    <row r="274">
      <c r="A274" s="371"/>
      <c r="B274" s="371"/>
      <c r="C274" s="371"/>
      <c r="D274" s="372"/>
      <c r="E274" s="371"/>
      <c r="F274" s="371"/>
      <c r="G274" s="371"/>
      <c r="H274" s="371"/>
      <c r="I274" s="371"/>
      <c r="J274" s="371"/>
      <c r="K274" s="371"/>
      <c r="L274" s="371"/>
      <c r="M274" s="371"/>
      <c r="N274" s="371"/>
      <c r="O274" s="371"/>
      <c r="P274" s="371"/>
      <c r="Q274" s="371"/>
      <c r="R274" s="371"/>
      <c r="S274" s="371"/>
      <c r="T274" s="371"/>
      <c r="U274" s="371"/>
      <c r="V274" s="371"/>
      <c r="W274" s="371"/>
      <c r="X274" s="371"/>
      <c r="Y274" s="371"/>
      <c r="Z274" s="371"/>
    </row>
    <row r="275">
      <c r="A275" s="371"/>
      <c r="B275" s="371"/>
      <c r="C275" s="371"/>
      <c r="D275" s="372"/>
      <c r="E275" s="371"/>
      <c r="F275" s="371"/>
      <c r="G275" s="371"/>
      <c r="H275" s="371"/>
      <c r="I275" s="371"/>
      <c r="J275" s="371"/>
      <c r="K275" s="371"/>
      <c r="L275" s="371"/>
      <c r="M275" s="371"/>
      <c r="N275" s="371"/>
      <c r="O275" s="371"/>
      <c r="P275" s="371"/>
      <c r="Q275" s="371"/>
      <c r="R275" s="371"/>
      <c r="S275" s="371"/>
      <c r="T275" s="371"/>
      <c r="U275" s="371"/>
      <c r="V275" s="371"/>
      <c r="W275" s="371"/>
      <c r="X275" s="371"/>
      <c r="Y275" s="371"/>
      <c r="Z275" s="371"/>
    </row>
    <row r="276">
      <c r="A276" s="371"/>
      <c r="B276" s="371"/>
      <c r="C276" s="371"/>
      <c r="D276" s="372"/>
      <c r="E276" s="371"/>
      <c r="F276" s="371"/>
      <c r="G276" s="371"/>
      <c r="H276" s="371"/>
      <c r="I276" s="371"/>
      <c r="J276" s="371"/>
      <c r="K276" s="371"/>
      <c r="L276" s="371"/>
      <c r="M276" s="371"/>
      <c r="N276" s="371"/>
      <c r="O276" s="371"/>
      <c r="P276" s="371"/>
      <c r="Q276" s="371"/>
      <c r="R276" s="371"/>
      <c r="S276" s="371"/>
      <c r="T276" s="371"/>
      <c r="U276" s="371"/>
      <c r="V276" s="371"/>
      <c r="W276" s="371"/>
      <c r="X276" s="371"/>
      <c r="Y276" s="371"/>
      <c r="Z276" s="371"/>
    </row>
    <row r="277">
      <c r="A277" s="371"/>
      <c r="B277" s="371"/>
      <c r="C277" s="371"/>
      <c r="D277" s="372"/>
      <c r="E277" s="371"/>
      <c r="F277" s="371"/>
      <c r="G277" s="371"/>
      <c r="H277" s="371"/>
      <c r="I277" s="371"/>
      <c r="J277" s="371"/>
      <c r="K277" s="371"/>
      <c r="L277" s="371"/>
      <c r="M277" s="371"/>
      <c r="N277" s="371"/>
      <c r="O277" s="371"/>
      <c r="P277" s="371"/>
      <c r="Q277" s="371"/>
      <c r="R277" s="371"/>
      <c r="S277" s="371"/>
      <c r="T277" s="371"/>
      <c r="U277" s="371"/>
      <c r="V277" s="371"/>
      <c r="W277" s="371"/>
      <c r="X277" s="371"/>
      <c r="Y277" s="371"/>
      <c r="Z277" s="371"/>
    </row>
    <row r="278">
      <c r="A278" s="371"/>
      <c r="B278" s="371"/>
      <c r="C278" s="371"/>
      <c r="D278" s="372"/>
      <c r="E278" s="371"/>
      <c r="F278" s="371"/>
      <c r="G278" s="371"/>
      <c r="H278" s="371"/>
      <c r="I278" s="371"/>
      <c r="J278" s="371"/>
      <c r="K278" s="371"/>
      <c r="L278" s="371"/>
      <c r="M278" s="371"/>
      <c r="N278" s="371"/>
      <c r="O278" s="371"/>
      <c r="P278" s="371"/>
      <c r="Q278" s="371"/>
      <c r="R278" s="371"/>
      <c r="S278" s="371"/>
      <c r="T278" s="371"/>
      <c r="U278" s="371"/>
      <c r="V278" s="371"/>
      <c r="W278" s="371"/>
      <c r="X278" s="371"/>
      <c r="Y278" s="371"/>
      <c r="Z278" s="371"/>
    </row>
    <row r="279">
      <c r="A279" s="371"/>
      <c r="B279" s="371"/>
      <c r="C279" s="371"/>
      <c r="D279" s="372"/>
      <c r="E279" s="371"/>
      <c r="F279" s="371"/>
      <c r="G279" s="371"/>
      <c r="H279" s="371"/>
      <c r="I279" s="371"/>
      <c r="J279" s="371"/>
      <c r="K279" s="371"/>
      <c r="L279" s="371"/>
      <c r="M279" s="371"/>
      <c r="N279" s="371"/>
      <c r="O279" s="371"/>
      <c r="P279" s="371"/>
      <c r="Q279" s="371"/>
      <c r="R279" s="371"/>
      <c r="S279" s="371"/>
      <c r="T279" s="371"/>
      <c r="U279" s="371"/>
      <c r="V279" s="371"/>
      <c r="W279" s="371"/>
      <c r="X279" s="371"/>
      <c r="Y279" s="371"/>
      <c r="Z279" s="371"/>
    </row>
    <row r="280">
      <c r="A280" s="371"/>
      <c r="B280" s="371"/>
      <c r="C280" s="371"/>
      <c r="D280" s="372"/>
      <c r="E280" s="371"/>
      <c r="F280" s="371"/>
      <c r="G280" s="371"/>
      <c r="H280" s="371"/>
      <c r="I280" s="371"/>
      <c r="J280" s="371"/>
      <c r="K280" s="371"/>
      <c r="L280" s="371"/>
      <c r="M280" s="371"/>
      <c r="N280" s="371"/>
      <c r="O280" s="371"/>
      <c r="P280" s="371"/>
      <c r="Q280" s="371"/>
      <c r="R280" s="371"/>
      <c r="S280" s="371"/>
      <c r="T280" s="371"/>
      <c r="U280" s="371"/>
      <c r="V280" s="371"/>
      <c r="W280" s="371"/>
      <c r="X280" s="371"/>
      <c r="Y280" s="371"/>
      <c r="Z280" s="371"/>
    </row>
    <row r="281">
      <c r="A281" s="371"/>
      <c r="B281" s="371"/>
      <c r="C281" s="371"/>
      <c r="D281" s="372"/>
      <c r="E281" s="371"/>
      <c r="F281" s="371"/>
      <c r="G281" s="371"/>
      <c r="H281" s="371"/>
      <c r="I281" s="371"/>
      <c r="J281" s="371"/>
      <c r="K281" s="371"/>
      <c r="L281" s="371"/>
      <c r="M281" s="371"/>
      <c r="N281" s="371"/>
      <c r="O281" s="371"/>
      <c r="P281" s="371"/>
      <c r="Q281" s="371"/>
      <c r="R281" s="371"/>
      <c r="S281" s="371"/>
      <c r="T281" s="371"/>
      <c r="U281" s="371"/>
      <c r="V281" s="371"/>
      <c r="W281" s="371"/>
      <c r="X281" s="371"/>
      <c r="Y281" s="371"/>
      <c r="Z281" s="371"/>
    </row>
    <row r="282">
      <c r="A282" s="371"/>
      <c r="B282" s="371"/>
      <c r="C282" s="371"/>
      <c r="D282" s="372"/>
      <c r="E282" s="371"/>
      <c r="F282" s="371"/>
      <c r="G282" s="371"/>
      <c r="H282" s="371"/>
      <c r="I282" s="371"/>
      <c r="J282" s="371"/>
      <c r="K282" s="371"/>
      <c r="L282" s="371"/>
      <c r="M282" s="371"/>
      <c r="N282" s="371"/>
      <c r="O282" s="371"/>
      <c r="P282" s="371"/>
      <c r="Q282" s="371"/>
      <c r="R282" s="371"/>
      <c r="S282" s="371"/>
      <c r="T282" s="371"/>
      <c r="U282" s="371"/>
      <c r="V282" s="371"/>
      <c r="W282" s="371"/>
      <c r="X282" s="371"/>
      <c r="Y282" s="371"/>
      <c r="Z282" s="371"/>
    </row>
    <row r="283">
      <c r="A283" s="371"/>
      <c r="B283" s="371"/>
      <c r="C283" s="371"/>
      <c r="D283" s="372"/>
      <c r="E283" s="371"/>
      <c r="F283" s="371"/>
      <c r="G283" s="371"/>
      <c r="H283" s="371"/>
      <c r="I283" s="371"/>
      <c r="J283" s="371"/>
      <c r="K283" s="371"/>
      <c r="L283" s="371"/>
      <c r="M283" s="371"/>
      <c r="N283" s="371"/>
      <c r="O283" s="371"/>
      <c r="P283" s="371"/>
      <c r="Q283" s="371"/>
      <c r="R283" s="371"/>
      <c r="S283" s="371"/>
      <c r="T283" s="371"/>
      <c r="U283" s="371"/>
      <c r="V283" s="371"/>
      <c r="W283" s="371"/>
      <c r="X283" s="371"/>
      <c r="Y283" s="371"/>
      <c r="Z283" s="371"/>
    </row>
    <row r="284">
      <c r="A284" s="371"/>
      <c r="B284" s="371"/>
      <c r="C284" s="371"/>
      <c r="D284" s="372"/>
      <c r="E284" s="371"/>
      <c r="F284" s="371"/>
      <c r="G284" s="371"/>
      <c r="H284" s="371"/>
      <c r="I284" s="371"/>
      <c r="J284" s="371"/>
      <c r="K284" s="371"/>
      <c r="L284" s="371"/>
      <c r="M284" s="371"/>
      <c r="N284" s="371"/>
      <c r="O284" s="371"/>
      <c r="P284" s="371"/>
      <c r="Q284" s="371"/>
      <c r="R284" s="371"/>
      <c r="S284" s="371"/>
      <c r="T284" s="371"/>
      <c r="U284" s="371"/>
      <c r="V284" s="371"/>
      <c r="W284" s="371"/>
      <c r="X284" s="371"/>
      <c r="Y284" s="371"/>
      <c r="Z284" s="371"/>
    </row>
    <row r="285">
      <c r="A285" s="371"/>
      <c r="B285" s="371"/>
      <c r="C285" s="371"/>
      <c r="D285" s="372"/>
      <c r="E285" s="371"/>
      <c r="F285" s="371"/>
      <c r="G285" s="371"/>
      <c r="H285" s="371"/>
      <c r="I285" s="371"/>
      <c r="J285" s="371"/>
      <c r="K285" s="371"/>
      <c r="L285" s="371"/>
      <c r="M285" s="371"/>
      <c r="N285" s="371"/>
      <c r="O285" s="371"/>
      <c r="P285" s="371"/>
      <c r="Q285" s="371"/>
      <c r="R285" s="371"/>
      <c r="S285" s="371"/>
      <c r="T285" s="371"/>
      <c r="U285" s="371"/>
      <c r="V285" s="371"/>
      <c r="W285" s="371"/>
      <c r="X285" s="371"/>
      <c r="Y285" s="371"/>
      <c r="Z285" s="371"/>
    </row>
    <row r="286">
      <c r="A286" s="371"/>
      <c r="B286" s="371"/>
      <c r="C286" s="371"/>
      <c r="D286" s="372"/>
      <c r="E286" s="371"/>
      <c r="F286" s="371"/>
      <c r="G286" s="371"/>
      <c r="H286" s="371"/>
      <c r="I286" s="371"/>
      <c r="J286" s="371"/>
      <c r="K286" s="371"/>
      <c r="L286" s="371"/>
      <c r="M286" s="371"/>
      <c r="N286" s="371"/>
      <c r="O286" s="371"/>
      <c r="P286" s="371"/>
      <c r="Q286" s="371"/>
      <c r="R286" s="371"/>
      <c r="S286" s="371"/>
      <c r="T286" s="371"/>
      <c r="U286" s="371"/>
      <c r="V286" s="371"/>
      <c r="W286" s="371"/>
      <c r="X286" s="371"/>
      <c r="Y286" s="371"/>
      <c r="Z286" s="371"/>
    </row>
    <row r="287">
      <c r="A287" s="371"/>
      <c r="B287" s="371"/>
      <c r="C287" s="371"/>
      <c r="D287" s="372"/>
      <c r="E287" s="371"/>
      <c r="F287" s="371"/>
      <c r="G287" s="371"/>
      <c r="H287" s="371"/>
      <c r="I287" s="371"/>
      <c r="J287" s="371"/>
      <c r="K287" s="371"/>
      <c r="L287" s="371"/>
      <c r="M287" s="371"/>
      <c r="N287" s="371"/>
      <c r="O287" s="371"/>
      <c r="P287" s="371"/>
      <c r="Q287" s="371"/>
      <c r="R287" s="371"/>
      <c r="S287" s="371"/>
      <c r="T287" s="371"/>
      <c r="U287" s="371"/>
      <c r="V287" s="371"/>
      <c r="W287" s="371"/>
      <c r="X287" s="371"/>
      <c r="Y287" s="371"/>
      <c r="Z287" s="371"/>
    </row>
    <row r="288">
      <c r="A288" s="371"/>
      <c r="B288" s="371"/>
      <c r="C288" s="371"/>
      <c r="D288" s="372"/>
      <c r="E288" s="371"/>
      <c r="F288" s="371"/>
      <c r="G288" s="371"/>
      <c r="H288" s="371"/>
      <c r="I288" s="371"/>
      <c r="J288" s="371"/>
      <c r="K288" s="371"/>
      <c r="L288" s="371"/>
      <c r="M288" s="371"/>
      <c r="N288" s="371"/>
      <c r="O288" s="371"/>
      <c r="P288" s="371"/>
      <c r="Q288" s="371"/>
      <c r="R288" s="371"/>
      <c r="S288" s="371"/>
      <c r="T288" s="371"/>
      <c r="U288" s="371"/>
      <c r="V288" s="371"/>
      <c r="W288" s="371"/>
      <c r="X288" s="371"/>
      <c r="Y288" s="371"/>
      <c r="Z288" s="371"/>
    </row>
    <row r="289">
      <c r="A289" s="371"/>
      <c r="B289" s="371"/>
      <c r="C289" s="371"/>
      <c r="D289" s="372"/>
      <c r="E289" s="371"/>
      <c r="F289" s="371"/>
      <c r="G289" s="371"/>
      <c r="H289" s="371"/>
      <c r="I289" s="371"/>
      <c r="J289" s="371"/>
      <c r="K289" s="371"/>
      <c r="L289" s="371"/>
      <c r="M289" s="371"/>
      <c r="N289" s="371"/>
      <c r="O289" s="371"/>
      <c r="P289" s="371"/>
      <c r="Q289" s="371"/>
      <c r="R289" s="371"/>
      <c r="S289" s="371"/>
      <c r="T289" s="371"/>
      <c r="U289" s="371"/>
      <c r="V289" s="371"/>
      <c r="W289" s="371"/>
      <c r="X289" s="371"/>
      <c r="Y289" s="371"/>
      <c r="Z289" s="371"/>
    </row>
    <row r="290">
      <c r="A290" s="371"/>
      <c r="B290" s="371"/>
      <c r="C290" s="371"/>
      <c r="D290" s="372"/>
      <c r="E290" s="371"/>
      <c r="F290" s="371"/>
      <c r="G290" s="371"/>
      <c r="H290" s="371"/>
      <c r="I290" s="371"/>
      <c r="J290" s="371"/>
      <c r="K290" s="371"/>
      <c r="L290" s="371"/>
      <c r="M290" s="371"/>
      <c r="N290" s="371"/>
      <c r="O290" s="371"/>
      <c r="P290" s="371"/>
      <c r="Q290" s="371"/>
      <c r="R290" s="371"/>
      <c r="S290" s="371"/>
      <c r="T290" s="371"/>
      <c r="U290" s="371"/>
      <c r="V290" s="371"/>
      <c r="W290" s="371"/>
      <c r="X290" s="371"/>
      <c r="Y290" s="371"/>
      <c r="Z290" s="371"/>
    </row>
    <row r="291">
      <c r="A291" s="371"/>
      <c r="B291" s="371"/>
      <c r="C291" s="371"/>
      <c r="D291" s="372"/>
      <c r="E291" s="371"/>
      <c r="F291" s="371"/>
      <c r="G291" s="371"/>
      <c r="H291" s="371"/>
      <c r="I291" s="371"/>
      <c r="J291" s="371"/>
      <c r="K291" s="371"/>
      <c r="L291" s="371"/>
      <c r="M291" s="371"/>
      <c r="N291" s="371"/>
      <c r="O291" s="371"/>
      <c r="P291" s="371"/>
      <c r="Q291" s="371"/>
      <c r="R291" s="371"/>
      <c r="S291" s="371"/>
      <c r="T291" s="371"/>
      <c r="U291" s="371"/>
      <c r="V291" s="371"/>
      <c r="W291" s="371"/>
      <c r="X291" s="371"/>
      <c r="Y291" s="371"/>
      <c r="Z291" s="371"/>
    </row>
    <row r="292">
      <c r="A292" s="371"/>
      <c r="B292" s="371"/>
      <c r="C292" s="371"/>
      <c r="D292" s="372"/>
      <c r="E292" s="371"/>
      <c r="F292" s="371"/>
      <c r="G292" s="371"/>
      <c r="H292" s="371"/>
      <c r="I292" s="371"/>
      <c r="J292" s="371"/>
      <c r="K292" s="371"/>
      <c r="L292" s="371"/>
      <c r="M292" s="371"/>
      <c r="N292" s="371"/>
      <c r="O292" s="371"/>
      <c r="P292" s="371"/>
      <c r="Q292" s="371"/>
      <c r="R292" s="371"/>
      <c r="S292" s="371"/>
      <c r="T292" s="371"/>
      <c r="U292" s="371"/>
      <c r="V292" s="371"/>
      <c r="W292" s="371"/>
      <c r="X292" s="371"/>
      <c r="Y292" s="371"/>
      <c r="Z292" s="371"/>
    </row>
    <row r="293">
      <c r="A293" s="371"/>
      <c r="B293" s="371"/>
      <c r="C293" s="371"/>
      <c r="D293" s="372"/>
      <c r="E293" s="371"/>
      <c r="F293" s="371"/>
      <c r="G293" s="371"/>
      <c r="H293" s="371"/>
      <c r="I293" s="371"/>
      <c r="J293" s="371"/>
      <c r="K293" s="371"/>
      <c r="L293" s="371"/>
      <c r="M293" s="371"/>
      <c r="N293" s="371"/>
      <c r="O293" s="371"/>
      <c r="P293" s="371"/>
      <c r="Q293" s="371"/>
      <c r="R293" s="371"/>
      <c r="S293" s="371"/>
      <c r="T293" s="371"/>
      <c r="U293" s="371"/>
      <c r="V293" s="371"/>
      <c r="W293" s="371"/>
      <c r="X293" s="371"/>
      <c r="Y293" s="371"/>
      <c r="Z293" s="371"/>
    </row>
    <row r="294">
      <c r="A294" s="371"/>
      <c r="B294" s="371"/>
      <c r="C294" s="371"/>
      <c r="D294" s="372"/>
      <c r="E294" s="371"/>
      <c r="F294" s="371"/>
      <c r="G294" s="371"/>
      <c r="H294" s="371"/>
      <c r="I294" s="371"/>
      <c r="J294" s="371"/>
      <c r="K294" s="371"/>
      <c r="L294" s="371"/>
      <c r="M294" s="371"/>
      <c r="N294" s="371"/>
      <c r="O294" s="371"/>
      <c r="P294" s="371"/>
      <c r="Q294" s="371"/>
      <c r="R294" s="371"/>
      <c r="S294" s="371"/>
      <c r="T294" s="371"/>
      <c r="U294" s="371"/>
      <c r="V294" s="371"/>
      <c r="W294" s="371"/>
      <c r="X294" s="371"/>
      <c r="Y294" s="371"/>
      <c r="Z294" s="371"/>
    </row>
    <row r="295">
      <c r="A295" s="371"/>
      <c r="B295" s="371"/>
      <c r="C295" s="371"/>
      <c r="D295" s="372"/>
      <c r="E295" s="371"/>
      <c r="F295" s="371"/>
      <c r="G295" s="371"/>
      <c r="H295" s="371"/>
      <c r="I295" s="371"/>
      <c r="J295" s="371"/>
      <c r="K295" s="371"/>
      <c r="L295" s="371"/>
      <c r="M295" s="371"/>
      <c r="N295" s="371"/>
      <c r="O295" s="371"/>
      <c r="P295" s="371"/>
      <c r="Q295" s="371"/>
      <c r="R295" s="371"/>
      <c r="S295" s="371"/>
      <c r="T295" s="371"/>
      <c r="U295" s="371"/>
      <c r="V295" s="371"/>
      <c r="W295" s="371"/>
      <c r="X295" s="371"/>
      <c r="Y295" s="371"/>
      <c r="Z295" s="371"/>
    </row>
    <row r="296">
      <c r="A296" s="371"/>
      <c r="B296" s="371"/>
      <c r="C296" s="371"/>
      <c r="D296" s="372"/>
      <c r="E296" s="371"/>
      <c r="F296" s="371"/>
      <c r="G296" s="371"/>
      <c r="H296" s="371"/>
      <c r="I296" s="371"/>
      <c r="J296" s="371"/>
      <c r="K296" s="371"/>
      <c r="L296" s="371"/>
      <c r="M296" s="371"/>
      <c r="N296" s="371"/>
      <c r="O296" s="371"/>
      <c r="P296" s="371"/>
      <c r="Q296" s="371"/>
      <c r="R296" s="371"/>
      <c r="S296" s="371"/>
      <c r="T296" s="371"/>
      <c r="U296" s="371"/>
      <c r="V296" s="371"/>
      <c r="W296" s="371"/>
      <c r="X296" s="371"/>
      <c r="Y296" s="371"/>
      <c r="Z296" s="371"/>
    </row>
    <row r="297">
      <c r="A297" s="371"/>
      <c r="B297" s="371"/>
      <c r="C297" s="371"/>
      <c r="D297" s="372"/>
      <c r="E297" s="371"/>
      <c r="F297" s="371"/>
      <c r="G297" s="371"/>
      <c r="H297" s="371"/>
      <c r="I297" s="371"/>
      <c r="J297" s="371"/>
      <c r="K297" s="371"/>
      <c r="L297" s="371"/>
      <c r="M297" s="371"/>
      <c r="N297" s="371"/>
      <c r="O297" s="371"/>
      <c r="P297" s="371"/>
      <c r="Q297" s="371"/>
      <c r="R297" s="371"/>
      <c r="S297" s="371"/>
      <c r="T297" s="371"/>
      <c r="U297" s="371"/>
      <c r="V297" s="371"/>
      <c r="W297" s="371"/>
      <c r="X297" s="371"/>
      <c r="Y297" s="371"/>
      <c r="Z297" s="371"/>
    </row>
    <row r="298">
      <c r="A298" s="371"/>
      <c r="B298" s="371"/>
      <c r="C298" s="371"/>
      <c r="D298" s="372"/>
      <c r="E298" s="371"/>
      <c r="F298" s="371"/>
      <c r="G298" s="371"/>
      <c r="H298" s="371"/>
      <c r="I298" s="371"/>
      <c r="J298" s="371"/>
      <c r="K298" s="371"/>
      <c r="L298" s="371"/>
      <c r="M298" s="371"/>
      <c r="N298" s="371"/>
      <c r="O298" s="371"/>
      <c r="P298" s="371"/>
      <c r="Q298" s="371"/>
      <c r="R298" s="371"/>
      <c r="S298" s="371"/>
      <c r="T298" s="371"/>
      <c r="U298" s="371"/>
      <c r="V298" s="371"/>
      <c r="W298" s="371"/>
      <c r="X298" s="371"/>
      <c r="Y298" s="371"/>
      <c r="Z298" s="371"/>
    </row>
    <row r="299">
      <c r="A299" s="371"/>
      <c r="B299" s="371"/>
      <c r="C299" s="371"/>
      <c r="D299" s="372"/>
      <c r="E299" s="371"/>
      <c r="F299" s="371"/>
      <c r="G299" s="371"/>
      <c r="H299" s="371"/>
      <c r="I299" s="371"/>
      <c r="J299" s="371"/>
      <c r="K299" s="371"/>
      <c r="L299" s="371"/>
      <c r="M299" s="371"/>
      <c r="N299" s="371"/>
      <c r="O299" s="371"/>
      <c r="P299" s="371"/>
      <c r="Q299" s="371"/>
      <c r="R299" s="371"/>
      <c r="S299" s="371"/>
      <c r="T299" s="371"/>
      <c r="U299" s="371"/>
      <c r="V299" s="371"/>
      <c r="W299" s="371"/>
      <c r="X299" s="371"/>
      <c r="Y299" s="371"/>
      <c r="Z299" s="371"/>
    </row>
    <row r="300">
      <c r="A300" s="371"/>
      <c r="B300" s="371"/>
      <c r="C300" s="371"/>
      <c r="D300" s="372"/>
      <c r="E300" s="371"/>
      <c r="F300" s="371"/>
      <c r="G300" s="371"/>
      <c r="H300" s="371"/>
      <c r="I300" s="371"/>
      <c r="J300" s="371"/>
      <c r="K300" s="371"/>
      <c r="L300" s="371"/>
      <c r="M300" s="371"/>
      <c r="N300" s="371"/>
      <c r="O300" s="371"/>
      <c r="P300" s="371"/>
      <c r="Q300" s="371"/>
      <c r="R300" s="371"/>
      <c r="S300" s="371"/>
      <c r="T300" s="371"/>
      <c r="U300" s="371"/>
      <c r="V300" s="371"/>
      <c r="W300" s="371"/>
      <c r="X300" s="371"/>
      <c r="Y300" s="371"/>
      <c r="Z300" s="371"/>
    </row>
    <row r="301">
      <c r="A301" s="371"/>
      <c r="B301" s="371"/>
      <c r="C301" s="371"/>
      <c r="D301" s="372"/>
      <c r="E301" s="371"/>
      <c r="F301" s="371"/>
      <c r="G301" s="371"/>
      <c r="H301" s="371"/>
      <c r="I301" s="371"/>
      <c r="J301" s="371"/>
      <c r="K301" s="371"/>
      <c r="L301" s="371"/>
      <c r="M301" s="371"/>
      <c r="N301" s="371"/>
      <c r="O301" s="371"/>
      <c r="P301" s="371"/>
      <c r="Q301" s="371"/>
      <c r="R301" s="371"/>
      <c r="S301" s="371"/>
      <c r="T301" s="371"/>
      <c r="U301" s="371"/>
      <c r="V301" s="371"/>
      <c r="W301" s="371"/>
      <c r="X301" s="371"/>
      <c r="Y301" s="371"/>
      <c r="Z301" s="371"/>
    </row>
    <row r="302">
      <c r="A302" s="371"/>
      <c r="B302" s="371"/>
      <c r="C302" s="371"/>
      <c r="D302" s="372"/>
      <c r="E302" s="371"/>
      <c r="F302" s="371"/>
      <c r="G302" s="371"/>
      <c r="H302" s="371"/>
      <c r="I302" s="371"/>
      <c r="J302" s="371"/>
      <c r="K302" s="371"/>
      <c r="L302" s="371"/>
      <c r="M302" s="371"/>
      <c r="N302" s="371"/>
      <c r="O302" s="371"/>
      <c r="P302" s="371"/>
      <c r="Q302" s="371"/>
      <c r="R302" s="371"/>
      <c r="S302" s="371"/>
      <c r="T302" s="371"/>
      <c r="U302" s="371"/>
      <c r="V302" s="371"/>
      <c r="W302" s="371"/>
      <c r="X302" s="371"/>
      <c r="Y302" s="371"/>
      <c r="Z302" s="371"/>
    </row>
    <row r="303">
      <c r="A303" s="371"/>
      <c r="B303" s="371"/>
      <c r="C303" s="371"/>
      <c r="D303" s="372"/>
      <c r="E303" s="371"/>
      <c r="F303" s="371"/>
      <c r="G303" s="371"/>
      <c r="H303" s="371"/>
      <c r="I303" s="371"/>
      <c r="J303" s="371"/>
      <c r="K303" s="371"/>
      <c r="L303" s="371"/>
      <c r="M303" s="371"/>
      <c r="N303" s="371"/>
      <c r="O303" s="371"/>
      <c r="P303" s="371"/>
      <c r="Q303" s="371"/>
      <c r="R303" s="371"/>
      <c r="S303" s="371"/>
      <c r="T303" s="371"/>
      <c r="U303" s="371"/>
      <c r="V303" s="371"/>
      <c r="W303" s="371"/>
      <c r="X303" s="371"/>
      <c r="Y303" s="371"/>
      <c r="Z303" s="371"/>
    </row>
    <row r="304">
      <c r="A304" s="371"/>
      <c r="B304" s="371"/>
      <c r="C304" s="371"/>
      <c r="D304" s="372"/>
      <c r="E304" s="371"/>
      <c r="F304" s="371"/>
      <c r="G304" s="371"/>
      <c r="H304" s="371"/>
      <c r="I304" s="371"/>
      <c r="J304" s="371"/>
      <c r="K304" s="371"/>
      <c r="L304" s="371"/>
      <c r="M304" s="371"/>
      <c r="N304" s="371"/>
      <c r="O304" s="371"/>
      <c r="P304" s="371"/>
      <c r="Q304" s="371"/>
      <c r="R304" s="371"/>
      <c r="S304" s="371"/>
      <c r="T304" s="371"/>
      <c r="U304" s="371"/>
      <c r="V304" s="371"/>
      <c r="W304" s="371"/>
      <c r="X304" s="371"/>
      <c r="Y304" s="371"/>
      <c r="Z304" s="371"/>
    </row>
    <row r="305">
      <c r="A305" s="371"/>
      <c r="B305" s="371"/>
      <c r="C305" s="371"/>
      <c r="D305" s="372"/>
      <c r="E305" s="371"/>
      <c r="F305" s="371"/>
      <c r="G305" s="371"/>
      <c r="H305" s="371"/>
      <c r="I305" s="371"/>
      <c r="J305" s="371"/>
      <c r="K305" s="371"/>
      <c r="L305" s="371"/>
      <c r="M305" s="371"/>
      <c r="N305" s="371"/>
      <c r="O305" s="371"/>
      <c r="P305" s="371"/>
      <c r="Q305" s="371"/>
      <c r="R305" s="371"/>
      <c r="S305" s="371"/>
      <c r="T305" s="371"/>
      <c r="U305" s="371"/>
      <c r="V305" s="371"/>
      <c r="W305" s="371"/>
      <c r="X305" s="371"/>
      <c r="Y305" s="371"/>
      <c r="Z305" s="371"/>
    </row>
    <row r="306">
      <c r="A306" s="371"/>
      <c r="B306" s="371"/>
      <c r="C306" s="371"/>
      <c r="D306" s="372"/>
      <c r="E306" s="371"/>
      <c r="F306" s="371"/>
      <c r="G306" s="371"/>
      <c r="H306" s="371"/>
      <c r="I306" s="371"/>
      <c r="J306" s="371"/>
      <c r="K306" s="371"/>
      <c r="L306" s="371"/>
      <c r="M306" s="371"/>
      <c r="N306" s="371"/>
      <c r="O306" s="371"/>
      <c r="P306" s="371"/>
      <c r="Q306" s="371"/>
      <c r="R306" s="371"/>
      <c r="S306" s="371"/>
      <c r="T306" s="371"/>
      <c r="U306" s="371"/>
      <c r="V306" s="371"/>
      <c r="W306" s="371"/>
      <c r="X306" s="371"/>
      <c r="Y306" s="371"/>
      <c r="Z306" s="371"/>
    </row>
    <row r="307">
      <c r="A307" s="371"/>
      <c r="B307" s="371"/>
      <c r="C307" s="371"/>
      <c r="D307" s="372"/>
      <c r="E307" s="371"/>
      <c r="F307" s="371"/>
      <c r="G307" s="371"/>
      <c r="H307" s="371"/>
      <c r="I307" s="371"/>
      <c r="J307" s="371"/>
      <c r="K307" s="371"/>
      <c r="L307" s="371"/>
      <c r="M307" s="371"/>
      <c r="N307" s="371"/>
      <c r="O307" s="371"/>
      <c r="P307" s="371"/>
      <c r="Q307" s="371"/>
      <c r="R307" s="371"/>
      <c r="S307" s="371"/>
      <c r="T307" s="371"/>
      <c r="U307" s="371"/>
      <c r="V307" s="371"/>
      <c r="W307" s="371"/>
      <c r="X307" s="371"/>
      <c r="Y307" s="371"/>
      <c r="Z307" s="371"/>
    </row>
    <row r="308">
      <c r="A308" s="371"/>
      <c r="B308" s="371"/>
      <c r="C308" s="371"/>
      <c r="D308" s="372"/>
      <c r="E308" s="371"/>
      <c r="F308" s="371"/>
      <c r="G308" s="371"/>
      <c r="H308" s="371"/>
      <c r="I308" s="371"/>
      <c r="J308" s="371"/>
      <c r="K308" s="371"/>
      <c r="L308" s="371"/>
      <c r="M308" s="371"/>
      <c r="N308" s="371"/>
      <c r="O308" s="371"/>
      <c r="P308" s="371"/>
      <c r="Q308" s="371"/>
      <c r="R308" s="371"/>
      <c r="S308" s="371"/>
      <c r="T308" s="371"/>
      <c r="U308" s="371"/>
      <c r="V308" s="371"/>
      <c r="W308" s="371"/>
      <c r="X308" s="371"/>
      <c r="Y308" s="371"/>
      <c r="Z308" s="371"/>
    </row>
    <row r="309">
      <c r="A309" s="371"/>
      <c r="B309" s="371"/>
      <c r="C309" s="371"/>
      <c r="D309" s="372"/>
      <c r="E309" s="371"/>
      <c r="F309" s="371"/>
      <c r="G309" s="371"/>
      <c r="H309" s="371"/>
      <c r="I309" s="371"/>
      <c r="J309" s="371"/>
      <c r="K309" s="371"/>
      <c r="L309" s="371"/>
      <c r="M309" s="371"/>
      <c r="N309" s="371"/>
      <c r="O309" s="371"/>
      <c r="P309" s="371"/>
      <c r="Q309" s="371"/>
      <c r="R309" s="371"/>
      <c r="S309" s="371"/>
      <c r="T309" s="371"/>
      <c r="U309" s="371"/>
      <c r="V309" s="371"/>
      <c r="W309" s="371"/>
      <c r="X309" s="371"/>
      <c r="Y309" s="371"/>
      <c r="Z309" s="371"/>
    </row>
    <row r="310">
      <c r="A310" s="371"/>
      <c r="B310" s="371"/>
      <c r="C310" s="371"/>
      <c r="D310" s="372"/>
      <c r="E310" s="371"/>
      <c r="F310" s="371"/>
      <c r="G310" s="371"/>
      <c r="H310" s="371"/>
      <c r="I310" s="371"/>
      <c r="J310" s="371"/>
      <c r="K310" s="371"/>
      <c r="L310" s="371"/>
      <c r="M310" s="371"/>
      <c r="N310" s="371"/>
      <c r="O310" s="371"/>
      <c r="P310" s="371"/>
      <c r="Q310" s="371"/>
      <c r="R310" s="371"/>
      <c r="S310" s="371"/>
      <c r="T310" s="371"/>
      <c r="U310" s="371"/>
      <c r="V310" s="371"/>
      <c r="W310" s="371"/>
      <c r="X310" s="371"/>
      <c r="Y310" s="371"/>
      <c r="Z310" s="371"/>
    </row>
    <row r="311">
      <c r="A311" s="371"/>
      <c r="B311" s="371"/>
      <c r="C311" s="371"/>
      <c r="D311" s="372"/>
      <c r="E311" s="371"/>
      <c r="F311" s="371"/>
      <c r="G311" s="371"/>
      <c r="H311" s="371"/>
      <c r="I311" s="371"/>
      <c r="J311" s="371"/>
      <c r="K311" s="371"/>
      <c r="L311" s="371"/>
      <c r="M311" s="371"/>
      <c r="N311" s="371"/>
      <c r="O311" s="371"/>
      <c r="P311" s="371"/>
      <c r="Q311" s="371"/>
      <c r="R311" s="371"/>
      <c r="S311" s="371"/>
      <c r="T311" s="371"/>
      <c r="U311" s="371"/>
      <c r="V311" s="371"/>
      <c r="W311" s="371"/>
      <c r="X311" s="371"/>
      <c r="Y311" s="371"/>
      <c r="Z311" s="371"/>
    </row>
    <row r="312">
      <c r="A312" s="371"/>
      <c r="B312" s="371"/>
      <c r="C312" s="371"/>
      <c r="D312" s="372"/>
      <c r="E312" s="371"/>
      <c r="F312" s="371"/>
      <c r="G312" s="371"/>
      <c r="H312" s="371"/>
      <c r="I312" s="371"/>
      <c r="J312" s="371"/>
      <c r="K312" s="371"/>
      <c r="L312" s="371"/>
      <c r="M312" s="371"/>
      <c r="N312" s="371"/>
      <c r="O312" s="371"/>
      <c r="P312" s="371"/>
      <c r="Q312" s="371"/>
      <c r="R312" s="371"/>
      <c r="S312" s="371"/>
      <c r="T312" s="371"/>
      <c r="U312" s="371"/>
      <c r="V312" s="371"/>
      <c r="W312" s="371"/>
      <c r="X312" s="371"/>
      <c r="Y312" s="371"/>
      <c r="Z312" s="371"/>
    </row>
    <row r="313">
      <c r="A313" s="371"/>
      <c r="B313" s="371"/>
      <c r="C313" s="371"/>
      <c r="D313" s="372"/>
      <c r="E313" s="371"/>
      <c r="F313" s="371"/>
      <c r="G313" s="371"/>
      <c r="H313" s="371"/>
      <c r="I313" s="371"/>
      <c r="J313" s="371"/>
      <c r="K313" s="371"/>
      <c r="L313" s="371"/>
      <c r="M313" s="371"/>
      <c r="N313" s="371"/>
      <c r="O313" s="371"/>
      <c r="P313" s="371"/>
      <c r="Q313" s="371"/>
      <c r="R313" s="371"/>
      <c r="S313" s="371"/>
      <c r="T313" s="371"/>
      <c r="U313" s="371"/>
      <c r="V313" s="371"/>
      <c r="W313" s="371"/>
      <c r="X313" s="371"/>
      <c r="Y313" s="371"/>
      <c r="Z313" s="371"/>
    </row>
    <row r="314">
      <c r="A314" s="371"/>
      <c r="B314" s="371"/>
      <c r="C314" s="371"/>
      <c r="D314" s="372"/>
      <c r="E314" s="371"/>
      <c r="F314" s="371"/>
      <c r="G314" s="371"/>
      <c r="H314" s="371"/>
      <c r="I314" s="371"/>
      <c r="J314" s="371"/>
      <c r="K314" s="371"/>
      <c r="L314" s="371"/>
      <c r="M314" s="371"/>
      <c r="N314" s="371"/>
      <c r="O314" s="371"/>
      <c r="P314" s="371"/>
      <c r="Q314" s="371"/>
      <c r="R314" s="371"/>
      <c r="S314" s="371"/>
      <c r="T314" s="371"/>
      <c r="U314" s="371"/>
      <c r="V314" s="371"/>
      <c r="W314" s="371"/>
      <c r="X314" s="371"/>
      <c r="Y314" s="371"/>
      <c r="Z314" s="371"/>
    </row>
    <row r="315">
      <c r="A315" s="371"/>
      <c r="B315" s="371"/>
      <c r="C315" s="371"/>
      <c r="D315" s="372"/>
      <c r="E315" s="371"/>
      <c r="F315" s="371"/>
      <c r="G315" s="371"/>
      <c r="H315" s="371"/>
      <c r="I315" s="371"/>
      <c r="J315" s="371"/>
      <c r="K315" s="371"/>
      <c r="L315" s="371"/>
      <c r="M315" s="371"/>
      <c r="N315" s="371"/>
      <c r="O315" s="371"/>
      <c r="P315" s="371"/>
      <c r="Q315" s="371"/>
      <c r="R315" s="371"/>
      <c r="S315" s="371"/>
      <c r="T315" s="371"/>
      <c r="U315" s="371"/>
      <c r="V315" s="371"/>
      <c r="W315" s="371"/>
      <c r="X315" s="371"/>
      <c r="Y315" s="371"/>
      <c r="Z315" s="371"/>
    </row>
    <row r="316">
      <c r="A316" s="371"/>
      <c r="B316" s="371"/>
      <c r="C316" s="371"/>
      <c r="D316" s="372"/>
      <c r="E316" s="371"/>
      <c r="F316" s="371"/>
      <c r="G316" s="371"/>
      <c r="H316" s="371"/>
      <c r="I316" s="371"/>
      <c r="J316" s="371"/>
      <c r="K316" s="371"/>
      <c r="L316" s="371"/>
      <c r="M316" s="371"/>
      <c r="N316" s="371"/>
      <c r="O316" s="371"/>
      <c r="P316" s="371"/>
      <c r="Q316" s="371"/>
      <c r="R316" s="371"/>
      <c r="S316" s="371"/>
      <c r="T316" s="371"/>
      <c r="U316" s="371"/>
      <c r="V316" s="371"/>
      <c r="W316" s="371"/>
      <c r="X316" s="371"/>
      <c r="Y316" s="371"/>
      <c r="Z316" s="371"/>
    </row>
    <row r="317">
      <c r="A317" s="371"/>
      <c r="B317" s="371"/>
      <c r="C317" s="371"/>
      <c r="D317" s="372"/>
      <c r="E317" s="371"/>
      <c r="F317" s="371"/>
      <c r="G317" s="371"/>
      <c r="H317" s="371"/>
      <c r="I317" s="371"/>
      <c r="J317" s="371"/>
      <c r="K317" s="371"/>
      <c r="L317" s="371"/>
      <c r="M317" s="371"/>
      <c r="N317" s="371"/>
      <c r="O317" s="371"/>
      <c r="P317" s="371"/>
      <c r="Q317" s="371"/>
      <c r="R317" s="371"/>
      <c r="S317" s="371"/>
      <c r="T317" s="371"/>
      <c r="U317" s="371"/>
      <c r="V317" s="371"/>
      <c r="W317" s="371"/>
      <c r="X317" s="371"/>
      <c r="Y317" s="371"/>
      <c r="Z317" s="371"/>
    </row>
    <row r="318">
      <c r="A318" s="371"/>
      <c r="B318" s="371"/>
      <c r="C318" s="371"/>
      <c r="D318" s="372"/>
      <c r="E318" s="371"/>
      <c r="F318" s="371"/>
      <c r="G318" s="371"/>
      <c r="H318" s="371"/>
      <c r="I318" s="371"/>
      <c r="J318" s="371"/>
      <c r="K318" s="371"/>
      <c r="L318" s="371"/>
      <c r="M318" s="371"/>
      <c r="N318" s="371"/>
      <c r="O318" s="371"/>
      <c r="P318" s="371"/>
      <c r="Q318" s="371"/>
      <c r="R318" s="371"/>
      <c r="S318" s="371"/>
      <c r="T318" s="371"/>
      <c r="U318" s="371"/>
      <c r="V318" s="371"/>
      <c r="W318" s="371"/>
      <c r="X318" s="371"/>
      <c r="Y318" s="371"/>
      <c r="Z318" s="371"/>
    </row>
    <row r="319">
      <c r="A319" s="371"/>
      <c r="B319" s="371"/>
      <c r="C319" s="371"/>
      <c r="D319" s="372"/>
      <c r="E319" s="371"/>
      <c r="F319" s="371"/>
      <c r="G319" s="371"/>
      <c r="H319" s="371"/>
      <c r="I319" s="371"/>
      <c r="J319" s="371"/>
      <c r="K319" s="371"/>
      <c r="L319" s="371"/>
      <c r="M319" s="371"/>
      <c r="N319" s="371"/>
      <c r="O319" s="371"/>
      <c r="P319" s="371"/>
      <c r="Q319" s="371"/>
      <c r="R319" s="371"/>
      <c r="S319" s="371"/>
      <c r="T319" s="371"/>
      <c r="U319" s="371"/>
      <c r="V319" s="371"/>
      <c r="W319" s="371"/>
      <c r="X319" s="371"/>
      <c r="Y319" s="371"/>
      <c r="Z319" s="371"/>
    </row>
    <row r="320">
      <c r="A320" s="371"/>
      <c r="B320" s="371"/>
      <c r="C320" s="371"/>
      <c r="D320" s="372"/>
      <c r="E320" s="371"/>
      <c r="F320" s="371"/>
      <c r="G320" s="371"/>
      <c r="H320" s="371"/>
      <c r="I320" s="371"/>
      <c r="J320" s="371"/>
      <c r="K320" s="371"/>
      <c r="L320" s="371"/>
      <c r="M320" s="371"/>
      <c r="N320" s="371"/>
      <c r="O320" s="371"/>
      <c r="P320" s="371"/>
      <c r="Q320" s="371"/>
      <c r="R320" s="371"/>
      <c r="S320" s="371"/>
      <c r="T320" s="371"/>
      <c r="U320" s="371"/>
      <c r="V320" s="371"/>
      <c r="W320" s="371"/>
      <c r="X320" s="371"/>
      <c r="Y320" s="371"/>
      <c r="Z320" s="371"/>
    </row>
    <row r="321">
      <c r="A321" s="371"/>
      <c r="B321" s="371"/>
      <c r="C321" s="371"/>
      <c r="D321" s="372"/>
      <c r="E321" s="371"/>
      <c r="F321" s="371"/>
      <c r="G321" s="371"/>
      <c r="H321" s="371"/>
      <c r="I321" s="371"/>
      <c r="J321" s="371"/>
      <c r="K321" s="371"/>
      <c r="L321" s="371"/>
      <c r="M321" s="371"/>
      <c r="N321" s="371"/>
      <c r="O321" s="371"/>
      <c r="P321" s="371"/>
      <c r="Q321" s="371"/>
      <c r="R321" s="371"/>
      <c r="S321" s="371"/>
      <c r="T321" s="371"/>
      <c r="U321" s="371"/>
      <c r="V321" s="371"/>
      <c r="W321" s="371"/>
      <c r="X321" s="371"/>
      <c r="Y321" s="371"/>
      <c r="Z321" s="371"/>
    </row>
    <row r="322">
      <c r="A322" s="371"/>
      <c r="B322" s="371"/>
      <c r="C322" s="371"/>
      <c r="D322" s="372"/>
      <c r="E322" s="371"/>
      <c r="F322" s="371"/>
      <c r="G322" s="371"/>
      <c r="H322" s="371"/>
      <c r="I322" s="371"/>
      <c r="J322" s="371"/>
      <c r="K322" s="371"/>
      <c r="L322" s="371"/>
      <c r="M322" s="371"/>
      <c r="N322" s="371"/>
      <c r="O322" s="371"/>
      <c r="P322" s="371"/>
      <c r="Q322" s="371"/>
      <c r="R322" s="371"/>
      <c r="S322" s="371"/>
      <c r="T322" s="371"/>
      <c r="U322" s="371"/>
      <c r="V322" s="371"/>
      <c r="W322" s="371"/>
      <c r="X322" s="371"/>
      <c r="Y322" s="371"/>
      <c r="Z322" s="371"/>
    </row>
    <row r="323">
      <c r="A323" s="371"/>
      <c r="B323" s="371"/>
      <c r="C323" s="371"/>
      <c r="D323" s="372"/>
      <c r="E323" s="371"/>
      <c r="F323" s="371"/>
      <c r="G323" s="371"/>
      <c r="H323" s="371"/>
      <c r="I323" s="371"/>
      <c r="J323" s="371"/>
      <c r="K323" s="371"/>
      <c r="L323" s="371"/>
      <c r="M323" s="371"/>
      <c r="N323" s="371"/>
      <c r="O323" s="371"/>
      <c r="P323" s="371"/>
      <c r="Q323" s="371"/>
      <c r="R323" s="371"/>
      <c r="S323" s="371"/>
      <c r="T323" s="371"/>
      <c r="U323" s="371"/>
      <c r="V323" s="371"/>
      <c r="W323" s="371"/>
      <c r="X323" s="371"/>
      <c r="Y323" s="371"/>
      <c r="Z323" s="371"/>
    </row>
    <row r="324">
      <c r="A324" s="371"/>
      <c r="B324" s="371"/>
      <c r="C324" s="371"/>
      <c r="D324" s="372"/>
      <c r="E324" s="371"/>
      <c r="F324" s="371"/>
      <c r="G324" s="371"/>
      <c r="H324" s="371"/>
      <c r="I324" s="371"/>
      <c r="J324" s="371"/>
      <c r="K324" s="371"/>
      <c r="L324" s="371"/>
      <c r="M324" s="371"/>
      <c r="N324" s="371"/>
      <c r="O324" s="371"/>
      <c r="P324" s="371"/>
      <c r="Q324" s="371"/>
      <c r="R324" s="371"/>
      <c r="S324" s="371"/>
      <c r="T324" s="371"/>
      <c r="U324" s="371"/>
      <c r="V324" s="371"/>
      <c r="W324" s="371"/>
      <c r="X324" s="371"/>
      <c r="Y324" s="371"/>
      <c r="Z324" s="371"/>
    </row>
    <row r="325">
      <c r="A325" s="371"/>
      <c r="B325" s="371"/>
      <c r="C325" s="371"/>
      <c r="D325" s="372"/>
      <c r="E325" s="371"/>
      <c r="F325" s="371"/>
      <c r="G325" s="371"/>
      <c r="H325" s="371"/>
      <c r="I325" s="371"/>
      <c r="J325" s="371"/>
      <c r="K325" s="371"/>
      <c r="L325" s="371"/>
      <c r="M325" s="371"/>
      <c r="N325" s="371"/>
      <c r="O325" s="371"/>
      <c r="P325" s="371"/>
      <c r="Q325" s="371"/>
      <c r="R325" s="371"/>
      <c r="S325" s="371"/>
      <c r="T325" s="371"/>
      <c r="U325" s="371"/>
      <c r="V325" s="371"/>
      <c r="W325" s="371"/>
      <c r="X325" s="371"/>
      <c r="Y325" s="371"/>
      <c r="Z325" s="371"/>
    </row>
    <row r="326">
      <c r="A326" s="371"/>
      <c r="B326" s="371"/>
      <c r="C326" s="371"/>
      <c r="D326" s="372"/>
      <c r="E326" s="371"/>
      <c r="F326" s="371"/>
      <c r="G326" s="371"/>
      <c r="H326" s="371"/>
      <c r="I326" s="371"/>
      <c r="J326" s="371"/>
      <c r="K326" s="371"/>
      <c r="L326" s="371"/>
      <c r="M326" s="371"/>
      <c r="N326" s="371"/>
      <c r="O326" s="371"/>
      <c r="P326" s="371"/>
      <c r="Q326" s="371"/>
      <c r="R326" s="371"/>
      <c r="S326" s="371"/>
      <c r="T326" s="371"/>
      <c r="U326" s="371"/>
      <c r="V326" s="371"/>
      <c r="W326" s="371"/>
      <c r="X326" s="371"/>
      <c r="Y326" s="371"/>
      <c r="Z326" s="371"/>
    </row>
    <row r="327">
      <c r="A327" s="371"/>
      <c r="B327" s="371"/>
      <c r="C327" s="371"/>
      <c r="D327" s="372"/>
      <c r="E327" s="371"/>
      <c r="F327" s="371"/>
      <c r="G327" s="371"/>
      <c r="H327" s="371"/>
      <c r="I327" s="371"/>
      <c r="J327" s="371"/>
      <c r="K327" s="371"/>
      <c r="L327" s="371"/>
      <c r="M327" s="371"/>
      <c r="N327" s="371"/>
      <c r="O327" s="371"/>
      <c r="P327" s="371"/>
      <c r="Q327" s="371"/>
      <c r="R327" s="371"/>
      <c r="S327" s="371"/>
      <c r="T327" s="371"/>
      <c r="U327" s="371"/>
      <c r="V327" s="371"/>
      <c r="W327" s="371"/>
      <c r="X327" s="371"/>
      <c r="Y327" s="371"/>
      <c r="Z327" s="371"/>
    </row>
    <row r="328">
      <c r="A328" s="371"/>
      <c r="B328" s="371"/>
      <c r="C328" s="371"/>
      <c r="D328" s="372"/>
      <c r="E328" s="371"/>
      <c r="F328" s="371"/>
      <c r="G328" s="371"/>
      <c r="H328" s="371"/>
      <c r="I328" s="371"/>
      <c r="J328" s="371"/>
      <c r="K328" s="371"/>
      <c r="L328" s="371"/>
      <c r="M328" s="371"/>
      <c r="N328" s="371"/>
      <c r="O328" s="371"/>
      <c r="P328" s="371"/>
      <c r="Q328" s="371"/>
      <c r="R328" s="371"/>
      <c r="S328" s="371"/>
      <c r="T328" s="371"/>
      <c r="U328" s="371"/>
      <c r="V328" s="371"/>
      <c r="W328" s="371"/>
      <c r="X328" s="371"/>
      <c r="Y328" s="371"/>
      <c r="Z328" s="371"/>
    </row>
    <row r="329">
      <c r="A329" s="371"/>
      <c r="B329" s="371"/>
      <c r="C329" s="371"/>
      <c r="D329" s="372"/>
      <c r="E329" s="371"/>
      <c r="F329" s="371"/>
      <c r="G329" s="371"/>
      <c r="H329" s="371"/>
      <c r="I329" s="371"/>
      <c r="J329" s="371"/>
      <c r="K329" s="371"/>
      <c r="L329" s="371"/>
      <c r="M329" s="371"/>
      <c r="N329" s="371"/>
      <c r="O329" s="371"/>
      <c r="P329" s="371"/>
      <c r="Q329" s="371"/>
      <c r="R329" s="371"/>
      <c r="S329" s="371"/>
      <c r="T329" s="371"/>
      <c r="U329" s="371"/>
      <c r="V329" s="371"/>
      <c r="W329" s="371"/>
      <c r="X329" s="371"/>
      <c r="Y329" s="371"/>
      <c r="Z329" s="371"/>
    </row>
    <row r="330">
      <c r="A330" s="371"/>
      <c r="B330" s="371"/>
      <c r="C330" s="371"/>
      <c r="D330" s="372"/>
      <c r="E330" s="371"/>
      <c r="F330" s="371"/>
      <c r="G330" s="371"/>
      <c r="H330" s="371"/>
      <c r="I330" s="371"/>
      <c r="J330" s="371"/>
      <c r="K330" s="371"/>
      <c r="L330" s="371"/>
      <c r="M330" s="371"/>
      <c r="N330" s="371"/>
      <c r="O330" s="371"/>
      <c r="P330" s="371"/>
      <c r="Q330" s="371"/>
      <c r="R330" s="371"/>
      <c r="S330" s="371"/>
      <c r="T330" s="371"/>
      <c r="U330" s="371"/>
      <c r="V330" s="371"/>
      <c r="W330" s="371"/>
      <c r="X330" s="371"/>
      <c r="Y330" s="371"/>
      <c r="Z330" s="371"/>
    </row>
    <row r="331">
      <c r="A331" s="371"/>
      <c r="B331" s="371"/>
      <c r="C331" s="371"/>
      <c r="D331" s="372"/>
      <c r="E331" s="371"/>
      <c r="F331" s="371"/>
      <c r="G331" s="371"/>
      <c r="H331" s="371"/>
      <c r="I331" s="371"/>
      <c r="J331" s="371"/>
      <c r="K331" s="371"/>
      <c r="L331" s="371"/>
      <c r="M331" s="371"/>
      <c r="N331" s="371"/>
      <c r="O331" s="371"/>
      <c r="P331" s="371"/>
      <c r="Q331" s="371"/>
      <c r="R331" s="371"/>
      <c r="S331" s="371"/>
      <c r="T331" s="371"/>
      <c r="U331" s="371"/>
      <c r="V331" s="371"/>
      <c r="W331" s="371"/>
      <c r="X331" s="371"/>
      <c r="Y331" s="371"/>
      <c r="Z331" s="371"/>
    </row>
    <row r="332">
      <c r="A332" s="371"/>
      <c r="B332" s="371"/>
      <c r="C332" s="371"/>
      <c r="D332" s="372"/>
      <c r="E332" s="371"/>
      <c r="F332" s="371"/>
      <c r="G332" s="371"/>
      <c r="H332" s="371"/>
      <c r="I332" s="371"/>
      <c r="J332" s="371"/>
      <c r="K332" s="371"/>
      <c r="L332" s="371"/>
      <c r="M332" s="371"/>
      <c r="N332" s="371"/>
      <c r="O332" s="371"/>
      <c r="P332" s="371"/>
      <c r="Q332" s="371"/>
      <c r="R332" s="371"/>
      <c r="S332" s="371"/>
      <c r="T332" s="371"/>
      <c r="U332" s="371"/>
      <c r="V332" s="371"/>
      <c r="W332" s="371"/>
      <c r="X332" s="371"/>
      <c r="Y332" s="371"/>
      <c r="Z332" s="371"/>
    </row>
    <row r="333">
      <c r="A333" s="371"/>
      <c r="B333" s="371"/>
      <c r="C333" s="371"/>
      <c r="D333" s="372"/>
      <c r="E333" s="371"/>
      <c r="F333" s="371"/>
      <c r="G333" s="371"/>
      <c r="H333" s="371"/>
      <c r="I333" s="371"/>
      <c r="J333" s="371"/>
      <c r="K333" s="371"/>
      <c r="L333" s="371"/>
      <c r="M333" s="371"/>
      <c r="N333" s="371"/>
      <c r="O333" s="371"/>
      <c r="P333" s="371"/>
      <c r="Q333" s="371"/>
      <c r="R333" s="371"/>
      <c r="S333" s="371"/>
      <c r="T333" s="371"/>
      <c r="U333" s="371"/>
      <c r="V333" s="371"/>
      <c r="W333" s="371"/>
      <c r="X333" s="371"/>
      <c r="Y333" s="371"/>
      <c r="Z333" s="371"/>
    </row>
    <row r="334">
      <c r="A334" s="371"/>
      <c r="B334" s="371"/>
      <c r="C334" s="371"/>
      <c r="D334" s="372"/>
      <c r="E334" s="371"/>
      <c r="F334" s="371"/>
      <c r="G334" s="371"/>
      <c r="H334" s="371"/>
      <c r="I334" s="371"/>
      <c r="J334" s="371"/>
      <c r="K334" s="371"/>
      <c r="L334" s="371"/>
      <c r="M334" s="371"/>
      <c r="N334" s="371"/>
      <c r="O334" s="371"/>
      <c r="P334" s="371"/>
      <c r="Q334" s="371"/>
      <c r="R334" s="371"/>
      <c r="S334" s="371"/>
      <c r="T334" s="371"/>
      <c r="U334" s="371"/>
      <c r="V334" s="371"/>
      <c r="W334" s="371"/>
      <c r="X334" s="371"/>
      <c r="Y334" s="371"/>
      <c r="Z334" s="371"/>
    </row>
    <row r="335">
      <c r="A335" s="371"/>
      <c r="B335" s="371"/>
      <c r="C335" s="371"/>
      <c r="D335" s="372"/>
      <c r="E335" s="371"/>
      <c r="F335" s="371"/>
      <c r="G335" s="371"/>
      <c r="H335" s="371"/>
      <c r="I335" s="371"/>
      <c r="J335" s="371"/>
      <c r="K335" s="371"/>
      <c r="L335" s="371"/>
      <c r="M335" s="371"/>
      <c r="N335" s="371"/>
      <c r="O335" s="371"/>
      <c r="P335" s="371"/>
      <c r="Q335" s="371"/>
      <c r="R335" s="371"/>
      <c r="S335" s="371"/>
      <c r="T335" s="371"/>
      <c r="U335" s="371"/>
      <c r="V335" s="371"/>
      <c r="W335" s="371"/>
      <c r="X335" s="371"/>
      <c r="Y335" s="371"/>
      <c r="Z335" s="371"/>
    </row>
    <row r="336">
      <c r="A336" s="371"/>
      <c r="B336" s="371"/>
      <c r="C336" s="371"/>
      <c r="D336" s="372"/>
      <c r="E336" s="371"/>
      <c r="F336" s="371"/>
      <c r="G336" s="371"/>
      <c r="H336" s="371"/>
      <c r="I336" s="371"/>
      <c r="J336" s="371"/>
      <c r="K336" s="371"/>
      <c r="L336" s="371"/>
      <c r="M336" s="371"/>
      <c r="N336" s="371"/>
      <c r="O336" s="371"/>
      <c r="P336" s="371"/>
      <c r="Q336" s="371"/>
      <c r="R336" s="371"/>
      <c r="S336" s="371"/>
      <c r="T336" s="371"/>
      <c r="U336" s="371"/>
      <c r="V336" s="371"/>
      <c r="W336" s="371"/>
      <c r="X336" s="371"/>
      <c r="Y336" s="371"/>
      <c r="Z336" s="371"/>
    </row>
    <row r="337">
      <c r="A337" s="371"/>
      <c r="B337" s="371"/>
      <c r="C337" s="371"/>
      <c r="D337" s="372"/>
      <c r="E337" s="371"/>
      <c r="F337" s="371"/>
      <c r="G337" s="371"/>
      <c r="H337" s="371"/>
      <c r="I337" s="371"/>
      <c r="J337" s="371"/>
      <c r="K337" s="371"/>
      <c r="L337" s="371"/>
      <c r="M337" s="371"/>
      <c r="N337" s="371"/>
      <c r="O337" s="371"/>
      <c r="P337" s="371"/>
      <c r="Q337" s="371"/>
      <c r="R337" s="371"/>
      <c r="S337" s="371"/>
      <c r="T337" s="371"/>
      <c r="U337" s="371"/>
      <c r="V337" s="371"/>
      <c r="W337" s="371"/>
      <c r="X337" s="371"/>
      <c r="Y337" s="371"/>
      <c r="Z337" s="371"/>
    </row>
    <row r="338">
      <c r="A338" s="371"/>
      <c r="B338" s="371"/>
      <c r="C338" s="371"/>
      <c r="D338" s="372"/>
      <c r="E338" s="371"/>
      <c r="F338" s="371"/>
      <c r="G338" s="371"/>
      <c r="H338" s="371"/>
      <c r="I338" s="371"/>
      <c r="J338" s="371"/>
      <c r="K338" s="371"/>
      <c r="L338" s="371"/>
      <c r="M338" s="371"/>
      <c r="N338" s="371"/>
      <c r="O338" s="371"/>
      <c r="P338" s="371"/>
      <c r="Q338" s="371"/>
      <c r="R338" s="371"/>
      <c r="S338" s="371"/>
      <c r="T338" s="371"/>
      <c r="U338" s="371"/>
      <c r="V338" s="371"/>
      <c r="W338" s="371"/>
      <c r="X338" s="371"/>
      <c r="Y338" s="371"/>
      <c r="Z338" s="371"/>
    </row>
    <row r="339">
      <c r="A339" s="371"/>
      <c r="B339" s="371"/>
      <c r="C339" s="371"/>
      <c r="D339" s="372"/>
      <c r="E339" s="371"/>
      <c r="F339" s="371"/>
      <c r="G339" s="371"/>
      <c r="H339" s="371"/>
      <c r="I339" s="371"/>
      <c r="J339" s="371"/>
      <c r="K339" s="371"/>
      <c r="L339" s="371"/>
      <c r="M339" s="371"/>
      <c r="N339" s="371"/>
      <c r="O339" s="371"/>
      <c r="P339" s="371"/>
      <c r="Q339" s="371"/>
      <c r="R339" s="371"/>
      <c r="S339" s="371"/>
      <c r="T339" s="371"/>
      <c r="U339" s="371"/>
      <c r="V339" s="371"/>
      <c r="W339" s="371"/>
      <c r="X339" s="371"/>
      <c r="Y339" s="371"/>
      <c r="Z339" s="371"/>
    </row>
    <row r="340">
      <c r="A340" s="371"/>
      <c r="B340" s="371"/>
      <c r="C340" s="371"/>
      <c r="D340" s="372"/>
      <c r="E340" s="371"/>
      <c r="F340" s="371"/>
      <c r="G340" s="371"/>
      <c r="H340" s="371"/>
      <c r="I340" s="371"/>
      <c r="J340" s="371"/>
      <c r="K340" s="371"/>
      <c r="L340" s="371"/>
      <c r="M340" s="371"/>
      <c r="N340" s="371"/>
      <c r="O340" s="371"/>
      <c r="P340" s="371"/>
      <c r="Q340" s="371"/>
      <c r="R340" s="371"/>
      <c r="S340" s="371"/>
      <c r="T340" s="371"/>
      <c r="U340" s="371"/>
      <c r="V340" s="371"/>
      <c r="W340" s="371"/>
      <c r="X340" s="371"/>
      <c r="Y340" s="371"/>
      <c r="Z340" s="371"/>
    </row>
    <row r="341">
      <c r="A341" s="371"/>
      <c r="B341" s="371"/>
      <c r="C341" s="371"/>
      <c r="D341" s="372"/>
      <c r="E341" s="371"/>
      <c r="F341" s="371"/>
      <c r="G341" s="371"/>
      <c r="H341" s="371"/>
      <c r="I341" s="371"/>
      <c r="J341" s="371"/>
      <c r="K341" s="371"/>
      <c r="L341" s="371"/>
      <c r="M341" s="371"/>
      <c r="N341" s="371"/>
      <c r="O341" s="371"/>
      <c r="P341" s="371"/>
      <c r="Q341" s="371"/>
      <c r="R341" s="371"/>
      <c r="S341" s="371"/>
      <c r="T341" s="371"/>
      <c r="U341" s="371"/>
      <c r="V341" s="371"/>
      <c r="W341" s="371"/>
      <c r="X341" s="371"/>
      <c r="Y341" s="371"/>
      <c r="Z341" s="371"/>
    </row>
    <row r="342">
      <c r="A342" s="371"/>
      <c r="B342" s="371"/>
      <c r="C342" s="371"/>
      <c r="D342" s="372"/>
      <c r="E342" s="371"/>
      <c r="F342" s="371"/>
      <c r="G342" s="371"/>
      <c r="H342" s="371"/>
      <c r="I342" s="371"/>
      <c r="J342" s="371"/>
      <c r="K342" s="371"/>
      <c r="L342" s="371"/>
      <c r="M342" s="371"/>
      <c r="N342" s="371"/>
      <c r="O342" s="371"/>
      <c r="P342" s="371"/>
      <c r="Q342" s="371"/>
      <c r="R342" s="371"/>
      <c r="S342" s="371"/>
      <c r="T342" s="371"/>
      <c r="U342" s="371"/>
      <c r="V342" s="371"/>
      <c r="W342" s="371"/>
      <c r="X342" s="371"/>
      <c r="Y342" s="371"/>
      <c r="Z342" s="371"/>
    </row>
    <row r="343">
      <c r="A343" s="371"/>
      <c r="B343" s="371"/>
      <c r="C343" s="371"/>
      <c r="D343" s="372"/>
      <c r="E343" s="371"/>
      <c r="F343" s="371"/>
      <c r="G343" s="371"/>
      <c r="H343" s="371"/>
      <c r="I343" s="371"/>
      <c r="J343" s="371"/>
      <c r="K343" s="371"/>
      <c r="L343" s="371"/>
      <c r="M343" s="371"/>
      <c r="N343" s="371"/>
      <c r="O343" s="371"/>
      <c r="P343" s="371"/>
      <c r="Q343" s="371"/>
      <c r="R343" s="371"/>
      <c r="S343" s="371"/>
      <c r="T343" s="371"/>
      <c r="U343" s="371"/>
      <c r="V343" s="371"/>
      <c r="W343" s="371"/>
      <c r="X343" s="371"/>
      <c r="Y343" s="371"/>
      <c r="Z343" s="371"/>
    </row>
    <row r="344">
      <c r="A344" s="371"/>
      <c r="B344" s="371"/>
      <c r="C344" s="371"/>
      <c r="D344" s="372"/>
      <c r="E344" s="371"/>
      <c r="F344" s="371"/>
      <c r="G344" s="371"/>
      <c r="H344" s="371"/>
      <c r="I344" s="371"/>
      <c r="J344" s="371"/>
      <c r="K344" s="371"/>
      <c r="L344" s="371"/>
      <c r="M344" s="371"/>
      <c r="N344" s="371"/>
      <c r="O344" s="371"/>
      <c r="P344" s="371"/>
      <c r="Q344" s="371"/>
      <c r="R344" s="371"/>
      <c r="S344" s="371"/>
      <c r="T344" s="371"/>
      <c r="U344" s="371"/>
      <c r="V344" s="371"/>
      <c r="W344" s="371"/>
      <c r="X344" s="371"/>
      <c r="Y344" s="371"/>
      <c r="Z344" s="371"/>
    </row>
    <row r="345">
      <c r="A345" s="371"/>
      <c r="B345" s="371"/>
      <c r="C345" s="371"/>
      <c r="D345" s="372"/>
      <c r="E345" s="371"/>
      <c r="F345" s="371"/>
      <c r="G345" s="371"/>
      <c r="H345" s="371"/>
      <c r="I345" s="371"/>
      <c r="J345" s="371"/>
      <c r="K345" s="371"/>
      <c r="L345" s="371"/>
      <c r="M345" s="371"/>
      <c r="N345" s="371"/>
      <c r="O345" s="371"/>
      <c r="P345" s="371"/>
      <c r="Q345" s="371"/>
      <c r="R345" s="371"/>
      <c r="S345" s="371"/>
      <c r="T345" s="371"/>
      <c r="U345" s="371"/>
      <c r="V345" s="371"/>
      <c r="W345" s="371"/>
      <c r="X345" s="371"/>
      <c r="Y345" s="371"/>
      <c r="Z345" s="371"/>
    </row>
    <row r="346">
      <c r="A346" s="371"/>
      <c r="B346" s="371"/>
      <c r="C346" s="371"/>
      <c r="D346" s="372"/>
      <c r="E346" s="371"/>
      <c r="F346" s="371"/>
      <c r="G346" s="371"/>
      <c r="H346" s="371"/>
      <c r="I346" s="371"/>
      <c r="J346" s="371"/>
      <c r="K346" s="371"/>
      <c r="L346" s="371"/>
      <c r="M346" s="371"/>
      <c r="N346" s="371"/>
      <c r="O346" s="371"/>
      <c r="P346" s="371"/>
      <c r="Q346" s="371"/>
      <c r="R346" s="371"/>
      <c r="S346" s="371"/>
      <c r="T346" s="371"/>
      <c r="U346" s="371"/>
      <c r="V346" s="371"/>
      <c r="W346" s="371"/>
      <c r="X346" s="371"/>
      <c r="Y346" s="371"/>
      <c r="Z346" s="371"/>
    </row>
    <row r="347">
      <c r="A347" s="371"/>
      <c r="B347" s="371"/>
      <c r="C347" s="371"/>
      <c r="D347" s="372"/>
      <c r="E347" s="371"/>
      <c r="F347" s="371"/>
      <c r="G347" s="371"/>
      <c r="H347" s="371"/>
      <c r="I347" s="371"/>
      <c r="J347" s="371"/>
      <c r="K347" s="371"/>
      <c r="L347" s="371"/>
      <c r="M347" s="371"/>
      <c r="N347" s="371"/>
      <c r="O347" s="371"/>
      <c r="P347" s="371"/>
      <c r="Q347" s="371"/>
      <c r="R347" s="371"/>
      <c r="S347" s="371"/>
      <c r="T347" s="371"/>
      <c r="U347" s="371"/>
      <c r="V347" s="371"/>
      <c r="W347" s="371"/>
      <c r="X347" s="371"/>
      <c r="Y347" s="371"/>
      <c r="Z347" s="371"/>
    </row>
    <row r="348">
      <c r="A348" s="371"/>
      <c r="B348" s="371"/>
      <c r="C348" s="371"/>
      <c r="D348" s="372"/>
      <c r="E348" s="371"/>
      <c r="F348" s="371"/>
      <c r="G348" s="371"/>
      <c r="H348" s="371"/>
      <c r="I348" s="371"/>
      <c r="J348" s="371"/>
      <c r="K348" s="371"/>
      <c r="L348" s="371"/>
      <c r="M348" s="371"/>
      <c r="N348" s="371"/>
      <c r="O348" s="371"/>
      <c r="P348" s="371"/>
      <c r="Q348" s="371"/>
      <c r="R348" s="371"/>
      <c r="S348" s="371"/>
      <c r="T348" s="371"/>
      <c r="U348" s="371"/>
      <c r="V348" s="371"/>
      <c r="W348" s="371"/>
      <c r="X348" s="371"/>
      <c r="Y348" s="371"/>
      <c r="Z348" s="371"/>
    </row>
    <row r="349">
      <c r="A349" s="371"/>
      <c r="B349" s="371"/>
      <c r="C349" s="371"/>
      <c r="D349" s="372"/>
      <c r="E349" s="371"/>
      <c r="F349" s="371"/>
      <c r="G349" s="371"/>
      <c r="H349" s="371"/>
      <c r="I349" s="371"/>
      <c r="J349" s="371"/>
      <c r="K349" s="371"/>
      <c r="L349" s="371"/>
      <c r="M349" s="371"/>
      <c r="N349" s="371"/>
      <c r="O349" s="371"/>
      <c r="P349" s="371"/>
      <c r="Q349" s="371"/>
      <c r="R349" s="371"/>
      <c r="S349" s="371"/>
      <c r="T349" s="371"/>
      <c r="U349" s="371"/>
      <c r="V349" s="371"/>
      <c r="W349" s="371"/>
      <c r="X349" s="371"/>
      <c r="Y349" s="371"/>
      <c r="Z349" s="371"/>
    </row>
    <row r="350">
      <c r="A350" s="371"/>
      <c r="B350" s="371"/>
      <c r="C350" s="371"/>
      <c r="D350" s="372"/>
      <c r="E350" s="371"/>
      <c r="F350" s="371"/>
      <c r="G350" s="371"/>
      <c r="H350" s="371"/>
      <c r="I350" s="371"/>
      <c r="J350" s="371"/>
      <c r="K350" s="371"/>
      <c r="L350" s="371"/>
      <c r="M350" s="371"/>
      <c r="N350" s="371"/>
      <c r="O350" s="371"/>
      <c r="P350" s="371"/>
      <c r="Q350" s="371"/>
      <c r="R350" s="371"/>
      <c r="S350" s="371"/>
      <c r="T350" s="371"/>
      <c r="U350" s="371"/>
      <c r="V350" s="371"/>
      <c r="W350" s="371"/>
      <c r="X350" s="371"/>
      <c r="Y350" s="371"/>
      <c r="Z350" s="371"/>
    </row>
    <row r="351">
      <c r="A351" s="371"/>
      <c r="B351" s="371"/>
      <c r="C351" s="371"/>
      <c r="D351" s="372"/>
      <c r="E351" s="371"/>
      <c r="F351" s="371"/>
      <c r="G351" s="371"/>
      <c r="H351" s="371"/>
      <c r="I351" s="371"/>
      <c r="J351" s="371"/>
      <c r="K351" s="371"/>
      <c r="L351" s="371"/>
      <c r="M351" s="371"/>
      <c r="N351" s="371"/>
      <c r="O351" s="371"/>
      <c r="P351" s="371"/>
      <c r="Q351" s="371"/>
      <c r="R351" s="371"/>
      <c r="S351" s="371"/>
      <c r="T351" s="371"/>
      <c r="U351" s="371"/>
      <c r="V351" s="371"/>
      <c r="W351" s="371"/>
      <c r="X351" s="371"/>
      <c r="Y351" s="371"/>
      <c r="Z351" s="371"/>
    </row>
    <row r="352">
      <c r="A352" s="371"/>
      <c r="B352" s="371"/>
      <c r="C352" s="371"/>
      <c r="D352" s="372"/>
      <c r="E352" s="371"/>
      <c r="F352" s="371"/>
      <c r="G352" s="371"/>
      <c r="H352" s="371"/>
      <c r="I352" s="371"/>
      <c r="J352" s="371"/>
      <c r="K352" s="371"/>
      <c r="L352" s="371"/>
      <c r="M352" s="371"/>
      <c r="N352" s="371"/>
      <c r="O352" s="371"/>
      <c r="P352" s="371"/>
      <c r="Q352" s="371"/>
      <c r="R352" s="371"/>
      <c r="S352" s="371"/>
      <c r="T352" s="371"/>
      <c r="U352" s="371"/>
      <c r="V352" s="371"/>
      <c r="W352" s="371"/>
      <c r="X352" s="371"/>
      <c r="Y352" s="371"/>
      <c r="Z352" s="371"/>
    </row>
    <row r="353">
      <c r="A353" s="371"/>
      <c r="B353" s="371"/>
      <c r="C353" s="371"/>
      <c r="D353" s="372"/>
      <c r="E353" s="371"/>
      <c r="F353" s="371"/>
      <c r="G353" s="371"/>
      <c r="H353" s="371"/>
      <c r="I353" s="371"/>
      <c r="J353" s="371"/>
      <c r="K353" s="371"/>
      <c r="L353" s="371"/>
      <c r="M353" s="371"/>
      <c r="N353" s="371"/>
      <c r="O353" s="371"/>
      <c r="P353" s="371"/>
      <c r="Q353" s="371"/>
      <c r="R353" s="371"/>
      <c r="S353" s="371"/>
      <c r="T353" s="371"/>
      <c r="U353" s="371"/>
      <c r="V353" s="371"/>
      <c r="W353" s="371"/>
      <c r="X353" s="371"/>
      <c r="Y353" s="371"/>
      <c r="Z353" s="371"/>
    </row>
    <row r="354">
      <c r="A354" s="371"/>
      <c r="B354" s="371"/>
      <c r="C354" s="371"/>
      <c r="D354" s="372"/>
      <c r="E354" s="371"/>
      <c r="F354" s="371"/>
      <c r="G354" s="371"/>
      <c r="H354" s="371"/>
      <c r="I354" s="371"/>
      <c r="J354" s="371"/>
      <c r="K354" s="371"/>
      <c r="L354" s="371"/>
      <c r="M354" s="371"/>
      <c r="N354" s="371"/>
      <c r="O354" s="371"/>
      <c r="P354" s="371"/>
      <c r="Q354" s="371"/>
      <c r="R354" s="371"/>
      <c r="S354" s="371"/>
      <c r="T354" s="371"/>
      <c r="U354" s="371"/>
      <c r="V354" s="371"/>
      <c r="W354" s="371"/>
      <c r="X354" s="371"/>
      <c r="Y354" s="371"/>
      <c r="Z354" s="371"/>
    </row>
    <row r="355">
      <c r="A355" s="371"/>
      <c r="B355" s="371"/>
      <c r="C355" s="371"/>
      <c r="D355" s="372"/>
      <c r="E355" s="371"/>
      <c r="F355" s="371"/>
      <c r="G355" s="371"/>
      <c r="H355" s="371"/>
      <c r="I355" s="371"/>
      <c r="J355" s="371"/>
      <c r="K355" s="371"/>
      <c r="L355" s="371"/>
      <c r="M355" s="371"/>
      <c r="N355" s="371"/>
      <c r="O355" s="371"/>
      <c r="P355" s="371"/>
      <c r="Q355" s="371"/>
      <c r="R355" s="371"/>
      <c r="S355" s="371"/>
      <c r="T355" s="371"/>
      <c r="U355" s="371"/>
      <c r="V355" s="371"/>
      <c r="W355" s="371"/>
      <c r="X355" s="371"/>
      <c r="Y355" s="371"/>
      <c r="Z355" s="371"/>
    </row>
    <row r="356">
      <c r="A356" s="371"/>
      <c r="B356" s="371"/>
      <c r="C356" s="371"/>
      <c r="D356" s="372"/>
      <c r="E356" s="371"/>
      <c r="F356" s="371"/>
      <c r="G356" s="371"/>
      <c r="H356" s="371"/>
      <c r="I356" s="371"/>
      <c r="J356" s="371"/>
      <c r="K356" s="371"/>
      <c r="L356" s="371"/>
      <c r="M356" s="371"/>
      <c r="N356" s="371"/>
      <c r="O356" s="371"/>
      <c r="P356" s="371"/>
      <c r="Q356" s="371"/>
      <c r="R356" s="371"/>
      <c r="S356" s="371"/>
      <c r="T356" s="371"/>
      <c r="U356" s="371"/>
      <c r="V356" s="371"/>
      <c r="W356" s="371"/>
      <c r="X356" s="371"/>
      <c r="Y356" s="371"/>
      <c r="Z356" s="371"/>
    </row>
    <row r="357">
      <c r="A357" s="371"/>
      <c r="B357" s="371"/>
      <c r="C357" s="371"/>
      <c r="D357" s="372"/>
      <c r="E357" s="371"/>
      <c r="F357" s="371"/>
      <c r="G357" s="371"/>
      <c r="H357" s="371"/>
      <c r="I357" s="371"/>
      <c r="J357" s="371"/>
      <c r="K357" s="371"/>
      <c r="L357" s="371"/>
      <c r="M357" s="371"/>
      <c r="N357" s="371"/>
      <c r="O357" s="371"/>
      <c r="P357" s="371"/>
      <c r="Q357" s="371"/>
      <c r="R357" s="371"/>
      <c r="S357" s="371"/>
      <c r="T357" s="371"/>
      <c r="U357" s="371"/>
      <c r="V357" s="371"/>
      <c r="W357" s="371"/>
      <c r="X357" s="371"/>
      <c r="Y357" s="371"/>
      <c r="Z357" s="371"/>
    </row>
    <row r="358">
      <c r="A358" s="371"/>
      <c r="B358" s="371"/>
      <c r="C358" s="371"/>
      <c r="D358" s="372"/>
      <c r="E358" s="371"/>
      <c r="F358" s="371"/>
      <c r="G358" s="371"/>
      <c r="H358" s="371"/>
      <c r="I358" s="371"/>
      <c r="J358" s="371"/>
      <c r="K358" s="371"/>
      <c r="L358" s="371"/>
      <c r="M358" s="371"/>
      <c r="N358" s="371"/>
      <c r="O358" s="371"/>
      <c r="P358" s="371"/>
      <c r="Q358" s="371"/>
      <c r="R358" s="371"/>
      <c r="S358" s="371"/>
      <c r="T358" s="371"/>
      <c r="U358" s="371"/>
      <c r="V358" s="371"/>
      <c r="W358" s="371"/>
      <c r="X358" s="371"/>
      <c r="Y358" s="371"/>
      <c r="Z358" s="371"/>
    </row>
    <row r="359">
      <c r="A359" s="371"/>
      <c r="B359" s="371"/>
      <c r="C359" s="371"/>
      <c r="D359" s="372"/>
      <c r="E359" s="371"/>
      <c r="F359" s="371"/>
      <c r="G359" s="371"/>
      <c r="H359" s="371"/>
      <c r="I359" s="371"/>
      <c r="J359" s="371"/>
      <c r="K359" s="371"/>
      <c r="L359" s="371"/>
      <c r="M359" s="371"/>
      <c r="N359" s="371"/>
      <c r="O359" s="371"/>
      <c r="P359" s="371"/>
      <c r="Q359" s="371"/>
      <c r="R359" s="371"/>
      <c r="S359" s="371"/>
      <c r="T359" s="371"/>
      <c r="U359" s="371"/>
      <c r="V359" s="371"/>
      <c r="W359" s="371"/>
      <c r="X359" s="371"/>
      <c r="Y359" s="371"/>
      <c r="Z359" s="371"/>
    </row>
    <row r="360">
      <c r="A360" s="371"/>
      <c r="B360" s="371"/>
      <c r="C360" s="371"/>
      <c r="D360" s="372"/>
      <c r="E360" s="371"/>
      <c r="F360" s="371"/>
      <c r="G360" s="371"/>
      <c r="H360" s="371"/>
      <c r="I360" s="371"/>
      <c r="J360" s="371"/>
      <c r="K360" s="371"/>
      <c r="L360" s="371"/>
      <c r="M360" s="371"/>
      <c r="N360" s="371"/>
      <c r="O360" s="371"/>
      <c r="P360" s="371"/>
      <c r="Q360" s="371"/>
      <c r="R360" s="371"/>
      <c r="S360" s="371"/>
      <c r="T360" s="371"/>
      <c r="U360" s="371"/>
      <c r="V360" s="371"/>
      <c r="W360" s="371"/>
      <c r="X360" s="371"/>
      <c r="Y360" s="371"/>
      <c r="Z360" s="371"/>
    </row>
    <row r="361">
      <c r="A361" s="371"/>
      <c r="B361" s="371"/>
      <c r="C361" s="371"/>
      <c r="D361" s="372"/>
      <c r="E361" s="371"/>
      <c r="F361" s="371"/>
      <c r="G361" s="371"/>
      <c r="H361" s="371"/>
      <c r="I361" s="371"/>
      <c r="J361" s="371"/>
      <c r="K361" s="371"/>
      <c r="L361" s="371"/>
      <c r="M361" s="371"/>
      <c r="N361" s="371"/>
      <c r="O361" s="371"/>
      <c r="P361" s="371"/>
      <c r="Q361" s="371"/>
      <c r="R361" s="371"/>
      <c r="S361" s="371"/>
      <c r="T361" s="371"/>
      <c r="U361" s="371"/>
      <c r="V361" s="371"/>
      <c r="W361" s="371"/>
      <c r="X361" s="371"/>
      <c r="Y361" s="371"/>
      <c r="Z361" s="371"/>
    </row>
    <row r="362">
      <c r="A362" s="371"/>
      <c r="B362" s="371"/>
      <c r="C362" s="371"/>
      <c r="D362" s="372"/>
      <c r="E362" s="371"/>
      <c r="F362" s="371"/>
      <c r="G362" s="371"/>
      <c r="H362" s="371"/>
      <c r="I362" s="371"/>
      <c r="J362" s="371"/>
      <c r="K362" s="371"/>
      <c r="L362" s="371"/>
      <c r="M362" s="371"/>
      <c r="N362" s="371"/>
      <c r="O362" s="371"/>
      <c r="P362" s="371"/>
      <c r="Q362" s="371"/>
      <c r="R362" s="371"/>
      <c r="S362" s="371"/>
      <c r="T362" s="371"/>
      <c r="U362" s="371"/>
      <c r="V362" s="371"/>
      <c r="W362" s="371"/>
      <c r="X362" s="371"/>
      <c r="Y362" s="371"/>
      <c r="Z362" s="371"/>
    </row>
    <row r="363">
      <c r="A363" s="371"/>
      <c r="B363" s="371"/>
      <c r="C363" s="371"/>
      <c r="D363" s="372"/>
      <c r="E363" s="371"/>
      <c r="F363" s="371"/>
      <c r="G363" s="371"/>
      <c r="H363" s="371"/>
      <c r="I363" s="371"/>
      <c r="J363" s="371"/>
      <c r="K363" s="371"/>
      <c r="L363" s="371"/>
      <c r="M363" s="371"/>
      <c r="N363" s="371"/>
      <c r="O363" s="371"/>
      <c r="P363" s="371"/>
      <c r="Q363" s="371"/>
      <c r="R363" s="371"/>
      <c r="S363" s="371"/>
      <c r="T363" s="371"/>
      <c r="U363" s="371"/>
      <c r="V363" s="371"/>
      <c r="W363" s="371"/>
      <c r="X363" s="371"/>
      <c r="Y363" s="371"/>
      <c r="Z363" s="371"/>
    </row>
    <row r="364">
      <c r="A364" s="371"/>
      <c r="B364" s="371"/>
      <c r="C364" s="371"/>
      <c r="D364" s="372"/>
      <c r="E364" s="371"/>
      <c r="F364" s="371"/>
      <c r="G364" s="371"/>
      <c r="H364" s="371"/>
      <c r="I364" s="371"/>
      <c r="J364" s="371"/>
      <c r="K364" s="371"/>
      <c r="L364" s="371"/>
      <c r="M364" s="371"/>
      <c r="N364" s="371"/>
      <c r="O364" s="371"/>
      <c r="P364" s="371"/>
      <c r="Q364" s="371"/>
      <c r="R364" s="371"/>
      <c r="S364" s="371"/>
      <c r="T364" s="371"/>
      <c r="U364" s="371"/>
      <c r="V364" s="371"/>
      <c r="W364" s="371"/>
      <c r="X364" s="371"/>
      <c r="Y364" s="371"/>
      <c r="Z364" s="371"/>
    </row>
    <row r="365">
      <c r="A365" s="371"/>
      <c r="B365" s="371"/>
      <c r="C365" s="371"/>
      <c r="D365" s="372"/>
      <c r="E365" s="371"/>
      <c r="F365" s="371"/>
      <c r="G365" s="371"/>
      <c r="H365" s="371"/>
      <c r="I365" s="371"/>
      <c r="J365" s="371"/>
      <c r="K365" s="371"/>
      <c r="L365" s="371"/>
      <c r="M365" s="371"/>
      <c r="N365" s="371"/>
      <c r="O365" s="371"/>
      <c r="P365" s="371"/>
      <c r="Q365" s="371"/>
      <c r="R365" s="371"/>
      <c r="S365" s="371"/>
      <c r="T365" s="371"/>
      <c r="U365" s="371"/>
      <c r="V365" s="371"/>
      <c r="W365" s="371"/>
      <c r="X365" s="371"/>
      <c r="Y365" s="371"/>
      <c r="Z365" s="371"/>
    </row>
    <row r="366">
      <c r="A366" s="371"/>
      <c r="B366" s="371"/>
      <c r="C366" s="371"/>
      <c r="D366" s="372"/>
      <c r="E366" s="371"/>
      <c r="F366" s="371"/>
      <c r="G366" s="371"/>
      <c r="H366" s="371"/>
      <c r="I366" s="371"/>
      <c r="J366" s="371"/>
      <c r="K366" s="371"/>
      <c r="L366" s="371"/>
      <c r="M366" s="371"/>
      <c r="N366" s="371"/>
      <c r="O366" s="371"/>
      <c r="P366" s="371"/>
      <c r="Q366" s="371"/>
      <c r="R366" s="371"/>
      <c r="S366" s="371"/>
      <c r="T366" s="371"/>
      <c r="U366" s="371"/>
      <c r="V366" s="371"/>
      <c r="W366" s="371"/>
      <c r="X366" s="371"/>
      <c r="Y366" s="371"/>
      <c r="Z366" s="371"/>
    </row>
    <row r="367">
      <c r="A367" s="371"/>
      <c r="B367" s="371"/>
      <c r="C367" s="371"/>
      <c r="D367" s="372"/>
      <c r="E367" s="371"/>
      <c r="F367" s="371"/>
      <c r="G367" s="371"/>
      <c r="H367" s="371"/>
      <c r="I367" s="371"/>
      <c r="J367" s="371"/>
      <c r="K367" s="371"/>
      <c r="L367" s="371"/>
      <c r="M367" s="371"/>
      <c r="N367" s="371"/>
      <c r="O367" s="371"/>
      <c r="P367" s="371"/>
      <c r="Q367" s="371"/>
      <c r="R367" s="371"/>
      <c r="S367" s="371"/>
      <c r="T367" s="371"/>
      <c r="U367" s="371"/>
      <c r="V367" s="371"/>
      <c r="W367" s="371"/>
      <c r="X367" s="371"/>
      <c r="Y367" s="371"/>
      <c r="Z367" s="371"/>
    </row>
    <row r="368">
      <c r="A368" s="371"/>
      <c r="B368" s="371"/>
      <c r="C368" s="371"/>
      <c r="D368" s="372"/>
      <c r="E368" s="371"/>
      <c r="F368" s="371"/>
      <c r="G368" s="371"/>
      <c r="H368" s="371"/>
      <c r="I368" s="371"/>
      <c r="J368" s="371"/>
      <c r="K368" s="371"/>
      <c r="L368" s="371"/>
      <c r="M368" s="371"/>
      <c r="N368" s="371"/>
      <c r="O368" s="371"/>
      <c r="P368" s="371"/>
      <c r="Q368" s="371"/>
      <c r="R368" s="371"/>
      <c r="S368" s="371"/>
      <c r="T368" s="371"/>
      <c r="U368" s="371"/>
      <c r="V368" s="371"/>
      <c r="W368" s="371"/>
      <c r="X368" s="371"/>
      <c r="Y368" s="371"/>
      <c r="Z368" s="371"/>
    </row>
    <row r="369">
      <c r="A369" s="371"/>
      <c r="B369" s="371"/>
      <c r="C369" s="371"/>
      <c r="D369" s="372"/>
      <c r="E369" s="371"/>
      <c r="F369" s="371"/>
      <c r="G369" s="371"/>
      <c r="H369" s="371"/>
      <c r="I369" s="371"/>
      <c r="J369" s="371"/>
      <c r="K369" s="371"/>
      <c r="L369" s="371"/>
      <c r="M369" s="371"/>
      <c r="N369" s="371"/>
      <c r="O369" s="371"/>
      <c r="P369" s="371"/>
      <c r="Q369" s="371"/>
      <c r="R369" s="371"/>
      <c r="S369" s="371"/>
      <c r="T369" s="371"/>
      <c r="U369" s="371"/>
      <c r="V369" s="371"/>
      <c r="W369" s="371"/>
      <c r="X369" s="371"/>
      <c r="Y369" s="371"/>
      <c r="Z369" s="371"/>
    </row>
    <row r="370">
      <c r="A370" s="371"/>
      <c r="B370" s="371"/>
      <c r="C370" s="371"/>
      <c r="D370" s="372"/>
      <c r="E370" s="371"/>
      <c r="F370" s="371"/>
      <c r="G370" s="371"/>
      <c r="H370" s="371"/>
      <c r="I370" s="371"/>
      <c r="J370" s="371"/>
      <c r="K370" s="371"/>
      <c r="L370" s="371"/>
      <c r="M370" s="371"/>
      <c r="N370" s="371"/>
      <c r="O370" s="371"/>
      <c r="P370" s="371"/>
      <c r="Q370" s="371"/>
      <c r="R370" s="371"/>
      <c r="S370" s="371"/>
      <c r="T370" s="371"/>
      <c r="U370" s="371"/>
      <c r="V370" s="371"/>
      <c r="W370" s="371"/>
      <c r="X370" s="371"/>
      <c r="Y370" s="371"/>
      <c r="Z370" s="371"/>
    </row>
    <row r="371">
      <c r="A371" s="371"/>
      <c r="B371" s="371"/>
      <c r="C371" s="371"/>
      <c r="D371" s="372"/>
      <c r="E371" s="371"/>
      <c r="F371" s="371"/>
      <c r="G371" s="371"/>
      <c r="H371" s="371"/>
      <c r="I371" s="371"/>
      <c r="J371" s="371"/>
      <c r="K371" s="371"/>
      <c r="L371" s="371"/>
      <c r="M371" s="371"/>
      <c r="N371" s="371"/>
      <c r="O371" s="371"/>
      <c r="P371" s="371"/>
      <c r="Q371" s="371"/>
      <c r="R371" s="371"/>
      <c r="S371" s="371"/>
      <c r="T371" s="371"/>
      <c r="U371" s="371"/>
      <c r="V371" s="371"/>
      <c r="W371" s="371"/>
      <c r="X371" s="371"/>
      <c r="Y371" s="371"/>
      <c r="Z371" s="371"/>
    </row>
    <row r="372">
      <c r="A372" s="371"/>
      <c r="B372" s="371"/>
      <c r="C372" s="371"/>
      <c r="D372" s="372"/>
      <c r="E372" s="371"/>
      <c r="F372" s="371"/>
      <c r="G372" s="371"/>
      <c r="H372" s="371"/>
      <c r="I372" s="371"/>
      <c r="J372" s="371"/>
      <c r="K372" s="371"/>
      <c r="L372" s="371"/>
      <c r="M372" s="371"/>
      <c r="N372" s="371"/>
      <c r="O372" s="371"/>
      <c r="P372" s="371"/>
      <c r="Q372" s="371"/>
      <c r="R372" s="371"/>
      <c r="S372" s="371"/>
      <c r="T372" s="371"/>
      <c r="U372" s="371"/>
      <c r="V372" s="371"/>
      <c r="W372" s="371"/>
      <c r="X372" s="371"/>
      <c r="Y372" s="371"/>
      <c r="Z372" s="371"/>
    </row>
    <row r="373">
      <c r="A373" s="371"/>
      <c r="B373" s="371"/>
      <c r="C373" s="371"/>
      <c r="D373" s="372"/>
      <c r="E373" s="371"/>
      <c r="F373" s="371"/>
      <c r="G373" s="371"/>
      <c r="H373" s="371"/>
      <c r="I373" s="371"/>
      <c r="J373" s="371"/>
      <c r="K373" s="371"/>
      <c r="L373" s="371"/>
      <c r="M373" s="371"/>
      <c r="N373" s="371"/>
      <c r="O373" s="371"/>
      <c r="P373" s="371"/>
      <c r="Q373" s="371"/>
      <c r="R373" s="371"/>
      <c r="S373" s="371"/>
      <c r="T373" s="371"/>
      <c r="U373" s="371"/>
      <c r="V373" s="371"/>
      <c r="W373" s="371"/>
      <c r="X373" s="371"/>
      <c r="Y373" s="371"/>
      <c r="Z373" s="371"/>
    </row>
    <row r="374">
      <c r="A374" s="371"/>
      <c r="B374" s="371"/>
      <c r="C374" s="371"/>
      <c r="D374" s="372"/>
      <c r="E374" s="371"/>
      <c r="F374" s="371"/>
      <c r="G374" s="371"/>
      <c r="H374" s="371"/>
      <c r="I374" s="371"/>
      <c r="J374" s="371"/>
      <c r="K374" s="371"/>
      <c r="L374" s="371"/>
      <c r="M374" s="371"/>
      <c r="N374" s="371"/>
      <c r="O374" s="371"/>
      <c r="P374" s="371"/>
      <c r="Q374" s="371"/>
      <c r="R374" s="371"/>
      <c r="S374" s="371"/>
      <c r="T374" s="371"/>
      <c r="U374" s="371"/>
      <c r="V374" s="371"/>
      <c r="W374" s="371"/>
      <c r="X374" s="371"/>
      <c r="Y374" s="371"/>
      <c r="Z374" s="371"/>
    </row>
    <row r="375">
      <c r="A375" s="371"/>
      <c r="B375" s="371"/>
      <c r="C375" s="371"/>
      <c r="D375" s="372"/>
      <c r="E375" s="371"/>
      <c r="F375" s="371"/>
      <c r="G375" s="371"/>
      <c r="H375" s="371"/>
      <c r="I375" s="371"/>
      <c r="J375" s="371"/>
      <c r="K375" s="371"/>
      <c r="L375" s="371"/>
      <c r="M375" s="371"/>
      <c r="N375" s="371"/>
      <c r="O375" s="371"/>
      <c r="P375" s="371"/>
      <c r="Q375" s="371"/>
      <c r="R375" s="371"/>
      <c r="S375" s="371"/>
      <c r="T375" s="371"/>
      <c r="U375" s="371"/>
      <c r="V375" s="371"/>
      <c r="W375" s="371"/>
      <c r="X375" s="371"/>
      <c r="Y375" s="371"/>
      <c r="Z375" s="371"/>
    </row>
    <row r="376">
      <c r="A376" s="371"/>
      <c r="B376" s="371"/>
      <c r="C376" s="371"/>
      <c r="D376" s="372"/>
      <c r="E376" s="371"/>
      <c r="F376" s="371"/>
      <c r="G376" s="371"/>
      <c r="H376" s="371"/>
      <c r="I376" s="371"/>
      <c r="J376" s="371"/>
      <c r="K376" s="371"/>
      <c r="L376" s="371"/>
      <c r="M376" s="371"/>
      <c r="N376" s="371"/>
      <c r="O376" s="371"/>
      <c r="P376" s="371"/>
      <c r="Q376" s="371"/>
      <c r="R376" s="371"/>
      <c r="S376" s="371"/>
      <c r="T376" s="371"/>
      <c r="U376" s="371"/>
      <c r="V376" s="371"/>
      <c r="W376" s="371"/>
      <c r="X376" s="371"/>
      <c r="Y376" s="371"/>
      <c r="Z376" s="371"/>
    </row>
    <row r="377">
      <c r="A377" s="371"/>
      <c r="B377" s="371"/>
      <c r="C377" s="371"/>
      <c r="D377" s="372"/>
      <c r="E377" s="371"/>
      <c r="F377" s="371"/>
      <c r="G377" s="371"/>
      <c r="H377" s="371"/>
      <c r="I377" s="371"/>
      <c r="J377" s="371"/>
      <c r="K377" s="371"/>
      <c r="L377" s="371"/>
      <c r="M377" s="371"/>
      <c r="N377" s="371"/>
      <c r="O377" s="371"/>
      <c r="P377" s="371"/>
      <c r="Q377" s="371"/>
      <c r="R377" s="371"/>
      <c r="S377" s="371"/>
      <c r="T377" s="371"/>
      <c r="U377" s="371"/>
      <c r="V377" s="371"/>
      <c r="W377" s="371"/>
      <c r="X377" s="371"/>
      <c r="Y377" s="371"/>
      <c r="Z377" s="371"/>
    </row>
    <row r="378">
      <c r="A378" s="371"/>
      <c r="B378" s="371"/>
      <c r="C378" s="371"/>
      <c r="D378" s="372"/>
      <c r="E378" s="371"/>
      <c r="F378" s="371"/>
      <c r="G378" s="371"/>
      <c r="H378" s="371"/>
      <c r="I378" s="371"/>
      <c r="J378" s="371"/>
      <c r="K378" s="371"/>
      <c r="L378" s="371"/>
      <c r="M378" s="371"/>
      <c r="N378" s="371"/>
      <c r="O378" s="371"/>
      <c r="P378" s="371"/>
      <c r="Q378" s="371"/>
      <c r="R378" s="371"/>
      <c r="S378" s="371"/>
      <c r="T378" s="371"/>
      <c r="U378" s="371"/>
      <c r="V378" s="371"/>
      <c r="W378" s="371"/>
      <c r="X378" s="371"/>
      <c r="Y378" s="371"/>
      <c r="Z378" s="371"/>
    </row>
    <row r="379">
      <c r="A379" s="371"/>
      <c r="B379" s="371"/>
      <c r="C379" s="371"/>
      <c r="D379" s="372"/>
      <c r="E379" s="371"/>
      <c r="F379" s="371"/>
      <c r="G379" s="371"/>
      <c r="H379" s="371"/>
      <c r="I379" s="371"/>
      <c r="J379" s="371"/>
      <c r="K379" s="371"/>
      <c r="L379" s="371"/>
      <c r="M379" s="371"/>
      <c r="N379" s="371"/>
      <c r="O379" s="371"/>
      <c r="P379" s="371"/>
      <c r="Q379" s="371"/>
      <c r="R379" s="371"/>
      <c r="S379" s="371"/>
      <c r="T379" s="371"/>
      <c r="U379" s="371"/>
      <c r="V379" s="371"/>
      <c r="W379" s="371"/>
      <c r="X379" s="371"/>
      <c r="Y379" s="371"/>
      <c r="Z379" s="371"/>
    </row>
    <row r="380">
      <c r="A380" s="371"/>
      <c r="B380" s="371"/>
      <c r="C380" s="371"/>
      <c r="D380" s="372"/>
      <c r="E380" s="371"/>
      <c r="F380" s="371"/>
      <c r="G380" s="371"/>
      <c r="H380" s="371"/>
      <c r="I380" s="371"/>
      <c r="J380" s="371"/>
      <c r="K380" s="371"/>
      <c r="L380" s="371"/>
      <c r="M380" s="371"/>
      <c r="N380" s="371"/>
      <c r="O380" s="371"/>
      <c r="P380" s="371"/>
      <c r="Q380" s="371"/>
      <c r="R380" s="371"/>
      <c r="S380" s="371"/>
      <c r="T380" s="371"/>
      <c r="U380" s="371"/>
      <c r="V380" s="371"/>
      <c r="W380" s="371"/>
      <c r="X380" s="371"/>
      <c r="Y380" s="371"/>
      <c r="Z380" s="371"/>
    </row>
    <row r="381">
      <c r="A381" s="371"/>
      <c r="B381" s="371"/>
      <c r="C381" s="371"/>
      <c r="D381" s="372"/>
      <c r="E381" s="371"/>
      <c r="F381" s="371"/>
      <c r="G381" s="371"/>
      <c r="H381" s="371"/>
      <c r="I381" s="371"/>
      <c r="J381" s="371"/>
      <c r="K381" s="371"/>
      <c r="L381" s="371"/>
      <c r="M381" s="371"/>
      <c r="N381" s="371"/>
      <c r="O381" s="371"/>
      <c r="P381" s="371"/>
      <c r="Q381" s="371"/>
      <c r="R381" s="371"/>
      <c r="S381" s="371"/>
      <c r="T381" s="371"/>
      <c r="U381" s="371"/>
      <c r="V381" s="371"/>
      <c r="W381" s="371"/>
      <c r="X381" s="371"/>
      <c r="Y381" s="371"/>
      <c r="Z381" s="371"/>
    </row>
    <row r="382">
      <c r="A382" s="371"/>
      <c r="B382" s="371"/>
      <c r="C382" s="371"/>
      <c r="D382" s="372"/>
      <c r="E382" s="371"/>
      <c r="F382" s="371"/>
      <c r="G382" s="371"/>
      <c r="H382" s="371"/>
      <c r="I382" s="371"/>
      <c r="J382" s="371"/>
      <c r="K382" s="371"/>
      <c r="L382" s="371"/>
      <c r="M382" s="371"/>
      <c r="N382" s="371"/>
      <c r="O382" s="371"/>
      <c r="P382" s="371"/>
      <c r="Q382" s="371"/>
      <c r="R382" s="371"/>
      <c r="S382" s="371"/>
      <c r="T382" s="371"/>
      <c r="U382" s="371"/>
      <c r="V382" s="371"/>
      <c r="W382" s="371"/>
      <c r="X382" s="371"/>
      <c r="Y382" s="371"/>
      <c r="Z382" s="371"/>
    </row>
    <row r="383">
      <c r="A383" s="371"/>
      <c r="B383" s="371"/>
      <c r="C383" s="371"/>
      <c r="D383" s="372"/>
      <c r="E383" s="371"/>
      <c r="F383" s="371"/>
      <c r="G383" s="371"/>
      <c r="H383" s="371"/>
      <c r="I383" s="371"/>
      <c r="J383" s="371"/>
      <c r="K383" s="371"/>
      <c r="L383" s="371"/>
      <c r="M383" s="371"/>
      <c r="N383" s="371"/>
      <c r="O383" s="371"/>
      <c r="P383" s="371"/>
      <c r="Q383" s="371"/>
      <c r="R383" s="371"/>
      <c r="S383" s="371"/>
      <c r="T383" s="371"/>
      <c r="U383" s="371"/>
      <c r="V383" s="371"/>
      <c r="W383" s="371"/>
      <c r="X383" s="371"/>
      <c r="Y383" s="371"/>
      <c r="Z383" s="371"/>
    </row>
    <row r="384">
      <c r="A384" s="371"/>
      <c r="B384" s="371"/>
      <c r="C384" s="371"/>
      <c r="D384" s="372"/>
      <c r="E384" s="371"/>
      <c r="F384" s="371"/>
      <c r="G384" s="371"/>
      <c r="H384" s="371"/>
      <c r="I384" s="371"/>
      <c r="J384" s="371"/>
      <c r="K384" s="371"/>
      <c r="L384" s="371"/>
      <c r="M384" s="371"/>
      <c r="N384" s="371"/>
      <c r="O384" s="371"/>
      <c r="P384" s="371"/>
      <c r="Q384" s="371"/>
      <c r="R384" s="371"/>
      <c r="S384" s="371"/>
      <c r="T384" s="371"/>
      <c r="U384" s="371"/>
      <c r="V384" s="371"/>
      <c r="W384" s="371"/>
      <c r="X384" s="371"/>
      <c r="Y384" s="371"/>
      <c r="Z384" s="371"/>
    </row>
    <row r="385">
      <c r="A385" s="371"/>
      <c r="B385" s="371"/>
      <c r="C385" s="371"/>
      <c r="D385" s="372"/>
      <c r="E385" s="371"/>
      <c r="F385" s="371"/>
      <c r="G385" s="371"/>
      <c r="H385" s="371"/>
      <c r="I385" s="371"/>
      <c r="J385" s="371"/>
      <c r="K385" s="371"/>
      <c r="L385" s="371"/>
      <c r="M385" s="371"/>
      <c r="N385" s="371"/>
      <c r="O385" s="371"/>
      <c r="P385" s="371"/>
      <c r="Q385" s="371"/>
      <c r="R385" s="371"/>
      <c r="S385" s="371"/>
      <c r="T385" s="371"/>
      <c r="U385" s="371"/>
      <c r="V385" s="371"/>
      <c r="W385" s="371"/>
      <c r="X385" s="371"/>
      <c r="Y385" s="371"/>
      <c r="Z385" s="371"/>
    </row>
    <row r="386">
      <c r="A386" s="371"/>
      <c r="B386" s="371"/>
      <c r="C386" s="371"/>
      <c r="D386" s="372"/>
      <c r="E386" s="371"/>
      <c r="F386" s="371"/>
      <c r="G386" s="371"/>
      <c r="H386" s="371"/>
      <c r="I386" s="371"/>
      <c r="J386" s="371"/>
      <c r="K386" s="371"/>
      <c r="L386" s="371"/>
      <c r="M386" s="371"/>
      <c r="N386" s="371"/>
      <c r="O386" s="371"/>
      <c r="P386" s="371"/>
      <c r="Q386" s="371"/>
      <c r="R386" s="371"/>
      <c r="S386" s="371"/>
      <c r="T386" s="371"/>
      <c r="U386" s="371"/>
      <c r="V386" s="371"/>
      <c r="W386" s="371"/>
      <c r="X386" s="371"/>
      <c r="Y386" s="371"/>
      <c r="Z386" s="371"/>
    </row>
    <row r="387">
      <c r="A387" s="371"/>
      <c r="B387" s="371"/>
      <c r="C387" s="371"/>
      <c r="D387" s="372"/>
      <c r="E387" s="371"/>
      <c r="F387" s="371"/>
      <c r="G387" s="371"/>
      <c r="H387" s="371"/>
      <c r="I387" s="371"/>
      <c r="J387" s="371"/>
      <c r="K387" s="371"/>
      <c r="L387" s="371"/>
      <c r="M387" s="371"/>
      <c r="N387" s="371"/>
      <c r="O387" s="371"/>
      <c r="P387" s="371"/>
      <c r="Q387" s="371"/>
      <c r="R387" s="371"/>
      <c r="S387" s="371"/>
      <c r="T387" s="371"/>
      <c r="U387" s="371"/>
      <c r="V387" s="371"/>
      <c r="W387" s="371"/>
      <c r="X387" s="371"/>
      <c r="Y387" s="371"/>
      <c r="Z387" s="371"/>
    </row>
    <row r="388">
      <c r="A388" s="371"/>
      <c r="B388" s="371"/>
      <c r="C388" s="371"/>
      <c r="D388" s="372"/>
      <c r="E388" s="371"/>
      <c r="F388" s="371"/>
      <c r="G388" s="371"/>
      <c r="H388" s="371"/>
      <c r="I388" s="371"/>
      <c r="J388" s="371"/>
      <c r="K388" s="371"/>
      <c r="L388" s="371"/>
      <c r="M388" s="371"/>
      <c r="N388" s="371"/>
      <c r="O388" s="371"/>
      <c r="P388" s="371"/>
      <c r="Q388" s="371"/>
      <c r="R388" s="371"/>
      <c r="S388" s="371"/>
      <c r="T388" s="371"/>
      <c r="U388" s="371"/>
      <c r="V388" s="371"/>
      <c r="W388" s="371"/>
      <c r="X388" s="371"/>
      <c r="Y388" s="371"/>
      <c r="Z388" s="371"/>
    </row>
    <row r="389">
      <c r="A389" s="371"/>
      <c r="B389" s="371"/>
      <c r="C389" s="371"/>
      <c r="D389" s="372"/>
      <c r="E389" s="371"/>
      <c r="F389" s="371"/>
      <c r="G389" s="371"/>
      <c r="H389" s="371"/>
      <c r="I389" s="371"/>
      <c r="J389" s="371"/>
      <c r="K389" s="371"/>
      <c r="L389" s="371"/>
      <c r="M389" s="371"/>
      <c r="N389" s="371"/>
      <c r="O389" s="371"/>
      <c r="P389" s="371"/>
      <c r="Q389" s="371"/>
      <c r="R389" s="371"/>
      <c r="S389" s="371"/>
      <c r="T389" s="371"/>
      <c r="U389" s="371"/>
      <c r="V389" s="371"/>
      <c r="W389" s="371"/>
      <c r="X389" s="371"/>
      <c r="Y389" s="371"/>
      <c r="Z389" s="371"/>
    </row>
    <row r="390">
      <c r="A390" s="371"/>
      <c r="B390" s="371"/>
      <c r="C390" s="371"/>
      <c r="D390" s="372"/>
      <c r="E390" s="371"/>
      <c r="F390" s="371"/>
      <c r="G390" s="371"/>
      <c r="H390" s="371"/>
      <c r="I390" s="371"/>
      <c r="J390" s="371"/>
      <c r="K390" s="371"/>
      <c r="L390" s="371"/>
      <c r="M390" s="371"/>
      <c r="N390" s="371"/>
      <c r="O390" s="371"/>
      <c r="P390" s="371"/>
      <c r="Q390" s="371"/>
      <c r="R390" s="371"/>
      <c r="S390" s="371"/>
      <c r="T390" s="371"/>
      <c r="U390" s="371"/>
      <c r="V390" s="371"/>
      <c r="W390" s="371"/>
      <c r="X390" s="371"/>
      <c r="Y390" s="371"/>
      <c r="Z390" s="371"/>
    </row>
    <row r="391">
      <c r="A391" s="371"/>
      <c r="B391" s="371"/>
      <c r="C391" s="371"/>
      <c r="D391" s="372"/>
      <c r="E391" s="371"/>
      <c r="F391" s="371"/>
      <c r="G391" s="371"/>
      <c r="H391" s="371"/>
      <c r="I391" s="371"/>
      <c r="J391" s="371"/>
      <c r="K391" s="371"/>
      <c r="L391" s="371"/>
      <c r="M391" s="371"/>
      <c r="N391" s="371"/>
      <c r="O391" s="371"/>
      <c r="P391" s="371"/>
      <c r="Q391" s="371"/>
      <c r="R391" s="371"/>
      <c r="S391" s="371"/>
      <c r="T391" s="371"/>
      <c r="U391" s="371"/>
      <c r="V391" s="371"/>
      <c r="W391" s="371"/>
      <c r="X391" s="371"/>
      <c r="Y391" s="371"/>
      <c r="Z391" s="371"/>
    </row>
    <row r="392">
      <c r="A392" s="371"/>
      <c r="B392" s="371"/>
      <c r="C392" s="371"/>
      <c r="D392" s="372"/>
      <c r="E392" s="371"/>
      <c r="F392" s="371"/>
      <c r="G392" s="371"/>
      <c r="H392" s="371"/>
      <c r="I392" s="371"/>
      <c r="J392" s="371"/>
      <c r="K392" s="371"/>
      <c r="L392" s="371"/>
      <c r="M392" s="371"/>
      <c r="N392" s="371"/>
      <c r="O392" s="371"/>
      <c r="P392" s="371"/>
      <c r="Q392" s="371"/>
      <c r="R392" s="371"/>
      <c r="S392" s="371"/>
      <c r="T392" s="371"/>
      <c r="U392" s="371"/>
      <c r="V392" s="371"/>
      <c r="W392" s="371"/>
      <c r="X392" s="371"/>
      <c r="Y392" s="371"/>
      <c r="Z392" s="371"/>
    </row>
    <row r="393">
      <c r="A393" s="371"/>
      <c r="B393" s="371"/>
      <c r="C393" s="371"/>
      <c r="D393" s="372"/>
      <c r="E393" s="371"/>
      <c r="F393" s="371"/>
      <c r="G393" s="371"/>
      <c r="H393" s="371"/>
      <c r="I393" s="371"/>
      <c r="J393" s="371"/>
      <c r="K393" s="371"/>
      <c r="L393" s="371"/>
      <c r="M393" s="371"/>
      <c r="N393" s="371"/>
      <c r="O393" s="371"/>
      <c r="P393" s="371"/>
      <c r="Q393" s="371"/>
      <c r="R393" s="371"/>
      <c r="S393" s="371"/>
      <c r="T393" s="371"/>
      <c r="U393" s="371"/>
      <c r="V393" s="371"/>
      <c r="W393" s="371"/>
      <c r="X393" s="371"/>
      <c r="Y393" s="371"/>
      <c r="Z393" s="371"/>
    </row>
    <row r="394">
      <c r="A394" s="371"/>
      <c r="B394" s="371"/>
      <c r="C394" s="371"/>
      <c r="D394" s="372"/>
      <c r="E394" s="371"/>
      <c r="F394" s="371"/>
      <c r="G394" s="371"/>
      <c r="H394" s="371"/>
      <c r="I394" s="371"/>
      <c r="J394" s="371"/>
      <c r="K394" s="371"/>
      <c r="L394" s="371"/>
      <c r="M394" s="371"/>
      <c r="N394" s="371"/>
      <c r="O394" s="371"/>
      <c r="P394" s="371"/>
      <c r="Q394" s="371"/>
      <c r="R394" s="371"/>
      <c r="S394" s="371"/>
      <c r="T394" s="371"/>
      <c r="U394" s="371"/>
      <c r="V394" s="371"/>
      <c r="W394" s="371"/>
      <c r="X394" s="371"/>
      <c r="Y394" s="371"/>
      <c r="Z394" s="371"/>
    </row>
    <row r="395">
      <c r="A395" s="371"/>
      <c r="B395" s="371"/>
      <c r="C395" s="371"/>
      <c r="D395" s="372"/>
      <c r="E395" s="371"/>
      <c r="F395" s="371"/>
      <c r="G395" s="371"/>
      <c r="H395" s="371"/>
      <c r="I395" s="371"/>
      <c r="J395" s="371"/>
      <c r="K395" s="371"/>
      <c r="L395" s="371"/>
      <c r="M395" s="371"/>
      <c r="N395" s="371"/>
      <c r="O395" s="371"/>
      <c r="P395" s="371"/>
      <c r="Q395" s="371"/>
      <c r="R395" s="371"/>
      <c r="S395" s="371"/>
      <c r="T395" s="371"/>
      <c r="U395" s="371"/>
      <c r="V395" s="371"/>
      <c r="W395" s="371"/>
      <c r="X395" s="371"/>
      <c r="Y395" s="371"/>
      <c r="Z395" s="371"/>
    </row>
    <row r="396">
      <c r="A396" s="371"/>
      <c r="B396" s="371"/>
      <c r="C396" s="371"/>
      <c r="D396" s="372"/>
      <c r="E396" s="371"/>
      <c r="F396" s="371"/>
      <c r="G396" s="371"/>
      <c r="H396" s="371"/>
      <c r="I396" s="371"/>
      <c r="J396" s="371"/>
      <c r="K396" s="371"/>
      <c r="L396" s="371"/>
      <c r="M396" s="371"/>
      <c r="N396" s="371"/>
      <c r="O396" s="371"/>
      <c r="P396" s="371"/>
      <c r="Q396" s="371"/>
      <c r="R396" s="371"/>
      <c r="S396" s="371"/>
      <c r="T396" s="371"/>
      <c r="U396" s="371"/>
      <c r="V396" s="371"/>
      <c r="W396" s="371"/>
      <c r="X396" s="371"/>
      <c r="Y396" s="371"/>
      <c r="Z396" s="371"/>
    </row>
    <row r="397">
      <c r="A397" s="371"/>
      <c r="B397" s="371"/>
      <c r="C397" s="371"/>
      <c r="D397" s="372"/>
      <c r="E397" s="371"/>
      <c r="F397" s="371"/>
      <c r="G397" s="371"/>
      <c r="H397" s="371"/>
      <c r="I397" s="371"/>
      <c r="J397" s="371"/>
      <c r="K397" s="371"/>
      <c r="L397" s="371"/>
      <c r="M397" s="371"/>
      <c r="N397" s="371"/>
      <c r="O397" s="371"/>
      <c r="P397" s="371"/>
      <c r="Q397" s="371"/>
      <c r="R397" s="371"/>
      <c r="S397" s="371"/>
      <c r="T397" s="371"/>
      <c r="U397" s="371"/>
      <c r="V397" s="371"/>
      <c r="W397" s="371"/>
      <c r="X397" s="371"/>
      <c r="Y397" s="371"/>
      <c r="Z397" s="371"/>
    </row>
    <row r="398">
      <c r="A398" s="371"/>
      <c r="B398" s="371"/>
      <c r="C398" s="371"/>
      <c r="D398" s="372"/>
      <c r="E398" s="371"/>
      <c r="F398" s="371"/>
      <c r="G398" s="371"/>
      <c r="H398" s="371"/>
      <c r="I398" s="371"/>
      <c r="J398" s="371"/>
      <c r="K398" s="371"/>
      <c r="L398" s="371"/>
      <c r="M398" s="371"/>
      <c r="N398" s="371"/>
      <c r="O398" s="371"/>
      <c r="P398" s="371"/>
      <c r="Q398" s="371"/>
      <c r="R398" s="371"/>
      <c r="S398" s="371"/>
      <c r="T398" s="371"/>
      <c r="U398" s="371"/>
      <c r="V398" s="371"/>
      <c r="W398" s="371"/>
      <c r="X398" s="371"/>
      <c r="Y398" s="371"/>
      <c r="Z398" s="371"/>
    </row>
    <row r="399">
      <c r="A399" s="371"/>
      <c r="B399" s="371"/>
      <c r="C399" s="371"/>
      <c r="D399" s="372"/>
      <c r="E399" s="371"/>
      <c r="F399" s="371"/>
      <c r="G399" s="371"/>
      <c r="H399" s="371"/>
      <c r="I399" s="371"/>
      <c r="J399" s="371"/>
      <c r="K399" s="371"/>
      <c r="L399" s="371"/>
      <c r="M399" s="371"/>
      <c r="N399" s="371"/>
      <c r="O399" s="371"/>
      <c r="P399" s="371"/>
      <c r="Q399" s="371"/>
      <c r="R399" s="371"/>
      <c r="S399" s="371"/>
      <c r="T399" s="371"/>
      <c r="U399" s="371"/>
      <c r="V399" s="371"/>
      <c r="W399" s="371"/>
      <c r="X399" s="371"/>
      <c r="Y399" s="371"/>
      <c r="Z399" s="371"/>
    </row>
    <row r="400">
      <c r="A400" s="371"/>
      <c r="B400" s="371"/>
      <c r="C400" s="371"/>
      <c r="D400" s="372"/>
      <c r="E400" s="371"/>
      <c r="F400" s="371"/>
      <c r="G400" s="371"/>
      <c r="H400" s="371"/>
      <c r="I400" s="371"/>
      <c r="J400" s="371"/>
      <c r="K400" s="371"/>
      <c r="L400" s="371"/>
      <c r="M400" s="371"/>
      <c r="N400" s="371"/>
      <c r="O400" s="371"/>
      <c r="P400" s="371"/>
      <c r="Q400" s="371"/>
      <c r="R400" s="371"/>
      <c r="S400" s="371"/>
      <c r="T400" s="371"/>
      <c r="U400" s="371"/>
      <c r="V400" s="371"/>
      <c r="W400" s="371"/>
      <c r="X400" s="371"/>
      <c r="Y400" s="371"/>
      <c r="Z400" s="371"/>
    </row>
    <row r="401">
      <c r="A401" s="371"/>
      <c r="B401" s="371"/>
      <c r="C401" s="371"/>
      <c r="D401" s="372"/>
      <c r="E401" s="371"/>
      <c r="F401" s="371"/>
      <c r="G401" s="371"/>
      <c r="H401" s="371"/>
      <c r="I401" s="371"/>
      <c r="J401" s="371"/>
      <c r="K401" s="371"/>
      <c r="L401" s="371"/>
      <c r="M401" s="371"/>
      <c r="N401" s="371"/>
      <c r="O401" s="371"/>
      <c r="P401" s="371"/>
      <c r="Q401" s="371"/>
      <c r="R401" s="371"/>
      <c r="S401" s="371"/>
      <c r="T401" s="371"/>
      <c r="U401" s="371"/>
      <c r="V401" s="371"/>
      <c r="W401" s="371"/>
      <c r="X401" s="371"/>
      <c r="Y401" s="371"/>
      <c r="Z401" s="371"/>
    </row>
    <row r="402">
      <c r="A402" s="371"/>
      <c r="B402" s="371"/>
      <c r="C402" s="371"/>
      <c r="D402" s="372"/>
      <c r="E402" s="371"/>
      <c r="F402" s="371"/>
      <c r="G402" s="371"/>
      <c r="H402" s="371"/>
      <c r="I402" s="371"/>
      <c r="J402" s="371"/>
      <c r="K402" s="371"/>
      <c r="L402" s="371"/>
      <c r="M402" s="371"/>
      <c r="N402" s="371"/>
      <c r="O402" s="371"/>
      <c r="P402" s="371"/>
      <c r="Q402" s="371"/>
      <c r="R402" s="371"/>
      <c r="S402" s="371"/>
      <c r="T402" s="371"/>
      <c r="U402" s="371"/>
      <c r="V402" s="371"/>
      <c r="W402" s="371"/>
      <c r="X402" s="371"/>
      <c r="Y402" s="371"/>
      <c r="Z402" s="371"/>
    </row>
    <row r="403">
      <c r="A403" s="371"/>
      <c r="B403" s="371"/>
      <c r="C403" s="371"/>
      <c r="D403" s="372"/>
      <c r="E403" s="371"/>
      <c r="F403" s="371"/>
      <c r="G403" s="371"/>
      <c r="H403" s="371"/>
      <c r="I403" s="371"/>
      <c r="J403" s="371"/>
      <c r="K403" s="371"/>
      <c r="L403" s="371"/>
      <c r="M403" s="371"/>
      <c r="N403" s="371"/>
      <c r="O403" s="371"/>
      <c r="P403" s="371"/>
      <c r="Q403" s="371"/>
      <c r="R403" s="371"/>
      <c r="S403" s="371"/>
      <c r="T403" s="371"/>
      <c r="U403" s="371"/>
      <c r="V403" s="371"/>
      <c r="W403" s="371"/>
      <c r="X403" s="371"/>
      <c r="Y403" s="371"/>
      <c r="Z403" s="371"/>
    </row>
    <row r="404">
      <c r="A404" s="371"/>
      <c r="B404" s="371"/>
      <c r="C404" s="371"/>
      <c r="D404" s="372"/>
      <c r="E404" s="371"/>
      <c r="F404" s="371"/>
      <c r="G404" s="371"/>
      <c r="H404" s="371"/>
      <c r="I404" s="371"/>
      <c r="J404" s="371"/>
      <c r="K404" s="371"/>
      <c r="L404" s="371"/>
      <c r="M404" s="371"/>
      <c r="N404" s="371"/>
      <c r="O404" s="371"/>
      <c r="P404" s="371"/>
      <c r="Q404" s="371"/>
      <c r="R404" s="371"/>
      <c r="S404" s="371"/>
      <c r="T404" s="371"/>
      <c r="U404" s="371"/>
      <c r="V404" s="371"/>
      <c r="W404" s="371"/>
      <c r="X404" s="371"/>
      <c r="Y404" s="371"/>
      <c r="Z404" s="371"/>
    </row>
    <row r="405">
      <c r="A405" s="371"/>
      <c r="B405" s="371"/>
      <c r="C405" s="371"/>
      <c r="D405" s="372"/>
      <c r="E405" s="371"/>
      <c r="F405" s="371"/>
      <c r="G405" s="371"/>
      <c r="H405" s="371"/>
      <c r="I405" s="371"/>
      <c r="J405" s="371"/>
      <c r="K405" s="371"/>
      <c r="L405" s="371"/>
      <c r="M405" s="371"/>
      <c r="N405" s="371"/>
      <c r="O405" s="371"/>
      <c r="P405" s="371"/>
      <c r="Q405" s="371"/>
      <c r="R405" s="371"/>
      <c r="S405" s="371"/>
      <c r="T405" s="371"/>
      <c r="U405" s="371"/>
      <c r="V405" s="371"/>
      <c r="W405" s="371"/>
      <c r="X405" s="371"/>
      <c r="Y405" s="371"/>
      <c r="Z405" s="371"/>
    </row>
    <row r="406">
      <c r="A406" s="371"/>
      <c r="B406" s="371"/>
      <c r="C406" s="371"/>
      <c r="D406" s="372"/>
      <c r="E406" s="371"/>
      <c r="F406" s="371"/>
      <c r="G406" s="371"/>
      <c r="H406" s="371"/>
      <c r="I406" s="371"/>
      <c r="J406" s="371"/>
      <c r="K406" s="371"/>
      <c r="L406" s="371"/>
      <c r="M406" s="371"/>
      <c r="N406" s="371"/>
      <c r="O406" s="371"/>
      <c r="P406" s="371"/>
      <c r="Q406" s="371"/>
      <c r="R406" s="371"/>
      <c r="S406" s="371"/>
      <c r="T406" s="371"/>
      <c r="U406" s="371"/>
      <c r="V406" s="371"/>
      <c r="W406" s="371"/>
      <c r="X406" s="371"/>
      <c r="Y406" s="371"/>
      <c r="Z406" s="371"/>
    </row>
    <row r="407">
      <c r="A407" s="371"/>
      <c r="B407" s="371"/>
      <c r="C407" s="371"/>
      <c r="D407" s="372"/>
      <c r="E407" s="371"/>
      <c r="F407" s="371"/>
      <c r="G407" s="371"/>
      <c r="H407" s="371"/>
      <c r="I407" s="371"/>
      <c r="J407" s="371"/>
      <c r="K407" s="371"/>
      <c r="L407" s="371"/>
      <c r="M407" s="371"/>
      <c r="N407" s="371"/>
      <c r="O407" s="371"/>
      <c r="P407" s="371"/>
      <c r="Q407" s="371"/>
      <c r="R407" s="371"/>
      <c r="S407" s="371"/>
      <c r="T407" s="371"/>
      <c r="U407" s="371"/>
      <c r="V407" s="371"/>
      <c r="W407" s="371"/>
      <c r="X407" s="371"/>
      <c r="Y407" s="371"/>
      <c r="Z407" s="371"/>
    </row>
    <row r="408">
      <c r="A408" s="371"/>
      <c r="B408" s="371"/>
      <c r="C408" s="371"/>
      <c r="D408" s="372"/>
      <c r="E408" s="371"/>
      <c r="F408" s="371"/>
      <c r="G408" s="371"/>
      <c r="H408" s="371"/>
      <c r="I408" s="371"/>
      <c r="J408" s="371"/>
      <c r="K408" s="371"/>
      <c r="L408" s="371"/>
      <c r="M408" s="371"/>
      <c r="N408" s="371"/>
      <c r="O408" s="371"/>
      <c r="P408" s="371"/>
      <c r="Q408" s="371"/>
      <c r="R408" s="371"/>
      <c r="S408" s="371"/>
      <c r="T408" s="371"/>
      <c r="U408" s="371"/>
      <c r="V408" s="371"/>
      <c r="W408" s="371"/>
      <c r="X408" s="371"/>
      <c r="Y408" s="371"/>
      <c r="Z408" s="371"/>
    </row>
    <row r="409">
      <c r="A409" s="371"/>
      <c r="B409" s="371"/>
      <c r="C409" s="371"/>
      <c r="D409" s="372"/>
      <c r="E409" s="371"/>
      <c r="F409" s="371"/>
      <c r="G409" s="371"/>
      <c r="H409" s="371"/>
      <c r="I409" s="371"/>
      <c r="J409" s="371"/>
      <c r="K409" s="371"/>
      <c r="L409" s="371"/>
      <c r="M409" s="371"/>
      <c r="N409" s="371"/>
      <c r="O409" s="371"/>
      <c r="P409" s="371"/>
      <c r="Q409" s="371"/>
      <c r="R409" s="371"/>
      <c r="S409" s="371"/>
      <c r="T409" s="371"/>
      <c r="U409" s="371"/>
      <c r="V409" s="371"/>
      <c r="W409" s="371"/>
      <c r="X409" s="371"/>
      <c r="Y409" s="371"/>
      <c r="Z409" s="371"/>
    </row>
    <row r="410">
      <c r="A410" s="371"/>
      <c r="B410" s="371"/>
      <c r="C410" s="371"/>
      <c r="D410" s="372"/>
      <c r="E410" s="371"/>
      <c r="F410" s="371"/>
      <c r="G410" s="371"/>
      <c r="H410" s="371"/>
      <c r="I410" s="371"/>
      <c r="J410" s="371"/>
      <c r="K410" s="371"/>
      <c r="L410" s="371"/>
      <c r="M410" s="371"/>
      <c r="N410" s="371"/>
      <c r="O410" s="371"/>
      <c r="P410" s="371"/>
      <c r="Q410" s="371"/>
      <c r="R410" s="371"/>
      <c r="S410" s="371"/>
      <c r="T410" s="371"/>
      <c r="U410" s="371"/>
      <c r="V410" s="371"/>
      <c r="W410" s="371"/>
      <c r="X410" s="371"/>
      <c r="Y410" s="371"/>
      <c r="Z410" s="371"/>
    </row>
    <row r="411">
      <c r="A411" s="371"/>
      <c r="B411" s="371"/>
      <c r="C411" s="371"/>
      <c r="D411" s="372"/>
      <c r="E411" s="371"/>
      <c r="F411" s="371"/>
      <c r="G411" s="371"/>
      <c r="H411" s="371"/>
      <c r="I411" s="371"/>
      <c r="J411" s="371"/>
      <c r="K411" s="371"/>
      <c r="L411" s="371"/>
      <c r="M411" s="371"/>
      <c r="N411" s="371"/>
      <c r="O411" s="371"/>
      <c r="P411" s="371"/>
      <c r="Q411" s="371"/>
      <c r="R411" s="371"/>
      <c r="S411" s="371"/>
      <c r="T411" s="371"/>
      <c r="U411" s="371"/>
      <c r="V411" s="371"/>
      <c r="W411" s="371"/>
      <c r="X411" s="371"/>
      <c r="Y411" s="371"/>
      <c r="Z411" s="371"/>
    </row>
    <row r="412">
      <c r="A412" s="371"/>
      <c r="B412" s="371"/>
      <c r="C412" s="371"/>
      <c r="D412" s="372"/>
      <c r="E412" s="371"/>
      <c r="F412" s="371"/>
      <c r="G412" s="371"/>
      <c r="H412" s="371"/>
      <c r="I412" s="371"/>
      <c r="J412" s="371"/>
      <c r="K412" s="371"/>
      <c r="L412" s="371"/>
      <c r="M412" s="371"/>
      <c r="N412" s="371"/>
      <c r="O412" s="371"/>
      <c r="P412" s="371"/>
      <c r="Q412" s="371"/>
      <c r="R412" s="371"/>
      <c r="S412" s="371"/>
      <c r="T412" s="371"/>
      <c r="U412" s="371"/>
      <c r="V412" s="371"/>
      <c r="W412" s="371"/>
      <c r="X412" s="371"/>
      <c r="Y412" s="371"/>
      <c r="Z412" s="371"/>
    </row>
    <row r="413">
      <c r="A413" s="371"/>
      <c r="B413" s="371"/>
      <c r="C413" s="371"/>
      <c r="D413" s="372"/>
      <c r="E413" s="371"/>
      <c r="F413" s="371"/>
      <c r="G413" s="371"/>
      <c r="H413" s="371"/>
      <c r="I413" s="371"/>
      <c r="J413" s="371"/>
      <c r="K413" s="371"/>
      <c r="L413" s="371"/>
      <c r="M413" s="371"/>
      <c r="N413" s="371"/>
      <c r="O413" s="371"/>
      <c r="P413" s="371"/>
      <c r="Q413" s="371"/>
      <c r="R413" s="371"/>
      <c r="S413" s="371"/>
      <c r="T413" s="371"/>
      <c r="U413" s="371"/>
      <c r="V413" s="371"/>
      <c r="W413" s="371"/>
      <c r="X413" s="371"/>
      <c r="Y413" s="371"/>
      <c r="Z413" s="371"/>
    </row>
    <row r="414">
      <c r="A414" s="371"/>
      <c r="B414" s="371"/>
      <c r="C414" s="371"/>
      <c r="D414" s="372"/>
      <c r="E414" s="371"/>
      <c r="F414" s="371"/>
      <c r="G414" s="371"/>
      <c r="H414" s="371"/>
      <c r="I414" s="371"/>
      <c r="J414" s="371"/>
      <c r="K414" s="371"/>
      <c r="L414" s="371"/>
      <c r="M414" s="371"/>
      <c r="N414" s="371"/>
      <c r="O414" s="371"/>
      <c r="P414" s="371"/>
      <c r="Q414" s="371"/>
      <c r="R414" s="371"/>
      <c r="S414" s="371"/>
      <c r="T414" s="371"/>
      <c r="U414" s="371"/>
      <c r="V414" s="371"/>
      <c r="W414" s="371"/>
      <c r="X414" s="371"/>
      <c r="Y414" s="371"/>
      <c r="Z414" s="371"/>
    </row>
    <row r="415">
      <c r="A415" s="371"/>
      <c r="B415" s="371"/>
      <c r="C415" s="371"/>
      <c r="D415" s="372"/>
      <c r="E415" s="371"/>
      <c r="F415" s="371"/>
      <c r="G415" s="371"/>
      <c r="H415" s="371"/>
      <c r="I415" s="371"/>
      <c r="J415" s="371"/>
      <c r="K415" s="371"/>
      <c r="L415" s="371"/>
      <c r="M415" s="371"/>
      <c r="N415" s="371"/>
      <c r="O415" s="371"/>
      <c r="P415" s="371"/>
      <c r="Q415" s="371"/>
      <c r="R415" s="371"/>
      <c r="S415" s="371"/>
      <c r="T415" s="371"/>
      <c r="U415" s="371"/>
      <c r="V415" s="371"/>
      <c r="W415" s="371"/>
      <c r="X415" s="371"/>
      <c r="Y415" s="371"/>
      <c r="Z415" s="371"/>
    </row>
    <row r="416">
      <c r="A416" s="371"/>
      <c r="B416" s="371"/>
      <c r="C416" s="371"/>
      <c r="D416" s="372"/>
      <c r="E416" s="371"/>
      <c r="F416" s="371"/>
      <c r="G416" s="371"/>
      <c r="H416" s="371"/>
      <c r="I416" s="371"/>
      <c r="J416" s="371"/>
      <c r="K416" s="371"/>
      <c r="L416" s="371"/>
      <c r="M416" s="371"/>
      <c r="N416" s="371"/>
      <c r="O416" s="371"/>
      <c r="P416" s="371"/>
      <c r="Q416" s="371"/>
      <c r="R416" s="371"/>
      <c r="S416" s="371"/>
      <c r="T416" s="371"/>
      <c r="U416" s="371"/>
      <c r="V416" s="371"/>
      <c r="W416" s="371"/>
      <c r="X416" s="371"/>
      <c r="Y416" s="371"/>
      <c r="Z416" s="371"/>
    </row>
    <row r="417">
      <c r="A417" s="371"/>
      <c r="B417" s="371"/>
      <c r="C417" s="371"/>
      <c r="D417" s="372"/>
      <c r="E417" s="371"/>
      <c r="F417" s="371"/>
      <c r="G417" s="371"/>
      <c r="H417" s="371"/>
      <c r="I417" s="371"/>
      <c r="J417" s="371"/>
      <c r="K417" s="371"/>
      <c r="L417" s="371"/>
      <c r="M417" s="371"/>
      <c r="N417" s="371"/>
      <c r="O417" s="371"/>
      <c r="P417" s="371"/>
      <c r="Q417" s="371"/>
      <c r="R417" s="371"/>
      <c r="S417" s="371"/>
      <c r="T417" s="371"/>
      <c r="U417" s="371"/>
      <c r="V417" s="371"/>
      <c r="W417" s="371"/>
      <c r="X417" s="371"/>
      <c r="Y417" s="371"/>
      <c r="Z417" s="371"/>
    </row>
    <row r="418">
      <c r="A418" s="371"/>
      <c r="B418" s="371"/>
      <c r="C418" s="371"/>
      <c r="D418" s="372"/>
      <c r="E418" s="371"/>
      <c r="F418" s="371"/>
      <c r="G418" s="371"/>
      <c r="H418" s="371"/>
      <c r="I418" s="371"/>
      <c r="J418" s="371"/>
      <c r="K418" s="371"/>
      <c r="L418" s="371"/>
      <c r="M418" s="371"/>
      <c r="N418" s="371"/>
      <c r="O418" s="371"/>
      <c r="P418" s="371"/>
      <c r="Q418" s="371"/>
      <c r="R418" s="371"/>
      <c r="S418" s="371"/>
      <c r="T418" s="371"/>
      <c r="U418" s="371"/>
      <c r="V418" s="371"/>
      <c r="W418" s="371"/>
      <c r="X418" s="371"/>
      <c r="Y418" s="371"/>
      <c r="Z418" s="371"/>
    </row>
    <row r="419">
      <c r="A419" s="371"/>
      <c r="B419" s="371"/>
      <c r="C419" s="371"/>
      <c r="D419" s="372"/>
      <c r="E419" s="371"/>
      <c r="F419" s="371"/>
      <c r="G419" s="371"/>
      <c r="H419" s="371"/>
      <c r="I419" s="371"/>
      <c r="J419" s="371"/>
      <c r="K419" s="371"/>
      <c r="L419" s="371"/>
      <c r="M419" s="371"/>
      <c r="N419" s="371"/>
      <c r="O419" s="371"/>
      <c r="P419" s="371"/>
      <c r="Q419" s="371"/>
      <c r="R419" s="371"/>
      <c r="S419" s="371"/>
      <c r="T419" s="371"/>
      <c r="U419" s="371"/>
      <c r="V419" s="371"/>
      <c r="W419" s="371"/>
      <c r="X419" s="371"/>
      <c r="Y419" s="371"/>
      <c r="Z419" s="371"/>
    </row>
    <row r="420">
      <c r="A420" s="371"/>
      <c r="B420" s="371"/>
      <c r="C420" s="371"/>
      <c r="D420" s="372"/>
      <c r="E420" s="371"/>
      <c r="F420" s="371"/>
      <c r="G420" s="371"/>
      <c r="H420" s="371"/>
      <c r="I420" s="371"/>
      <c r="J420" s="371"/>
      <c r="K420" s="371"/>
      <c r="L420" s="371"/>
      <c r="M420" s="371"/>
      <c r="N420" s="371"/>
      <c r="O420" s="371"/>
      <c r="P420" s="371"/>
      <c r="Q420" s="371"/>
      <c r="R420" s="371"/>
      <c r="S420" s="371"/>
      <c r="T420" s="371"/>
      <c r="U420" s="371"/>
      <c r="V420" s="371"/>
      <c r="W420" s="371"/>
      <c r="X420" s="371"/>
      <c r="Y420" s="371"/>
      <c r="Z420" s="371"/>
    </row>
    <row r="421">
      <c r="A421" s="371"/>
      <c r="B421" s="371"/>
      <c r="C421" s="371"/>
      <c r="D421" s="372"/>
      <c r="E421" s="371"/>
      <c r="F421" s="371"/>
      <c r="G421" s="371"/>
      <c r="H421" s="371"/>
      <c r="I421" s="371"/>
      <c r="J421" s="371"/>
      <c r="K421" s="371"/>
      <c r="L421" s="371"/>
      <c r="M421" s="371"/>
      <c r="N421" s="371"/>
      <c r="O421" s="371"/>
      <c r="P421" s="371"/>
      <c r="Q421" s="371"/>
      <c r="R421" s="371"/>
      <c r="S421" s="371"/>
      <c r="T421" s="371"/>
      <c r="U421" s="371"/>
      <c r="V421" s="371"/>
      <c r="W421" s="371"/>
      <c r="X421" s="371"/>
      <c r="Y421" s="371"/>
      <c r="Z421" s="371"/>
    </row>
    <row r="422">
      <c r="A422" s="371"/>
      <c r="B422" s="371"/>
      <c r="C422" s="371"/>
      <c r="D422" s="372"/>
      <c r="E422" s="371"/>
      <c r="F422" s="371"/>
      <c r="G422" s="371"/>
      <c r="H422" s="371"/>
      <c r="I422" s="371"/>
      <c r="J422" s="371"/>
      <c r="K422" s="371"/>
      <c r="L422" s="371"/>
      <c r="M422" s="371"/>
      <c r="N422" s="371"/>
      <c r="O422" s="371"/>
      <c r="P422" s="371"/>
      <c r="Q422" s="371"/>
      <c r="R422" s="371"/>
      <c r="S422" s="371"/>
      <c r="T422" s="371"/>
      <c r="U422" s="371"/>
      <c r="V422" s="371"/>
      <c r="W422" s="371"/>
      <c r="X422" s="371"/>
      <c r="Y422" s="371"/>
      <c r="Z422" s="371"/>
    </row>
    <row r="423">
      <c r="A423" s="371"/>
      <c r="B423" s="371"/>
      <c r="C423" s="371"/>
      <c r="D423" s="372"/>
      <c r="E423" s="371"/>
      <c r="F423" s="371"/>
      <c r="G423" s="371"/>
      <c r="H423" s="371"/>
      <c r="I423" s="371"/>
      <c r="J423" s="371"/>
      <c r="K423" s="371"/>
      <c r="L423" s="371"/>
      <c r="M423" s="371"/>
      <c r="N423" s="371"/>
      <c r="O423" s="371"/>
      <c r="P423" s="371"/>
      <c r="Q423" s="371"/>
      <c r="R423" s="371"/>
      <c r="S423" s="371"/>
      <c r="T423" s="371"/>
      <c r="U423" s="371"/>
      <c r="V423" s="371"/>
      <c r="W423" s="371"/>
      <c r="X423" s="371"/>
      <c r="Y423" s="371"/>
      <c r="Z423" s="371"/>
    </row>
    <row r="424">
      <c r="A424" s="371"/>
      <c r="B424" s="371"/>
      <c r="C424" s="371"/>
      <c r="D424" s="372"/>
      <c r="E424" s="371"/>
      <c r="F424" s="371"/>
      <c r="G424" s="371"/>
      <c r="H424" s="371"/>
      <c r="I424" s="371"/>
      <c r="J424" s="371"/>
      <c r="K424" s="371"/>
      <c r="L424" s="371"/>
      <c r="M424" s="371"/>
      <c r="N424" s="371"/>
      <c r="O424" s="371"/>
      <c r="P424" s="371"/>
      <c r="Q424" s="371"/>
      <c r="R424" s="371"/>
      <c r="S424" s="371"/>
      <c r="T424" s="371"/>
      <c r="U424" s="371"/>
      <c r="V424" s="371"/>
      <c r="W424" s="371"/>
      <c r="X424" s="371"/>
      <c r="Y424" s="371"/>
      <c r="Z424" s="371"/>
    </row>
    <row r="425">
      <c r="A425" s="371"/>
      <c r="B425" s="371"/>
      <c r="C425" s="371"/>
      <c r="D425" s="372"/>
      <c r="E425" s="371"/>
      <c r="F425" s="371"/>
      <c r="G425" s="371"/>
      <c r="H425" s="371"/>
      <c r="I425" s="371"/>
      <c r="J425" s="371"/>
      <c r="K425" s="371"/>
      <c r="L425" s="371"/>
      <c r="M425" s="371"/>
      <c r="N425" s="371"/>
      <c r="O425" s="371"/>
      <c r="P425" s="371"/>
      <c r="Q425" s="371"/>
      <c r="R425" s="371"/>
      <c r="S425" s="371"/>
      <c r="T425" s="371"/>
      <c r="U425" s="371"/>
      <c r="V425" s="371"/>
      <c r="W425" s="371"/>
      <c r="X425" s="371"/>
      <c r="Y425" s="371"/>
      <c r="Z425" s="371"/>
    </row>
    <row r="426">
      <c r="A426" s="371"/>
      <c r="B426" s="371"/>
      <c r="C426" s="371"/>
      <c r="D426" s="372"/>
      <c r="E426" s="371"/>
      <c r="F426" s="371"/>
      <c r="G426" s="371"/>
      <c r="H426" s="371"/>
      <c r="I426" s="371"/>
      <c r="J426" s="371"/>
      <c r="K426" s="371"/>
      <c r="L426" s="371"/>
      <c r="M426" s="371"/>
      <c r="N426" s="371"/>
      <c r="O426" s="371"/>
      <c r="P426" s="371"/>
      <c r="Q426" s="371"/>
      <c r="R426" s="371"/>
      <c r="S426" s="371"/>
      <c r="T426" s="371"/>
      <c r="U426" s="371"/>
      <c r="V426" s="371"/>
      <c r="W426" s="371"/>
      <c r="X426" s="371"/>
      <c r="Y426" s="371"/>
      <c r="Z426" s="371"/>
    </row>
    <row r="427">
      <c r="A427" s="371"/>
      <c r="B427" s="371"/>
      <c r="C427" s="371"/>
      <c r="D427" s="372"/>
      <c r="E427" s="371"/>
      <c r="F427" s="371"/>
      <c r="G427" s="371"/>
      <c r="H427" s="371"/>
      <c r="I427" s="371"/>
      <c r="J427" s="371"/>
      <c r="K427" s="371"/>
      <c r="L427" s="371"/>
      <c r="M427" s="371"/>
      <c r="N427" s="371"/>
      <c r="O427" s="371"/>
      <c r="P427" s="371"/>
      <c r="Q427" s="371"/>
      <c r="R427" s="371"/>
      <c r="S427" s="371"/>
      <c r="T427" s="371"/>
      <c r="U427" s="371"/>
      <c r="V427" s="371"/>
      <c r="W427" s="371"/>
      <c r="X427" s="371"/>
      <c r="Y427" s="371"/>
      <c r="Z427" s="371"/>
    </row>
    <row r="428">
      <c r="A428" s="371"/>
      <c r="B428" s="371"/>
      <c r="C428" s="371"/>
      <c r="D428" s="372"/>
      <c r="E428" s="371"/>
      <c r="F428" s="371"/>
      <c r="G428" s="371"/>
      <c r="H428" s="371"/>
      <c r="I428" s="371"/>
      <c r="J428" s="371"/>
      <c r="K428" s="371"/>
      <c r="L428" s="371"/>
      <c r="M428" s="371"/>
      <c r="N428" s="371"/>
      <c r="O428" s="371"/>
      <c r="P428" s="371"/>
      <c r="Q428" s="371"/>
      <c r="R428" s="371"/>
      <c r="S428" s="371"/>
      <c r="T428" s="371"/>
      <c r="U428" s="371"/>
      <c r="V428" s="371"/>
      <c r="W428" s="371"/>
      <c r="X428" s="371"/>
      <c r="Y428" s="371"/>
      <c r="Z428" s="371"/>
    </row>
    <row r="429">
      <c r="A429" s="371"/>
      <c r="B429" s="371"/>
      <c r="C429" s="371"/>
      <c r="D429" s="372"/>
      <c r="E429" s="371"/>
      <c r="F429" s="371"/>
      <c r="G429" s="371"/>
      <c r="H429" s="371"/>
      <c r="I429" s="371"/>
      <c r="J429" s="371"/>
      <c r="K429" s="371"/>
      <c r="L429" s="371"/>
      <c r="M429" s="371"/>
      <c r="N429" s="371"/>
      <c r="O429" s="371"/>
      <c r="P429" s="371"/>
      <c r="Q429" s="371"/>
      <c r="R429" s="371"/>
      <c r="S429" s="371"/>
      <c r="T429" s="371"/>
      <c r="U429" s="371"/>
      <c r="V429" s="371"/>
      <c r="W429" s="371"/>
      <c r="X429" s="371"/>
      <c r="Y429" s="371"/>
      <c r="Z429" s="371"/>
    </row>
    <row r="430">
      <c r="A430" s="371"/>
      <c r="B430" s="371"/>
      <c r="C430" s="371"/>
      <c r="D430" s="372"/>
      <c r="E430" s="371"/>
      <c r="F430" s="371"/>
      <c r="G430" s="371"/>
      <c r="H430" s="371"/>
      <c r="I430" s="371"/>
      <c r="J430" s="371"/>
      <c r="K430" s="371"/>
      <c r="L430" s="371"/>
      <c r="M430" s="371"/>
      <c r="N430" s="371"/>
      <c r="O430" s="371"/>
      <c r="P430" s="371"/>
      <c r="Q430" s="371"/>
      <c r="R430" s="371"/>
      <c r="S430" s="371"/>
      <c r="T430" s="371"/>
      <c r="U430" s="371"/>
      <c r="V430" s="371"/>
      <c r="W430" s="371"/>
      <c r="X430" s="371"/>
      <c r="Y430" s="371"/>
      <c r="Z430" s="371"/>
    </row>
    <row r="431">
      <c r="A431" s="371"/>
      <c r="B431" s="371"/>
      <c r="C431" s="371"/>
      <c r="D431" s="372"/>
      <c r="E431" s="371"/>
      <c r="F431" s="371"/>
      <c r="G431" s="371"/>
      <c r="H431" s="371"/>
      <c r="I431" s="371"/>
      <c r="J431" s="371"/>
      <c r="K431" s="371"/>
      <c r="L431" s="371"/>
      <c r="M431" s="371"/>
      <c r="N431" s="371"/>
      <c r="O431" s="371"/>
      <c r="P431" s="371"/>
      <c r="Q431" s="371"/>
      <c r="R431" s="371"/>
      <c r="S431" s="371"/>
      <c r="T431" s="371"/>
      <c r="U431" s="371"/>
      <c r="V431" s="371"/>
      <c r="W431" s="371"/>
      <c r="X431" s="371"/>
      <c r="Y431" s="371"/>
      <c r="Z431" s="371"/>
    </row>
    <row r="432">
      <c r="A432" s="371"/>
      <c r="B432" s="371"/>
      <c r="C432" s="371"/>
      <c r="D432" s="372"/>
      <c r="E432" s="371"/>
      <c r="F432" s="371"/>
      <c r="G432" s="371"/>
      <c r="H432" s="371"/>
      <c r="I432" s="371"/>
      <c r="J432" s="371"/>
      <c r="K432" s="371"/>
      <c r="L432" s="371"/>
      <c r="M432" s="371"/>
      <c r="N432" s="371"/>
      <c r="O432" s="371"/>
      <c r="P432" s="371"/>
      <c r="Q432" s="371"/>
      <c r="R432" s="371"/>
      <c r="S432" s="371"/>
      <c r="T432" s="371"/>
      <c r="U432" s="371"/>
      <c r="V432" s="371"/>
      <c r="W432" s="371"/>
      <c r="X432" s="371"/>
      <c r="Y432" s="371"/>
      <c r="Z432" s="371"/>
    </row>
    <row r="433">
      <c r="A433" s="371"/>
      <c r="B433" s="371"/>
      <c r="C433" s="371"/>
      <c r="D433" s="372"/>
      <c r="E433" s="371"/>
      <c r="F433" s="371"/>
      <c r="G433" s="371"/>
      <c r="H433" s="371"/>
      <c r="I433" s="371"/>
      <c r="J433" s="371"/>
      <c r="K433" s="371"/>
      <c r="L433" s="371"/>
      <c r="M433" s="371"/>
      <c r="N433" s="371"/>
      <c r="O433" s="371"/>
      <c r="P433" s="371"/>
      <c r="Q433" s="371"/>
      <c r="R433" s="371"/>
      <c r="S433" s="371"/>
      <c r="T433" s="371"/>
      <c r="U433" s="371"/>
      <c r="V433" s="371"/>
      <c r="W433" s="371"/>
      <c r="X433" s="371"/>
      <c r="Y433" s="371"/>
      <c r="Z433" s="371"/>
    </row>
    <row r="434">
      <c r="A434" s="371"/>
      <c r="B434" s="371"/>
      <c r="C434" s="371"/>
      <c r="D434" s="372"/>
      <c r="E434" s="371"/>
      <c r="F434" s="371"/>
      <c r="G434" s="371"/>
      <c r="H434" s="371"/>
      <c r="I434" s="371"/>
      <c r="J434" s="371"/>
      <c r="K434" s="371"/>
      <c r="L434" s="371"/>
      <c r="M434" s="371"/>
      <c r="N434" s="371"/>
      <c r="O434" s="371"/>
      <c r="P434" s="371"/>
      <c r="Q434" s="371"/>
      <c r="R434" s="371"/>
      <c r="S434" s="371"/>
      <c r="T434" s="371"/>
      <c r="U434" s="371"/>
      <c r="V434" s="371"/>
      <c r="W434" s="371"/>
      <c r="X434" s="371"/>
      <c r="Y434" s="371"/>
      <c r="Z434" s="371"/>
    </row>
    <row r="435">
      <c r="A435" s="371"/>
      <c r="B435" s="371"/>
      <c r="C435" s="371"/>
      <c r="D435" s="372"/>
      <c r="E435" s="371"/>
      <c r="F435" s="371"/>
      <c r="G435" s="371"/>
      <c r="H435" s="371"/>
      <c r="I435" s="371"/>
      <c r="J435" s="371"/>
      <c r="K435" s="371"/>
      <c r="L435" s="371"/>
      <c r="M435" s="371"/>
      <c r="N435" s="371"/>
      <c r="O435" s="371"/>
      <c r="P435" s="371"/>
      <c r="Q435" s="371"/>
      <c r="R435" s="371"/>
      <c r="S435" s="371"/>
      <c r="T435" s="371"/>
      <c r="U435" s="371"/>
      <c r="V435" s="371"/>
      <c r="W435" s="371"/>
      <c r="X435" s="371"/>
      <c r="Y435" s="371"/>
      <c r="Z435" s="371"/>
    </row>
    <row r="436">
      <c r="A436" s="371"/>
      <c r="B436" s="371"/>
      <c r="C436" s="371"/>
      <c r="D436" s="372"/>
      <c r="E436" s="371"/>
      <c r="F436" s="371"/>
      <c r="G436" s="371"/>
      <c r="H436" s="371"/>
      <c r="I436" s="371"/>
      <c r="J436" s="371"/>
      <c r="K436" s="371"/>
      <c r="L436" s="371"/>
      <c r="M436" s="371"/>
      <c r="N436" s="371"/>
      <c r="O436" s="371"/>
      <c r="P436" s="371"/>
      <c r="Q436" s="371"/>
      <c r="R436" s="371"/>
      <c r="S436" s="371"/>
      <c r="T436" s="371"/>
      <c r="U436" s="371"/>
      <c r="V436" s="371"/>
      <c r="W436" s="371"/>
      <c r="X436" s="371"/>
      <c r="Y436" s="371"/>
      <c r="Z436" s="371"/>
    </row>
    <row r="437">
      <c r="A437" s="371"/>
      <c r="B437" s="371"/>
      <c r="C437" s="371"/>
      <c r="D437" s="372"/>
      <c r="E437" s="371"/>
      <c r="F437" s="371"/>
      <c r="G437" s="371"/>
      <c r="H437" s="371"/>
      <c r="I437" s="371"/>
      <c r="J437" s="371"/>
      <c r="K437" s="371"/>
      <c r="L437" s="371"/>
      <c r="M437" s="371"/>
      <c r="N437" s="371"/>
      <c r="O437" s="371"/>
      <c r="P437" s="371"/>
      <c r="Q437" s="371"/>
      <c r="R437" s="371"/>
      <c r="S437" s="371"/>
      <c r="T437" s="371"/>
      <c r="U437" s="371"/>
      <c r="V437" s="371"/>
      <c r="W437" s="371"/>
      <c r="X437" s="371"/>
      <c r="Y437" s="371"/>
      <c r="Z437" s="371"/>
    </row>
    <row r="438">
      <c r="A438" s="371"/>
      <c r="B438" s="371"/>
      <c r="C438" s="371"/>
      <c r="D438" s="372"/>
      <c r="E438" s="371"/>
      <c r="F438" s="371"/>
      <c r="G438" s="371"/>
      <c r="H438" s="371"/>
      <c r="I438" s="371"/>
      <c r="J438" s="371"/>
      <c r="K438" s="371"/>
      <c r="L438" s="371"/>
      <c r="M438" s="371"/>
      <c r="N438" s="371"/>
      <c r="O438" s="371"/>
      <c r="P438" s="371"/>
      <c r="Q438" s="371"/>
      <c r="R438" s="371"/>
      <c r="S438" s="371"/>
      <c r="T438" s="371"/>
      <c r="U438" s="371"/>
      <c r="V438" s="371"/>
      <c r="W438" s="371"/>
      <c r="X438" s="371"/>
      <c r="Y438" s="371"/>
      <c r="Z438" s="371"/>
    </row>
    <row r="439">
      <c r="A439" s="371"/>
      <c r="B439" s="371"/>
      <c r="C439" s="371"/>
      <c r="D439" s="372"/>
      <c r="E439" s="371"/>
      <c r="F439" s="371"/>
      <c r="G439" s="371"/>
      <c r="H439" s="371"/>
      <c r="I439" s="371"/>
      <c r="J439" s="371"/>
      <c r="K439" s="371"/>
      <c r="L439" s="371"/>
      <c r="M439" s="371"/>
      <c r="N439" s="371"/>
      <c r="O439" s="371"/>
      <c r="P439" s="371"/>
      <c r="Q439" s="371"/>
      <c r="R439" s="371"/>
      <c r="S439" s="371"/>
      <c r="T439" s="371"/>
      <c r="U439" s="371"/>
      <c r="V439" s="371"/>
      <c r="W439" s="371"/>
      <c r="X439" s="371"/>
      <c r="Y439" s="371"/>
      <c r="Z439" s="371"/>
    </row>
    <row r="440">
      <c r="A440" s="371"/>
      <c r="B440" s="371"/>
      <c r="C440" s="371"/>
      <c r="D440" s="372"/>
      <c r="E440" s="371"/>
      <c r="F440" s="371"/>
      <c r="G440" s="371"/>
      <c r="H440" s="371"/>
      <c r="I440" s="371"/>
      <c r="J440" s="371"/>
      <c r="K440" s="371"/>
      <c r="L440" s="371"/>
      <c r="M440" s="371"/>
      <c r="N440" s="371"/>
      <c r="O440" s="371"/>
      <c r="P440" s="371"/>
      <c r="Q440" s="371"/>
      <c r="R440" s="371"/>
      <c r="S440" s="371"/>
      <c r="T440" s="371"/>
      <c r="U440" s="371"/>
      <c r="V440" s="371"/>
      <c r="W440" s="371"/>
      <c r="X440" s="371"/>
      <c r="Y440" s="371"/>
      <c r="Z440" s="371"/>
    </row>
    <row r="441">
      <c r="A441" s="371"/>
      <c r="B441" s="371"/>
      <c r="C441" s="371"/>
      <c r="D441" s="372"/>
      <c r="E441" s="371"/>
      <c r="F441" s="371"/>
      <c r="G441" s="371"/>
      <c r="H441" s="371"/>
      <c r="I441" s="371"/>
      <c r="J441" s="371"/>
      <c r="K441" s="371"/>
      <c r="L441" s="371"/>
      <c r="M441" s="371"/>
      <c r="N441" s="371"/>
      <c r="O441" s="371"/>
      <c r="P441" s="371"/>
      <c r="Q441" s="371"/>
      <c r="R441" s="371"/>
      <c r="S441" s="371"/>
      <c r="T441" s="371"/>
      <c r="U441" s="371"/>
      <c r="V441" s="371"/>
      <c r="W441" s="371"/>
      <c r="X441" s="371"/>
      <c r="Y441" s="371"/>
      <c r="Z441" s="371"/>
    </row>
    <row r="442">
      <c r="A442" s="371"/>
      <c r="B442" s="371"/>
      <c r="C442" s="371"/>
      <c r="D442" s="372"/>
      <c r="E442" s="371"/>
      <c r="F442" s="371"/>
      <c r="G442" s="371"/>
      <c r="H442" s="371"/>
      <c r="I442" s="371"/>
      <c r="J442" s="371"/>
      <c r="K442" s="371"/>
      <c r="L442" s="371"/>
      <c r="M442" s="371"/>
      <c r="N442" s="371"/>
      <c r="O442" s="371"/>
      <c r="P442" s="371"/>
      <c r="Q442" s="371"/>
      <c r="R442" s="371"/>
      <c r="S442" s="371"/>
      <c r="T442" s="371"/>
      <c r="U442" s="371"/>
      <c r="V442" s="371"/>
      <c r="W442" s="371"/>
      <c r="X442" s="371"/>
      <c r="Y442" s="371"/>
      <c r="Z442" s="371"/>
    </row>
    <row r="443">
      <c r="A443" s="371"/>
      <c r="B443" s="371"/>
      <c r="C443" s="371"/>
      <c r="D443" s="372"/>
      <c r="E443" s="371"/>
      <c r="F443" s="371"/>
      <c r="G443" s="371"/>
      <c r="H443" s="371"/>
      <c r="I443" s="371"/>
      <c r="J443" s="371"/>
      <c r="K443" s="371"/>
      <c r="L443" s="371"/>
      <c r="M443" s="371"/>
      <c r="N443" s="371"/>
      <c r="O443" s="371"/>
      <c r="P443" s="371"/>
      <c r="Q443" s="371"/>
      <c r="R443" s="371"/>
      <c r="S443" s="371"/>
      <c r="T443" s="371"/>
      <c r="U443" s="371"/>
      <c r="V443" s="371"/>
      <c r="W443" s="371"/>
      <c r="X443" s="371"/>
      <c r="Y443" s="371"/>
      <c r="Z443" s="371"/>
    </row>
    <row r="444">
      <c r="A444" s="371"/>
      <c r="B444" s="371"/>
      <c r="C444" s="371"/>
      <c r="D444" s="372"/>
      <c r="E444" s="371"/>
      <c r="F444" s="371"/>
      <c r="G444" s="371"/>
      <c r="H444" s="371"/>
      <c r="I444" s="371"/>
      <c r="J444" s="371"/>
      <c r="K444" s="371"/>
      <c r="L444" s="371"/>
      <c r="M444" s="371"/>
      <c r="N444" s="371"/>
      <c r="O444" s="371"/>
      <c r="P444" s="371"/>
      <c r="Q444" s="371"/>
      <c r="R444" s="371"/>
      <c r="S444" s="371"/>
      <c r="T444" s="371"/>
      <c r="U444" s="371"/>
      <c r="V444" s="371"/>
      <c r="W444" s="371"/>
      <c r="X444" s="371"/>
      <c r="Y444" s="371"/>
      <c r="Z444" s="371"/>
    </row>
    <row r="445">
      <c r="A445" s="371"/>
      <c r="B445" s="371"/>
      <c r="C445" s="371"/>
      <c r="D445" s="372"/>
      <c r="E445" s="371"/>
      <c r="F445" s="371"/>
      <c r="G445" s="371"/>
      <c r="H445" s="371"/>
      <c r="I445" s="371"/>
      <c r="J445" s="371"/>
      <c r="K445" s="371"/>
      <c r="L445" s="371"/>
      <c r="M445" s="371"/>
      <c r="N445" s="371"/>
      <c r="O445" s="371"/>
      <c r="P445" s="371"/>
      <c r="Q445" s="371"/>
      <c r="R445" s="371"/>
      <c r="S445" s="371"/>
      <c r="T445" s="371"/>
      <c r="U445" s="371"/>
      <c r="V445" s="371"/>
      <c r="W445" s="371"/>
      <c r="X445" s="371"/>
      <c r="Y445" s="371"/>
      <c r="Z445" s="371"/>
    </row>
    <row r="446">
      <c r="A446" s="371"/>
      <c r="B446" s="371"/>
      <c r="C446" s="371"/>
      <c r="D446" s="372"/>
      <c r="E446" s="371"/>
      <c r="F446" s="371"/>
      <c r="G446" s="371"/>
      <c r="H446" s="371"/>
      <c r="I446" s="371"/>
      <c r="J446" s="371"/>
      <c r="K446" s="371"/>
      <c r="L446" s="371"/>
      <c r="M446" s="371"/>
      <c r="N446" s="371"/>
      <c r="O446" s="371"/>
      <c r="P446" s="371"/>
      <c r="Q446" s="371"/>
      <c r="R446" s="371"/>
      <c r="S446" s="371"/>
      <c r="T446" s="371"/>
      <c r="U446" s="371"/>
      <c r="V446" s="371"/>
      <c r="W446" s="371"/>
      <c r="X446" s="371"/>
      <c r="Y446" s="371"/>
      <c r="Z446" s="371"/>
    </row>
    <row r="447">
      <c r="A447" s="371"/>
      <c r="B447" s="371"/>
      <c r="C447" s="371"/>
      <c r="D447" s="372"/>
      <c r="E447" s="371"/>
      <c r="F447" s="371"/>
      <c r="G447" s="371"/>
      <c r="H447" s="371"/>
      <c r="I447" s="371"/>
      <c r="J447" s="371"/>
      <c r="K447" s="371"/>
      <c r="L447" s="371"/>
      <c r="M447" s="371"/>
      <c r="N447" s="371"/>
      <c r="O447" s="371"/>
      <c r="P447" s="371"/>
      <c r="Q447" s="371"/>
      <c r="R447" s="371"/>
      <c r="S447" s="371"/>
      <c r="T447" s="371"/>
      <c r="U447" s="371"/>
      <c r="V447" s="371"/>
      <c r="W447" s="371"/>
      <c r="X447" s="371"/>
      <c r="Y447" s="371"/>
      <c r="Z447" s="371"/>
    </row>
    <row r="448">
      <c r="A448" s="371"/>
      <c r="B448" s="371"/>
      <c r="C448" s="371"/>
      <c r="D448" s="372"/>
      <c r="E448" s="371"/>
      <c r="F448" s="371"/>
      <c r="G448" s="371"/>
      <c r="H448" s="371"/>
      <c r="I448" s="371"/>
      <c r="J448" s="371"/>
      <c r="K448" s="371"/>
      <c r="L448" s="371"/>
      <c r="M448" s="371"/>
      <c r="N448" s="371"/>
      <c r="O448" s="371"/>
      <c r="P448" s="371"/>
      <c r="Q448" s="371"/>
      <c r="R448" s="371"/>
      <c r="S448" s="371"/>
      <c r="T448" s="371"/>
      <c r="U448" s="371"/>
      <c r="V448" s="371"/>
      <c r="W448" s="371"/>
      <c r="X448" s="371"/>
      <c r="Y448" s="371"/>
      <c r="Z448" s="371"/>
    </row>
    <row r="449">
      <c r="A449" s="371"/>
      <c r="B449" s="371"/>
      <c r="C449" s="371"/>
      <c r="D449" s="372"/>
      <c r="E449" s="371"/>
      <c r="F449" s="371"/>
      <c r="G449" s="371"/>
      <c r="H449" s="371"/>
      <c r="I449" s="371"/>
      <c r="J449" s="371"/>
      <c r="K449" s="371"/>
      <c r="L449" s="371"/>
      <c r="M449" s="371"/>
      <c r="N449" s="371"/>
      <c r="O449" s="371"/>
      <c r="P449" s="371"/>
      <c r="Q449" s="371"/>
      <c r="R449" s="371"/>
      <c r="S449" s="371"/>
      <c r="T449" s="371"/>
      <c r="U449" s="371"/>
      <c r="V449" s="371"/>
      <c r="W449" s="371"/>
      <c r="X449" s="371"/>
      <c r="Y449" s="371"/>
      <c r="Z449" s="371"/>
    </row>
    <row r="450">
      <c r="A450" s="371"/>
      <c r="B450" s="371"/>
      <c r="C450" s="371"/>
      <c r="D450" s="372"/>
      <c r="E450" s="371"/>
      <c r="F450" s="371"/>
      <c r="G450" s="371"/>
      <c r="H450" s="371"/>
      <c r="I450" s="371"/>
      <c r="J450" s="371"/>
      <c r="K450" s="371"/>
      <c r="L450" s="371"/>
      <c r="M450" s="371"/>
      <c r="N450" s="371"/>
      <c r="O450" s="371"/>
      <c r="P450" s="371"/>
      <c r="Q450" s="371"/>
      <c r="R450" s="371"/>
      <c r="S450" s="371"/>
      <c r="T450" s="371"/>
      <c r="U450" s="371"/>
      <c r="V450" s="371"/>
      <c r="W450" s="371"/>
      <c r="X450" s="371"/>
      <c r="Y450" s="371"/>
      <c r="Z450" s="371"/>
    </row>
    <row r="451">
      <c r="A451" s="371"/>
      <c r="B451" s="371"/>
      <c r="C451" s="371"/>
      <c r="D451" s="372"/>
      <c r="E451" s="371"/>
      <c r="F451" s="371"/>
      <c r="G451" s="371"/>
      <c r="H451" s="371"/>
      <c r="I451" s="371"/>
      <c r="J451" s="371"/>
      <c r="K451" s="371"/>
      <c r="L451" s="371"/>
      <c r="M451" s="371"/>
      <c r="N451" s="371"/>
      <c r="O451" s="371"/>
      <c r="P451" s="371"/>
      <c r="Q451" s="371"/>
      <c r="R451" s="371"/>
      <c r="S451" s="371"/>
      <c r="T451" s="371"/>
      <c r="U451" s="371"/>
      <c r="V451" s="371"/>
      <c r="W451" s="371"/>
      <c r="X451" s="371"/>
      <c r="Y451" s="371"/>
      <c r="Z451" s="371"/>
    </row>
    <row r="452">
      <c r="A452" s="371"/>
      <c r="B452" s="371"/>
      <c r="C452" s="371"/>
      <c r="D452" s="372"/>
      <c r="E452" s="371"/>
      <c r="F452" s="371"/>
      <c r="G452" s="371"/>
      <c r="H452" s="371"/>
      <c r="I452" s="371"/>
      <c r="J452" s="371"/>
      <c r="K452" s="371"/>
      <c r="L452" s="371"/>
      <c r="M452" s="371"/>
      <c r="N452" s="371"/>
      <c r="O452" s="371"/>
      <c r="P452" s="371"/>
      <c r="Q452" s="371"/>
      <c r="R452" s="371"/>
      <c r="S452" s="371"/>
      <c r="T452" s="371"/>
      <c r="U452" s="371"/>
      <c r="V452" s="371"/>
      <c r="W452" s="371"/>
      <c r="X452" s="371"/>
      <c r="Y452" s="371"/>
      <c r="Z452" s="371"/>
    </row>
    <row r="453">
      <c r="A453" s="371"/>
      <c r="B453" s="371"/>
      <c r="C453" s="371"/>
      <c r="D453" s="372"/>
      <c r="E453" s="371"/>
      <c r="F453" s="371"/>
      <c r="G453" s="371"/>
      <c r="H453" s="371"/>
      <c r="I453" s="371"/>
      <c r="J453" s="371"/>
      <c r="K453" s="371"/>
      <c r="L453" s="371"/>
      <c r="M453" s="371"/>
      <c r="N453" s="371"/>
      <c r="O453" s="371"/>
      <c r="P453" s="371"/>
      <c r="Q453" s="371"/>
      <c r="R453" s="371"/>
      <c r="S453" s="371"/>
      <c r="T453" s="371"/>
      <c r="U453" s="371"/>
      <c r="V453" s="371"/>
      <c r="W453" s="371"/>
      <c r="X453" s="371"/>
      <c r="Y453" s="371"/>
      <c r="Z453" s="371"/>
    </row>
    <row r="454">
      <c r="A454" s="371"/>
      <c r="B454" s="371"/>
      <c r="C454" s="371"/>
      <c r="D454" s="372"/>
      <c r="E454" s="371"/>
      <c r="F454" s="371"/>
      <c r="G454" s="371"/>
      <c r="H454" s="371"/>
      <c r="I454" s="371"/>
      <c r="J454" s="371"/>
      <c r="K454" s="371"/>
      <c r="L454" s="371"/>
      <c r="M454" s="371"/>
      <c r="N454" s="371"/>
      <c r="O454" s="371"/>
      <c r="P454" s="371"/>
      <c r="Q454" s="371"/>
      <c r="R454" s="371"/>
      <c r="S454" s="371"/>
      <c r="T454" s="371"/>
      <c r="U454" s="371"/>
      <c r="V454" s="371"/>
      <c r="W454" s="371"/>
      <c r="X454" s="371"/>
      <c r="Y454" s="371"/>
      <c r="Z454" s="371"/>
    </row>
    <row r="455">
      <c r="A455" s="371"/>
      <c r="B455" s="371"/>
      <c r="C455" s="371"/>
      <c r="D455" s="372"/>
      <c r="E455" s="371"/>
      <c r="F455" s="371"/>
      <c r="G455" s="371"/>
      <c r="H455" s="371"/>
      <c r="I455" s="371"/>
      <c r="J455" s="371"/>
      <c r="K455" s="371"/>
      <c r="L455" s="371"/>
      <c r="M455" s="371"/>
      <c r="N455" s="371"/>
      <c r="O455" s="371"/>
      <c r="P455" s="371"/>
      <c r="Q455" s="371"/>
      <c r="R455" s="371"/>
      <c r="S455" s="371"/>
      <c r="T455" s="371"/>
      <c r="U455" s="371"/>
      <c r="V455" s="371"/>
      <c r="W455" s="371"/>
      <c r="X455" s="371"/>
      <c r="Y455" s="371"/>
      <c r="Z455" s="371"/>
    </row>
    <row r="456">
      <c r="A456" s="371"/>
      <c r="B456" s="371"/>
      <c r="C456" s="371"/>
      <c r="D456" s="372"/>
      <c r="E456" s="371"/>
      <c r="F456" s="371"/>
      <c r="G456" s="371"/>
      <c r="H456" s="371"/>
      <c r="I456" s="371"/>
      <c r="J456" s="371"/>
      <c r="K456" s="371"/>
      <c r="L456" s="371"/>
      <c r="M456" s="371"/>
      <c r="N456" s="371"/>
      <c r="O456" s="371"/>
      <c r="P456" s="371"/>
      <c r="Q456" s="371"/>
      <c r="R456" s="371"/>
      <c r="S456" s="371"/>
      <c r="T456" s="371"/>
      <c r="U456" s="371"/>
      <c r="V456" s="371"/>
      <c r="W456" s="371"/>
      <c r="X456" s="371"/>
      <c r="Y456" s="371"/>
      <c r="Z456" s="371"/>
    </row>
    <row r="457">
      <c r="A457" s="371"/>
      <c r="B457" s="371"/>
      <c r="C457" s="371"/>
      <c r="D457" s="372"/>
      <c r="E457" s="371"/>
      <c r="F457" s="371"/>
      <c r="G457" s="371"/>
      <c r="H457" s="371"/>
      <c r="I457" s="371"/>
      <c r="J457" s="371"/>
      <c r="K457" s="371"/>
      <c r="L457" s="371"/>
      <c r="M457" s="371"/>
      <c r="N457" s="371"/>
      <c r="O457" s="371"/>
      <c r="P457" s="371"/>
      <c r="Q457" s="371"/>
      <c r="R457" s="371"/>
      <c r="S457" s="371"/>
      <c r="T457" s="371"/>
      <c r="U457" s="371"/>
      <c r="V457" s="371"/>
      <c r="W457" s="371"/>
      <c r="X457" s="371"/>
      <c r="Y457" s="371"/>
      <c r="Z457" s="371"/>
    </row>
    <row r="458">
      <c r="A458" s="371"/>
      <c r="B458" s="371"/>
      <c r="C458" s="371"/>
      <c r="D458" s="372"/>
      <c r="E458" s="371"/>
      <c r="F458" s="371"/>
      <c r="G458" s="371"/>
      <c r="H458" s="371"/>
      <c r="I458" s="371"/>
      <c r="J458" s="371"/>
      <c r="K458" s="371"/>
      <c r="L458" s="371"/>
      <c r="M458" s="371"/>
      <c r="N458" s="371"/>
      <c r="O458" s="371"/>
      <c r="P458" s="371"/>
      <c r="Q458" s="371"/>
      <c r="R458" s="371"/>
      <c r="S458" s="371"/>
      <c r="T458" s="371"/>
      <c r="U458" s="371"/>
      <c r="V458" s="371"/>
      <c r="W458" s="371"/>
      <c r="X458" s="371"/>
      <c r="Y458" s="371"/>
      <c r="Z458" s="371"/>
    </row>
    <row r="459">
      <c r="A459" s="371"/>
      <c r="B459" s="371"/>
      <c r="C459" s="371"/>
      <c r="D459" s="372"/>
      <c r="E459" s="371"/>
      <c r="F459" s="371"/>
      <c r="G459" s="371"/>
      <c r="H459" s="371"/>
      <c r="I459" s="371"/>
      <c r="J459" s="371"/>
      <c r="K459" s="371"/>
      <c r="L459" s="371"/>
      <c r="M459" s="371"/>
      <c r="N459" s="371"/>
      <c r="O459" s="371"/>
      <c r="P459" s="371"/>
      <c r="Q459" s="371"/>
      <c r="R459" s="371"/>
      <c r="S459" s="371"/>
      <c r="T459" s="371"/>
      <c r="U459" s="371"/>
      <c r="V459" s="371"/>
      <c r="W459" s="371"/>
      <c r="X459" s="371"/>
      <c r="Y459" s="371"/>
      <c r="Z459" s="371"/>
    </row>
    <row r="460">
      <c r="A460" s="371"/>
      <c r="B460" s="371"/>
      <c r="C460" s="371"/>
      <c r="D460" s="372"/>
      <c r="E460" s="371"/>
      <c r="F460" s="371"/>
      <c r="G460" s="371"/>
      <c r="H460" s="371"/>
      <c r="I460" s="371"/>
      <c r="J460" s="371"/>
      <c r="K460" s="371"/>
      <c r="L460" s="371"/>
      <c r="M460" s="371"/>
      <c r="N460" s="371"/>
      <c r="O460" s="371"/>
      <c r="P460" s="371"/>
      <c r="Q460" s="371"/>
      <c r="R460" s="371"/>
      <c r="S460" s="371"/>
      <c r="T460" s="371"/>
      <c r="U460" s="371"/>
      <c r="V460" s="371"/>
      <c r="W460" s="371"/>
      <c r="X460" s="371"/>
      <c r="Y460" s="371"/>
      <c r="Z460" s="371"/>
    </row>
    <row r="461">
      <c r="A461" s="371"/>
      <c r="B461" s="371"/>
      <c r="C461" s="371"/>
      <c r="D461" s="372"/>
      <c r="E461" s="371"/>
      <c r="F461" s="371"/>
      <c r="G461" s="371"/>
      <c r="H461" s="371"/>
      <c r="I461" s="371"/>
      <c r="J461" s="371"/>
      <c r="K461" s="371"/>
      <c r="L461" s="371"/>
      <c r="M461" s="371"/>
      <c r="N461" s="371"/>
      <c r="O461" s="371"/>
      <c r="P461" s="371"/>
      <c r="Q461" s="371"/>
      <c r="R461" s="371"/>
      <c r="S461" s="371"/>
      <c r="T461" s="371"/>
      <c r="U461" s="371"/>
      <c r="V461" s="371"/>
      <c r="W461" s="371"/>
      <c r="X461" s="371"/>
      <c r="Y461" s="371"/>
      <c r="Z461" s="371"/>
    </row>
    <row r="462">
      <c r="A462" s="371"/>
      <c r="B462" s="371"/>
      <c r="C462" s="371"/>
      <c r="D462" s="372"/>
      <c r="E462" s="371"/>
      <c r="F462" s="371"/>
      <c r="G462" s="371"/>
      <c r="H462" s="371"/>
      <c r="I462" s="371"/>
      <c r="J462" s="371"/>
      <c r="K462" s="371"/>
      <c r="L462" s="371"/>
      <c r="M462" s="371"/>
      <c r="N462" s="371"/>
      <c r="O462" s="371"/>
      <c r="P462" s="371"/>
      <c r="Q462" s="371"/>
      <c r="R462" s="371"/>
      <c r="S462" s="371"/>
      <c r="T462" s="371"/>
      <c r="U462" s="371"/>
      <c r="V462" s="371"/>
      <c r="W462" s="371"/>
      <c r="X462" s="371"/>
      <c r="Y462" s="371"/>
      <c r="Z462" s="371"/>
    </row>
    <row r="463">
      <c r="A463" s="371"/>
      <c r="B463" s="371"/>
      <c r="C463" s="371"/>
      <c r="D463" s="372"/>
      <c r="E463" s="371"/>
      <c r="F463" s="371"/>
      <c r="G463" s="371"/>
      <c r="H463" s="371"/>
      <c r="I463" s="371"/>
      <c r="J463" s="371"/>
      <c r="K463" s="371"/>
      <c r="L463" s="371"/>
      <c r="M463" s="371"/>
      <c r="N463" s="371"/>
      <c r="O463" s="371"/>
      <c r="P463" s="371"/>
      <c r="Q463" s="371"/>
      <c r="R463" s="371"/>
      <c r="S463" s="371"/>
      <c r="T463" s="371"/>
      <c r="U463" s="371"/>
      <c r="V463" s="371"/>
      <c r="W463" s="371"/>
      <c r="X463" s="371"/>
      <c r="Y463" s="371"/>
      <c r="Z463" s="371"/>
    </row>
    <row r="464">
      <c r="A464" s="371"/>
      <c r="B464" s="371"/>
      <c r="C464" s="371"/>
      <c r="D464" s="372"/>
      <c r="E464" s="371"/>
      <c r="F464" s="371"/>
      <c r="G464" s="371"/>
      <c r="H464" s="371"/>
      <c r="I464" s="371"/>
      <c r="J464" s="371"/>
      <c r="K464" s="371"/>
      <c r="L464" s="371"/>
      <c r="M464" s="371"/>
      <c r="N464" s="371"/>
      <c r="O464" s="371"/>
      <c r="P464" s="371"/>
      <c r="Q464" s="371"/>
      <c r="R464" s="371"/>
      <c r="S464" s="371"/>
      <c r="T464" s="371"/>
      <c r="U464" s="371"/>
      <c r="V464" s="371"/>
      <c r="W464" s="371"/>
      <c r="X464" s="371"/>
      <c r="Y464" s="371"/>
      <c r="Z464" s="371"/>
    </row>
    <row r="465">
      <c r="A465" s="371"/>
      <c r="B465" s="371"/>
      <c r="C465" s="371"/>
      <c r="D465" s="372"/>
      <c r="E465" s="371"/>
      <c r="F465" s="371"/>
      <c r="G465" s="371"/>
      <c r="H465" s="371"/>
      <c r="I465" s="371"/>
      <c r="J465" s="371"/>
      <c r="K465" s="371"/>
      <c r="L465" s="371"/>
      <c r="M465" s="371"/>
      <c r="N465" s="371"/>
      <c r="O465" s="371"/>
      <c r="P465" s="371"/>
      <c r="Q465" s="371"/>
      <c r="R465" s="371"/>
      <c r="S465" s="371"/>
      <c r="T465" s="371"/>
      <c r="U465" s="371"/>
      <c r="V465" s="371"/>
      <c r="W465" s="371"/>
      <c r="X465" s="371"/>
      <c r="Y465" s="371"/>
      <c r="Z465" s="371"/>
    </row>
    <row r="466">
      <c r="A466" s="371"/>
      <c r="B466" s="371"/>
      <c r="C466" s="371"/>
      <c r="D466" s="372"/>
      <c r="E466" s="371"/>
      <c r="F466" s="371"/>
      <c r="G466" s="371"/>
      <c r="H466" s="371"/>
      <c r="I466" s="371"/>
      <c r="J466" s="371"/>
      <c r="K466" s="371"/>
      <c r="L466" s="371"/>
      <c r="M466" s="371"/>
      <c r="N466" s="371"/>
      <c r="O466" s="371"/>
      <c r="P466" s="371"/>
      <c r="Q466" s="371"/>
      <c r="R466" s="371"/>
      <c r="S466" s="371"/>
      <c r="T466" s="371"/>
      <c r="U466" s="371"/>
      <c r="V466" s="371"/>
      <c r="W466" s="371"/>
      <c r="X466" s="371"/>
      <c r="Y466" s="371"/>
      <c r="Z466" s="371"/>
    </row>
    <row r="467">
      <c r="A467" s="371"/>
      <c r="B467" s="371"/>
      <c r="C467" s="371"/>
      <c r="D467" s="372"/>
      <c r="E467" s="371"/>
      <c r="F467" s="371"/>
      <c r="G467" s="371"/>
      <c r="H467" s="371"/>
      <c r="I467" s="371"/>
      <c r="J467" s="371"/>
      <c r="K467" s="371"/>
      <c r="L467" s="371"/>
      <c r="M467" s="371"/>
      <c r="N467" s="371"/>
      <c r="O467" s="371"/>
      <c r="P467" s="371"/>
      <c r="Q467" s="371"/>
      <c r="R467" s="371"/>
      <c r="S467" s="371"/>
      <c r="T467" s="371"/>
      <c r="U467" s="371"/>
      <c r="V467" s="371"/>
      <c r="W467" s="371"/>
      <c r="X467" s="371"/>
      <c r="Y467" s="371"/>
      <c r="Z467" s="371"/>
    </row>
    <row r="468">
      <c r="A468" s="371"/>
      <c r="B468" s="371"/>
      <c r="C468" s="371"/>
      <c r="D468" s="372"/>
      <c r="E468" s="371"/>
      <c r="F468" s="371"/>
      <c r="G468" s="371"/>
      <c r="H468" s="371"/>
      <c r="I468" s="371"/>
      <c r="J468" s="371"/>
      <c r="K468" s="371"/>
      <c r="L468" s="371"/>
      <c r="M468" s="371"/>
      <c r="N468" s="371"/>
      <c r="O468" s="371"/>
      <c r="P468" s="371"/>
      <c r="Q468" s="371"/>
      <c r="R468" s="371"/>
      <c r="S468" s="371"/>
      <c r="T468" s="371"/>
      <c r="U468" s="371"/>
      <c r="V468" s="371"/>
      <c r="W468" s="371"/>
      <c r="X468" s="371"/>
      <c r="Y468" s="371"/>
      <c r="Z468" s="371"/>
    </row>
    <row r="469">
      <c r="A469" s="371"/>
      <c r="B469" s="371"/>
      <c r="C469" s="371"/>
      <c r="D469" s="372"/>
      <c r="E469" s="371"/>
      <c r="F469" s="371"/>
      <c r="G469" s="371"/>
      <c r="H469" s="371"/>
      <c r="I469" s="371"/>
      <c r="J469" s="371"/>
      <c r="K469" s="371"/>
      <c r="L469" s="371"/>
      <c r="M469" s="371"/>
      <c r="N469" s="371"/>
      <c r="O469" s="371"/>
      <c r="P469" s="371"/>
      <c r="Q469" s="371"/>
      <c r="R469" s="371"/>
      <c r="S469" s="371"/>
      <c r="T469" s="371"/>
      <c r="U469" s="371"/>
      <c r="V469" s="371"/>
      <c r="W469" s="371"/>
      <c r="X469" s="371"/>
      <c r="Y469" s="371"/>
      <c r="Z469" s="371"/>
    </row>
    <row r="470">
      <c r="A470" s="371"/>
      <c r="B470" s="371"/>
      <c r="C470" s="371"/>
      <c r="D470" s="372"/>
      <c r="E470" s="371"/>
      <c r="F470" s="371"/>
      <c r="G470" s="371"/>
      <c r="H470" s="371"/>
      <c r="I470" s="371"/>
      <c r="J470" s="371"/>
      <c r="K470" s="371"/>
      <c r="L470" s="371"/>
      <c r="M470" s="371"/>
      <c r="N470" s="371"/>
      <c r="O470" s="371"/>
      <c r="P470" s="371"/>
      <c r="Q470" s="371"/>
      <c r="R470" s="371"/>
      <c r="S470" s="371"/>
      <c r="T470" s="371"/>
      <c r="U470" s="371"/>
      <c r="V470" s="371"/>
      <c r="W470" s="371"/>
      <c r="X470" s="371"/>
      <c r="Y470" s="371"/>
      <c r="Z470" s="371"/>
    </row>
    <row r="471">
      <c r="A471" s="371"/>
      <c r="B471" s="371"/>
      <c r="C471" s="371"/>
      <c r="D471" s="372"/>
      <c r="E471" s="371"/>
      <c r="F471" s="371"/>
      <c r="G471" s="371"/>
      <c r="H471" s="371"/>
      <c r="I471" s="371"/>
      <c r="J471" s="371"/>
      <c r="K471" s="371"/>
      <c r="L471" s="371"/>
      <c r="M471" s="371"/>
      <c r="N471" s="371"/>
      <c r="O471" s="371"/>
      <c r="P471" s="371"/>
      <c r="Q471" s="371"/>
      <c r="R471" s="371"/>
      <c r="S471" s="371"/>
      <c r="T471" s="371"/>
      <c r="U471" s="371"/>
      <c r="V471" s="371"/>
      <c r="W471" s="371"/>
      <c r="X471" s="371"/>
      <c r="Y471" s="371"/>
      <c r="Z471" s="371"/>
    </row>
    <row r="472">
      <c r="A472" s="371"/>
      <c r="B472" s="371"/>
      <c r="C472" s="371"/>
      <c r="D472" s="372"/>
      <c r="E472" s="371"/>
      <c r="F472" s="371"/>
      <c r="G472" s="371"/>
      <c r="H472" s="371"/>
      <c r="I472" s="371"/>
      <c r="J472" s="371"/>
      <c r="K472" s="371"/>
      <c r="L472" s="371"/>
      <c r="M472" s="371"/>
      <c r="N472" s="371"/>
      <c r="O472" s="371"/>
      <c r="P472" s="371"/>
      <c r="Q472" s="371"/>
      <c r="R472" s="371"/>
      <c r="S472" s="371"/>
      <c r="T472" s="371"/>
      <c r="U472" s="371"/>
      <c r="V472" s="371"/>
      <c r="W472" s="371"/>
      <c r="X472" s="371"/>
      <c r="Y472" s="371"/>
      <c r="Z472" s="371"/>
    </row>
    <row r="473">
      <c r="A473" s="371"/>
      <c r="B473" s="371"/>
      <c r="C473" s="371"/>
      <c r="D473" s="372"/>
      <c r="E473" s="371"/>
      <c r="F473" s="371"/>
      <c r="G473" s="371"/>
      <c r="H473" s="371"/>
      <c r="I473" s="371"/>
      <c r="J473" s="371"/>
      <c r="K473" s="371"/>
      <c r="L473" s="371"/>
      <c r="M473" s="371"/>
      <c r="N473" s="371"/>
      <c r="O473" s="371"/>
      <c r="P473" s="371"/>
      <c r="Q473" s="371"/>
      <c r="R473" s="371"/>
      <c r="S473" s="371"/>
      <c r="T473" s="371"/>
      <c r="U473" s="371"/>
      <c r="V473" s="371"/>
      <c r="W473" s="371"/>
      <c r="X473" s="371"/>
      <c r="Y473" s="371"/>
      <c r="Z473" s="371"/>
    </row>
    <row r="474">
      <c r="A474" s="371"/>
      <c r="B474" s="371"/>
      <c r="C474" s="371"/>
      <c r="D474" s="372"/>
      <c r="E474" s="371"/>
      <c r="F474" s="371"/>
      <c r="G474" s="371"/>
      <c r="H474" s="371"/>
      <c r="I474" s="371"/>
      <c r="J474" s="371"/>
      <c r="K474" s="371"/>
      <c r="L474" s="371"/>
      <c r="M474" s="371"/>
      <c r="N474" s="371"/>
      <c r="O474" s="371"/>
      <c r="P474" s="371"/>
      <c r="Q474" s="371"/>
      <c r="R474" s="371"/>
      <c r="S474" s="371"/>
      <c r="T474" s="371"/>
      <c r="U474" s="371"/>
      <c r="V474" s="371"/>
      <c r="W474" s="371"/>
      <c r="X474" s="371"/>
      <c r="Y474" s="371"/>
      <c r="Z474" s="371"/>
    </row>
    <row r="475">
      <c r="A475" s="371"/>
      <c r="B475" s="371"/>
      <c r="C475" s="371"/>
      <c r="D475" s="372"/>
      <c r="E475" s="371"/>
      <c r="F475" s="371"/>
      <c r="G475" s="371"/>
      <c r="H475" s="371"/>
      <c r="I475" s="371"/>
      <c r="J475" s="371"/>
      <c r="K475" s="371"/>
      <c r="L475" s="371"/>
      <c r="M475" s="371"/>
      <c r="N475" s="371"/>
      <c r="O475" s="371"/>
      <c r="P475" s="371"/>
      <c r="Q475" s="371"/>
      <c r="R475" s="371"/>
      <c r="S475" s="371"/>
      <c r="T475" s="371"/>
      <c r="U475" s="371"/>
      <c r="V475" s="371"/>
      <c r="W475" s="371"/>
      <c r="X475" s="371"/>
      <c r="Y475" s="371"/>
      <c r="Z475" s="371"/>
    </row>
    <row r="476">
      <c r="A476" s="371"/>
      <c r="B476" s="371"/>
      <c r="C476" s="371"/>
      <c r="D476" s="372"/>
      <c r="E476" s="371"/>
      <c r="F476" s="371"/>
      <c r="G476" s="371"/>
      <c r="H476" s="371"/>
      <c r="I476" s="371"/>
      <c r="J476" s="371"/>
      <c r="K476" s="371"/>
      <c r="L476" s="371"/>
      <c r="M476" s="371"/>
      <c r="N476" s="371"/>
      <c r="O476" s="371"/>
      <c r="P476" s="371"/>
      <c r="Q476" s="371"/>
      <c r="R476" s="371"/>
      <c r="S476" s="371"/>
      <c r="T476" s="371"/>
      <c r="U476" s="371"/>
      <c r="V476" s="371"/>
      <c r="W476" s="371"/>
      <c r="X476" s="371"/>
      <c r="Y476" s="371"/>
      <c r="Z476" s="371"/>
    </row>
    <row r="477">
      <c r="A477" s="371"/>
      <c r="B477" s="371"/>
      <c r="C477" s="371"/>
      <c r="D477" s="372"/>
      <c r="E477" s="371"/>
      <c r="F477" s="371"/>
      <c r="G477" s="371"/>
      <c r="H477" s="371"/>
      <c r="I477" s="371"/>
      <c r="J477" s="371"/>
      <c r="K477" s="371"/>
      <c r="L477" s="371"/>
      <c r="M477" s="371"/>
      <c r="N477" s="371"/>
      <c r="O477" s="371"/>
      <c r="P477" s="371"/>
      <c r="Q477" s="371"/>
      <c r="R477" s="371"/>
      <c r="S477" s="371"/>
      <c r="T477" s="371"/>
      <c r="U477" s="371"/>
      <c r="V477" s="371"/>
      <c r="W477" s="371"/>
      <c r="X477" s="371"/>
      <c r="Y477" s="371"/>
      <c r="Z477" s="371"/>
    </row>
    <row r="478">
      <c r="A478" s="371"/>
      <c r="B478" s="371"/>
      <c r="C478" s="371"/>
      <c r="D478" s="372"/>
      <c r="E478" s="371"/>
      <c r="F478" s="371"/>
      <c r="G478" s="371"/>
      <c r="H478" s="371"/>
      <c r="I478" s="371"/>
      <c r="J478" s="371"/>
      <c r="K478" s="371"/>
      <c r="L478" s="371"/>
      <c r="M478" s="371"/>
      <c r="N478" s="371"/>
      <c r="O478" s="371"/>
      <c r="P478" s="371"/>
      <c r="Q478" s="371"/>
      <c r="R478" s="371"/>
      <c r="S478" s="371"/>
      <c r="T478" s="371"/>
      <c r="U478" s="371"/>
      <c r="V478" s="371"/>
      <c r="W478" s="371"/>
      <c r="X478" s="371"/>
      <c r="Y478" s="371"/>
      <c r="Z478" s="371"/>
    </row>
    <row r="479">
      <c r="A479" s="371"/>
      <c r="B479" s="371"/>
      <c r="C479" s="371"/>
      <c r="D479" s="372"/>
      <c r="E479" s="371"/>
      <c r="F479" s="371"/>
      <c r="G479" s="371"/>
      <c r="H479" s="371"/>
      <c r="I479" s="371"/>
      <c r="J479" s="371"/>
      <c r="K479" s="371"/>
      <c r="L479" s="371"/>
      <c r="M479" s="371"/>
      <c r="N479" s="371"/>
      <c r="O479" s="371"/>
      <c r="P479" s="371"/>
      <c r="Q479" s="371"/>
      <c r="R479" s="371"/>
      <c r="S479" s="371"/>
      <c r="T479" s="371"/>
      <c r="U479" s="371"/>
      <c r="V479" s="371"/>
      <c r="W479" s="371"/>
      <c r="X479" s="371"/>
      <c r="Y479" s="371"/>
      <c r="Z479" s="371"/>
    </row>
    <row r="480">
      <c r="A480" s="371"/>
      <c r="B480" s="371"/>
      <c r="C480" s="371"/>
      <c r="D480" s="372"/>
      <c r="E480" s="371"/>
      <c r="F480" s="371"/>
      <c r="G480" s="371"/>
      <c r="H480" s="371"/>
      <c r="I480" s="371"/>
      <c r="J480" s="371"/>
      <c r="K480" s="371"/>
      <c r="L480" s="371"/>
      <c r="M480" s="371"/>
      <c r="N480" s="371"/>
      <c r="O480" s="371"/>
      <c r="P480" s="371"/>
      <c r="Q480" s="371"/>
      <c r="R480" s="371"/>
      <c r="S480" s="371"/>
      <c r="T480" s="371"/>
      <c r="U480" s="371"/>
      <c r="V480" s="371"/>
      <c r="W480" s="371"/>
      <c r="X480" s="371"/>
      <c r="Y480" s="371"/>
      <c r="Z480" s="371"/>
    </row>
    <row r="481">
      <c r="A481" s="371"/>
      <c r="B481" s="371"/>
      <c r="C481" s="371"/>
      <c r="D481" s="372"/>
      <c r="E481" s="371"/>
      <c r="F481" s="371"/>
      <c r="G481" s="371"/>
      <c r="H481" s="371"/>
      <c r="I481" s="371"/>
      <c r="J481" s="371"/>
      <c r="K481" s="371"/>
      <c r="L481" s="371"/>
      <c r="M481" s="371"/>
      <c r="N481" s="371"/>
      <c r="O481" s="371"/>
      <c r="P481" s="371"/>
      <c r="Q481" s="371"/>
      <c r="R481" s="371"/>
      <c r="S481" s="371"/>
      <c r="T481" s="371"/>
      <c r="U481" s="371"/>
      <c r="V481" s="371"/>
      <c r="W481" s="371"/>
      <c r="X481" s="371"/>
      <c r="Y481" s="371"/>
      <c r="Z481" s="371"/>
    </row>
    <row r="482">
      <c r="A482" s="371"/>
      <c r="B482" s="371"/>
      <c r="C482" s="371"/>
      <c r="D482" s="372"/>
      <c r="E482" s="371"/>
      <c r="F482" s="371"/>
      <c r="G482" s="371"/>
      <c r="H482" s="371"/>
      <c r="I482" s="371"/>
      <c r="J482" s="371"/>
      <c r="K482" s="371"/>
      <c r="L482" s="371"/>
      <c r="M482" s="371"/>
      <c r="N482" s="371"/>
      <c r="O482" s="371"/>
      <c r="P482" s="371"/>
      <c r="Q482" s="371"/>
      <c r="R482" s="371"/>
      <c r="S482" s="371"/>
      <c r="T482" s="371"/>
      <c r="U482" s="371"/>
      <c r="V482" s="371"/>
      <c r="W482" s="371"/>
      <c r="X482" s="371"/>
      <c r="Y482" s="371"/>
      <c r="Z482" s="371"/>
    </row>
    <row r="483">
      <c r="A483" s="371"/>
      <c r="B483" s="371"/>
      <c r="C483" s="371"/>
      <c r="D483" s="372"/>
      <c r="E483" s="371"/>
      <c r="F483" s="371"/>
      <c r="G483" s="371"/>
      <c r="H483" s="371"/>
      <c r="I483" s="371"/>
      <c r="J483" s="371"/>
      <c r="K483" s="371"/>
      <c r="L483" s="371"/>
      <c r="M483" s="371"/>
      <c r="N483" s="371"/>
      <c r="O483" s="371"/>
      <c r="P483" s="371"/>
      <c r="Q483" s="371"/>
      <c r="R483" s="371"/>
      <c r="S483" s="371"/>
      <c r="T483" s="371"/>
      <c r="U483" s="371"/>
      <c r="V483" s="371"/>
      <c r="W483" s="371"/>
      <c r="X483" s="371"/>
      <c r="Y483" s="371"/>
      <c r="Z483" s="371"/>
    </row>
    <row r="484">
      <c r="A484" s="371"/>
      <c r="B484" s="371"/>
      <c r="C484" s="371"/>
      <c r="D484" s="372"/>
      <c r="E484" s="371"/>
      <c r="F484" s="371"/>
      <c r="G484" s="371"/>
      <c r="H484" s="371"/>
      <c r="I484" s="371"/>
      <c r="J484" s="371"/>
      <c r="K484" s="371"/>
      <c r="L484" s="371"/>
      <c r="M484" s="371"/>
      <c r="N484" s="371"/>
      <c r="O484" s="371"/>
      <c r="P484" s="371"/>
      <c r="Q484" s="371"/>
      <c r="R484" s="371"/>
      <c r="S484" s="371"/>
      <c r="T484" s="371"/>
      <c r="U484" s="371"/>
      <c r="V484" s="371"/>
      <c r="W484" s="371"/>
      <c r="X484" s="371"/>
      <c r="Y484" s="371"/>
      <c r="Z484" s="371"/>
    </row>
    <row r="485">
      <c r="A485" s="371"/>
      <c r="B485" s="371"/>
      <c r="C485" s="371"/>
      <c r="D485" s="372"/>
      <c r="E485" s="371"/>
      <c r="F485" s="371"/>
      <c r="G485" s="371"/>
      <c r="H485" s="371"/>
      <c r="I485" s="371"/>
      <c r="J485" s="371"/>
      <c r="K485" s="371"/>
      <c r="L485" s="371"/>
      <c r="M485" s="371"/>
      <c r="N485" s="371"/>
      <c r="O485" s="371"/>
      <c r="P485" s="371"/>
      <c r="Q485" s="371"/>
      <c r="R485" s="371"/>
      <c r="S485" s="371"/>
      <c r="T485" s="371"/>
      <c r="U485" s="371"/>
      <c r="V485" s="371"/>
      <c r="W485" s="371"/>
      <c r="X485" s="371"/>
      <c r="Y485" s="371"/>
      <c r="Z485" s="371"/>
    </row>
    <row r="486">
      <c r="A486" s="371"/>
      <c r="B486" s="371"/>
      <c r="C486" s="371"/>
      <c r="D486" s="372"/>
      <c r="E486" s="371"/>
      <c r="F486" s="371"/>
      <c r="G486" s="371"/>
      <c r="H486" s="371"/>
      <c r="I486" s="371"/>
      <c r="J486" s="371"/>
      <c r="K486" s="371"/>
      <c r="L486" s="371"/>
      <c r="M486" s="371"/>
      <c r="N486" s="371"/>
      <c r="O486" s="371"/>
      <c r="P486" s="371"/>
      <c r="Q486" s="371"/>
      <c r="R486" s="371"/>
      <c r="S486" s="371"/>
      <c r="T486" s="371"/>
      <c r="U486" s="371"/>
      <c r="V486" s="371"/>
      <c r="W486" s="371"/>
      <c r="X486" s="371"/>
      <c r="Y486" s="371"/>
      <c r="Z486" s="371"/>
    </row>
    <row r="487">
      <c r="A487" s="371"/>
      <c r="B487" s="371"/>
      <c r="C487" s="371"/>
      <c r="D487" s="372"/>
      <c r="E487" s="371"/>
      <c r="F487" s="371"/>
      <c r="G487" s="371"/>
      <c r="H487" s="371"/>
      <c r="I487" s="371"/>
      <c r="J487" s="371"/>
      <c r="K487" s="371"/>
      <c r="L487" s="371"/>
      <c r="M487" s="371"/>
      <c r="N487" s="371"/>
      <c r="O487" s="371"/>
      <c r="P487" s="371"/>
      <c r="Q487" s="371"/>
      <c r="R487" s="371"/>
      <c r="S487" s="371"/>
      <c r="T487" s="371"/>
      <c r="U487" s="371"/>
      <c r="V487" s="371"/>
      <c r="W487" s="371"/>
      <c r="X487" s="371"/>
      <c r="Y487" s="371"/>
      <c r="Z487" s="371"/>
    </row>
    <row r="488">
      <c r="A488" s="371"/>
      <c r="B488" s="371"/>
      <c r="C488" s="371"/>
      <c r="D488" s="372"/>
      <c r="E488" s="371"/>
      <c r="F488" s="371"/>
      <c r="G488" s="371"/>
      <c r="H488" s="371"/>
      <c r="I488" s="371"/>
      <c r="J488" s="371"/>
      <c r="K488" s="371"/>
      <c r="L488" s="371"/>
      <c r="M488" s="371"/>
      <c r="N488" s="371"/>
      <c r="O488" s="371"/>
      <c r="P488" s="371"/>
      <c r="Q488" s="371"/>
      <c r="R488" s="371"/>
      <c r="S488" s="371"/>
      <c r="T488" s="371"/>
      <c r="U488" s="371"/>
      <c r="V488" s="371"/>
      <c r="W488" s="371"/>
      <c r="X488" s="371"/>
      <c r="Y488" s="371"/>
      <c r="Z488" s="371"/>
    </row>
    <row r="489">
      <c r="A489" s="371"/>
      <c r="B489" s="371"/>
      <c r="C489" s="371"/>
      <c r="D489" s="372"/>
      <c r="E489" s="371"/>
      <c r="F489" s="371"/>
      <c r="G489" s="371"/>
      <c r="H489" s="371"/>
      <c r="I489" s="371"/>
      <c r="J489" s="371"/>
      <c r="K489" s="371"/>
      <c r="L489" s="371"/>
      <c r="M489" s="371"/>
      <c r="N489" s="371"/>
      <c r="O489" s="371"/>
      <c r="P489" s="371"/>
      <c r="Q489" s="371"/>
      <c r="R489" s="371"/>
      <c r="S489" s="371"/>
      <c r="T489" s="371"/>
      <c r="U489" s="371"/>
      <c r="V489" s="371"/>
      <c r="W489" s="371"/>
      <c r="X489" s="371"/>
      <c r="Y489" s="371"/>
      <c r="Z489" s="371"/>
    </row>
    <row r="490">
      <c r="A490" s="371"/>
      <c r="B490" s="371"/>
      <c r="C490" s="371"/>
      <c r="D490" s="372"/>
      <c r="E490" s="371"/>
      <c r="F490" s="371"/>
      <c r="G490" s="371"/>
      <c r="H490" s="371"/>
      <c r="I490" s="371"/>
      <c r="J490" s="371"/>
      <c r="K490" s="371"/>
      <c r="L490" s="371"/>
      <c r="M490" s="371"/>
      <c r="N490" s="371"/>
      <c r="O490" s="371"/>
      <c r="P490" s="371"/>
      <c r="Q490" s="371"/>
      <c r="R490" s="371"/>
      <c r="S490" s="371"/>
      <c r="T490" s="371"/>
      <c r="U490" s="371"/>
      <c r="V490" s="371"/>
      <c r="W490" s="371"/>
      <c r="X490" s="371"/>
      <c r="Y490" s="371"/>
      <c r="Z490" s="371"/>
    </row>
    <row r="491">
      <c r="A491" s="371"/>
      <c r="B491" s="371"/>
      <c r="C491" s="371"/>
      <c r="D491" s="372"/>
      <c r="E491" s="371"/>
      <c r="F491" s="371"/>
      <c r="G491" s="371"/>
      <c r="H491" s="371"/>
      <c r="I491" s="371"/>
      <c r="J491" s="371"/>
      <c r="K491" s="371"/>
      <c r="L491" s="371"/>
      <c r="M491" s="371"/>
      <c r="N491" s="371"/>
      <c r="O491" s="371"/>
      <c r="P491" s="371"/>
      <c r="Q491" s="371"/>
      <c r="R491" s="371"/>
      <c r="S491" s="371"/>
      <c r="T491" s="371"/>
      <c r="U491" s="371"/>
      <c r="V491" s="371"/>
      <c r="W491" s="371"/>
      <c r="X491" s="371"/>
      <c r="Y491" s="371"/>
      <c r="Z491" s="371"/>
    </row>
    <row r="492">
      <c r="A492" s="371"/>
      <c r="B492" s="371"/>
      <c r="C492" s="371"/>
      <c r="D492" s="372"/>
      <c r="E492" s="371"/>
      <c r="F492" s="371"/>
      <c r="G492" s="371"/>
      <c r="H492" s="371"/>
      <c r="I492" s="371"/>
      <c r="J492" s="371"/>
      <c r="K492" s="371"/>
      <c r="L492" s="371"/>
      <c r="M492" s="371"/>
      <c r="N492" s="371"/>
      <c r="O492" s="371"/>
      <c r="P492" s="371"/>
      <c r="Q492" s="371"/>
      <c r="R492" s="371"/>
      <c r="S492" s="371"/>
      <c r="T492" s="371"/>
      <c r="U492" s="371"/>
      <c r="V492" s="371"/>
      <c r="W492" s="371"/>
      <c r="X492" s="371"/>
      <c r="Y492" s="371"/>
      <c r="Z492" s="371"/>
    </row>
    <row r="493">
      <c r="A493" s="371"/>
      <c r="B493" s="371"/>
      <c r="C493" s="371"/>
      <c r="D493" s="372"/>
      <c r="E493" s="371"/>
      <c r="F493" s="371"/>
      <c r="G493" s="371"/>
      <c r="H493" s="371"/>
      <c r="I493" s="371"/>
      <c r="J493" s="371"/>
      <c r="K493" s="371"/>
      <c r="L493" s="371"/>
      <c r="M493" s="371"/>
      <c r="N493" s="371"/>
      <c r="O493" s="371"/>
      <c r="P493" s="371"/>
      <c r="Q493" s="371"/>
      <c r="R493" s="371"/>
      <c r="S493" s="371"/>
      <c r="T493" s="371"/>
      <c r="U493" s="371"/>
      <c r="V493" s="371"/>
      <c r="W493" s="371"/>
      <c r="X493" s="371"/>
      <c r="Y493" s="371"/>
      <c r="Z493" s="371"/>
    </row>
    <row r="494">
      <c r="A494" s="371"/>
      <c r="B494" s="371"/>
      <c r="C494" s="371"/>
      <c r="D494" s="372"/>
      <c r="E494" s="371"/>
      <c r="F494" s="371"/>
      <c r="G494" s="371"/>
      <c r="H494" s="371"/>
      <c r="I494" s="371"/>
      <c r="J494" s="371"/>
      <c r="K494" s="371"/>
      <c r="L494" s="371"/>
      <c r="M494" s="371"/>
      <c r="N494" s="371"/>
      <c r="O494" s="371"/>
      <c r="P494" s="371"/>
      <c r="Q494" s="371"/>
      <c r="R494" s="371"/>
      <c r="S494" s="371"/>
      <c r="T494" s="371"/>
      <c r="U494" s="371"/>
      <c r="V494" s="371"/>
      <c r="W494" s="371"/>
      <c r="X494" s="371"/>
      <c r="Y494" s="371"/>
      <c r="Z494" s="371"/>
    </row>
    <row r="495">
      <c r="A495" s="371"/>
      <c r="B495" s="371"/>
      <c r="C495" s="371"/>
      <c r="D495" s="372"/>
      <c r="E495" s="371"/>
      <c r="F495" s="371"/>
      <c r="G495" s="371"/>
      <c r="H495" s="371"/>
      <c r="I495" s="371"/>
      <c r="J495" s="371"/>
      <c r="K495" s="371"/>
      <c r="L495" s="371"/>
      <c r="M495" s="371"/>
      <c r="N495" s="371"/>
      <c r="O495" s="371"/>
      <c r="P495" s="371"/>
      <c r="Q495" s="371"/>
      <c r="R495" s="371"/>
      <c r="S495" s="371"/>
      <c r="T495" s="371"/>
      <c r="U495" s="371"/>
      <c r="V495" s="371"/>
      <c r="W495" s="371"/>
      <c r="X495" s="371"/>
      <c r="Y495" s="371"/>
      <c r="Z495" s="371"/>
    </row>
    <row r="496">
      <c r="A496" s="371"/>
      <c r="B496" s="371"/>
      <c r="C496" s="371"/>
      <c r="D496" s="372"/>
      <c r="E496" s="371"/>
      <c r="F496" s="371"/>
      <c r="G496" s="371"/>
      <c r="H496" s="371"/>
      <c r="I496" s="371"/>
      <c r="J496" s="371"/>
      <c r="K496" s="371"/>
      <c r="L496" s="371"/>
      <c r="M496" s="371"/>
      <c r="N496" s="371"/>
      <c r="O496" s="371"/>
      <c r="P496" s="371"/>
      <c r="Q496" s="371"/>
      <c r="R496" s="371"/>
      <c r="S496" s="371"/>
      <c r="T496" s="371"/>
      <c r="U496" s="371"/>
      <c r="V496" s="371"/>
      <c r="W496" s="371"/>
      <c r="X496" s="371"/>
      <c r="Y496" s="371"/>
      <c r="Z496" s="371"/>
    </row>
    <row r="497">
      <c r="A497" s="371"/>
      <c r="B497" s="371"/>
      <c r="C497" s="371"/>
      <c r="D497" s="372"/>
      <c r="E497" s="371"/>
      <c r="F497" s="371"/>
      <c r="G497" s="371"/>
      <c r="H497" s="371"/>
      <c r="I497" s="371"/>
      <c r="J497" s="371"/>
      <c r="K497" s="371"/>
      <c r="L497" s="371"/>
      <c r="M497" s="371"/>
      <c r="N497" s="371"/>
      <c r="O497" s="371"/>
      <c r="P497" s="371"/>
      <c r="Q497" s="371"/>
      <c r="R497" s="371"/>
      <c r="S497" s="371"/>
      <c r="T497" s="371"/>
      <c r="U497" s="371"/>
      <c r="V497" s="371"/>
      <c r="W497" s="371"/>
      <c r="X497" s="371"/>
      <c r="Y497" s="371"/>
      <c r="Z497" s="371"/>
    </row>
    <row r="498">
      <c r="A498" s="371"/>
      <c r="B498" s="371"/>
      <c r="C498" s="371"/>
      <c r="D498" s="372"/>
      <c r="E498" s="371"/>
      <c r="F498" s="371"/>
      <c r="G498" s="371"/>
      <c r="H498" s="371"/>
      <c r="I498" s="371"/>
      <c r="J498" s="371"/>
      <c r="K498" s="371"/>
      <c r="L498" s="371"/>
      <c r="M498" s="371"/>
      <c r="N498" s="371"/>
      <c r="O498" s="371"/>
      <c r="P498" s="371"/>
      <c r="Q498" s="371"/>
      <c r="R498" s="371"/>
      <c r="S498" s="371"/>
      <c r="T498" s="371"/>
      <c r="U498" s="371"/>
      <c r="V498" s="371"/>
      <c r="W498" s="371"/>
      <c r="X498" s="371"/>
      <c r="Y498" s="371"/>
      <c r="Z498" s="371"/>
    </row>
    <row r="499">
      <c r="A499" s="371"/>
      <c r="B499" s="371"/>
      <c r="C499" s="371"/>
      <c r="D499" s="372"/>
      <c r="E499" s="371"/>
      <c r="F499" s="371"/>
      <c r="G499" s="371"/>
      <c r="H499" s="371"/>
      <c r="I499" s="371"/>
      <c r="J499" s="371"/>
      <c r="K499" s="371"/>
      <c r="L499" s="371"/>
      <c r="M499" s="371"/>
      <c r="N499" s="371"/>
      <c r="O499" s="371"/>
      <c r="P499" s="371"/>
      <c r="Q499" s="371"/>
      <c r="R499" s="371"/>
      <c r="S499" s="371"/>
      <c r="T499" s="371"/>
      <c r="U499" s="371"/>
      <c r="V499" s="371"/>
      <c r="W499" s="371"/>
      <c r="X499" s="371"/>
      <c r="Y499" s="371"/>
      <c r="Z499" s="371"/>
    </row>
    <row r="500">
      <c r="A500" s="371"/>
      <c r="B500" s="371"/>
      <c r="C500" s="371"/>
      <c r="D500" s="372"/>
      <c r="E500" s="371"/>
      <c r="F500" s="371"/>
      <c r="G500" s="371"/>
      <c r="H500" s="371"/>
      <c r="I500" s="371"/>
      <c r="J500" s="371"/>
      <c r="K500" s="371"/>
      <c r="L500" s="371"/>
      <c r="M500" s="371"/>
      <c r="N500" s="371"/>
      <c r="O500" s="371"/>
      <c r="P500" s="371"/>
      <c r="Q500" s="371"/>
      <c r="R500" s="371"/>
      <c r="S500" s="371"/>
      <c r="T500" s="371"/>
      <c r="U500" s="371"/>
      <c r="V500" s="371"/>
      <c r="W500" s="371"/>
      <c r="X500" s="371"/>
      <c r="Y500" s="371"/>
      <c r="Z500" s="371"/>
    </row>
    <row r="501">
      <c r="A501" s="371"/>
      <c r="B501" s="371"/>
      <c r="C501" s="371"/>
      <c r="D501" s="372"/>
      <c r="E501" s="371"/>
      <c r="F501" s="371"/>
      <c r="G501" s="371"/>
      <c r="H501" s="371"/>
      <c r="I501" s="371"/>
      <c r="J501" s="371"/>
      <c r="K501" s="371"/>
      <c r="L501" s="371"/>
      <c r="M501" s="371"/>
      <c r="N501" s="371"/>
      <c r="O501" s="371"/>
      <c r="P501" s="371"/>
      <c r="Q501" s="371"/>
      <c r="R501" s="371"/>
      <c r="S501" s="371"/>
      <c r="T501" s="371"/>
      <c r="U501" s="371"/>
      <c r="V501" s="371"/>
      <c r="W501" s="371"/>
      <c r="X501" s="371"/>
      <c r="Y501" s="371"/>
      <c r="Z501" s="371"/>
    </row>
    <row r="502">
      <c r="A502" s="371"/>
      <c r="B502" s="371"/>
      <c r="C502" s="371"/>
      <c r="D502" s="372"/>
      <c r="E502" s="371"/>
      <c r="F502" s="371"/>
      <c r="G502" s="371"/>
      <c r="H502" s="371"/>
      <c r="I502" s="371"/>
      <c r="J502" s="371"/>
      <c r="K502" s="371"/>
      <c r="L502" s="371"/>
      <c r="M502" s="371"/>
      <c r="N502" s="371"/>
      <c r="O502" s="371"/>
      <c r="P502" s="371"/>
      <c r="Q502" s="371"/>
      <c r="R502" s="371"/>
      <c r="S502" s="371"/>
      <c r="T502" s="371"/>
      <c r="U502" s="371"/>
      <c r="V502" s="371"/>
      <c r="W502" s="371"/>
      <c r="X502" s="371"/>
      <c r="Y502" s="371"/>
      <c r="Z502" s="371"/>
    </row>
    <row r="503">
      <c r="A503" s="371"/>
      <c r="B503" s="371"/>
      <c r="C503" s="371"/>
      <c r="D503" s="372"/>
      <c r="E503" s="371"/>
      <c r="F503" s="371"/>
      <c r="G503" s="371"/>
      <c r="H503" s="371"/>
      <c r="I503" s="371"/>
      <c r="J503" s="371"/>
      <c r="K503" s="371"/>
      <c r="L503" s="371"/>
      <c r="M503" s="371"/>
      <c r="N503" s="371"/>
      <c r="O503" s="371"/>
      <c r="P503" s="371"/>
      <c r="Q503" s="371"/>
      <c r="R503" s="371"/>
      <c r="S503" s="371"/>
      <c r="T503" s="371"/>
      <c r="U503" s="371"/>
      <c r="V503" s="371"/>
      <c r="W503" s="371"/>
      <c r="X503" s="371"/>
      <c r="Y503" s="371"/>
      <c r="Z503" s="371"/>
    </row>
    <row r="504">
      <c r="A504" s="371"/>
      <c r="B504" s="371"/>
      <c r="C504" s="371"/>
      <c r="D504" s="372"/>
      <c r="E504" s="371"/>
      <c r="F504" s="371"/>
      <c r="G504" s="371"/>
      <c r="H504" s="371"/>
      <c r="I504" s="371"/>
      <c r="J504" s="371"/>
      <c r="K504" s="371"/>
      <c r="L504" s="371"/>
      <c r="M504" s="371"/>
      <c r="N504" s="371"/>
      <c r="O504" s="371"/>
      <c r="P504" s="371"/>
      <c r="Q504" s="371"/>
      <c r="R504" s="371"/>
      <c r="S504" s="371"/>
      <c r="T504" s="371"/>
      <c r="U504" s="371"/>
      <c r="V504" s="371"/>
      <c r="W504" s="371"/>
      <c r="X504" s="371"/>
      <c r="Y504" s="371"/>
      <c r="Z504" s="371"/>
    </row>
    <row r="505">
      <c r="A505" s="371"/>
      <c r="B505" s="371"/>
      <c r="C505" s="371"/>
      <c r="D505" s="372"/>
      <c r="E505" s="371"/>
      <c r="F505" s="371"/>
      <c r="G505" s="371"/>
      <c r="H505" s="371"/>
      <c r="I505" s="371"/>
      <c r="J505" s="371"/>
      <c r="K505" s="371"/>
      <c r="L505" s="371"/>
      <c r="M505" s="371"/>
      <c r="N505" s="371"/>
      <c r="O505" s="371"/>
      <c r="P505" s="371"/>
      <c r="Q505" s="371"/>
      <c r="R505" s="371"/>
      <c r="S505" s="371"/>
      <c r="T505" s="371"/>
      <c r="U505" s="371"/>
      <c r="V505" s="371"/>
      <c r="W505" s="371"/>
      <c r="X505" s="371"/>
      <c r="Y505" s="371"/>
      <c r="Z505" s="371"/>
    </row>
    <row r="506">
      <c r="A506" s="371"/>
      <c r="B506" s="371"/>
      <c r="C506" s="371"/>
      <c r="D506" s="372"/>
      <c r="E506" s="371"/>
      <c r="F506" s="371"/>
      <c r="G506" s="371"/>
      <c r="H506" s="371"/>
      <c r="I506" s="371"/>
      <c r="J506" s="371"/>
      <c r="K506" s="371"/>
      <c r="L506" s="371"/>
      <c r="M506" s="371"/>
      <c r="N506" s="371"/>
      <c r="O506" s="371"/>
      <c r="P506" s="371"/>
      <c r="Q506" s="371"/>
      <c r="R506" s="371"/>
      <c r="S506" s="371"/>
      <c r="T506" s="371"/>
      <c r="U506" s="371"/>
      <c r="V506" s="371"/>
      <c r="W506" s="371"/>
      <c r="X506" s="371"/>
      <c r="Y506" s="371"/>
      <c r="Z506" s="371"/>
    </row>
    <row r="507">
      <c r="A507" s="371"/>
      <c r="B507" s="371"/>
      <c r="C507" s="371"/>
      <c r="D507" s="372"/>
      <c r="E507" s="371"/>
      <c r="F507" s="371"/>
      <c r="G507" s="371"/>
      <c r="H507" s="371"/>
      <c r="I507" s="371"/>
      <c r="J507" s="371"/>
      <c r="K507" s="371"/>
      <c r="L507" s="371"/>
      <c r="M507" s="371"/>
      <c r="N507" s="371"/>
      <c r="O507" s="371"/>
      <c r="P507" s="371"/>
      <c r="Q507" s="371"/>
      <c r="R507" s="371"/>
      <c r="S507" s="371"/>
      <c r="T507" s="371"/>
      <c r="U507" s="371"/>
      <c r="V507" s="371"/>
      <c r="W507" s="371"/>
      <c r="X507" s="371"/>
      <c r="Y507" s="371"/>
      <c r="Z507" s="371"/>
    </row>
    <row r="508">
      <c r="A508" s="371"/>
      <c r="B508" s="371"/>
      <c r="C508" s="371"/>
      <c r="D508" s="372"/>
      <c r="E508" s="371"/>
      <c r="F508" s="371"/>
      <c r="G508" s="371"/>
      <c r="H508" s="371"/>
      <c r="I508" s="371"/>
      <c r="J508" s="371"/>
      <c r="K508" s="371"/>
      <c r="L508" s="371"/>
      <c r="M508" s="371"/>
      <c r="N508" s="371"/>
      <c r="O508" s="371"/>
      <c r="P508" s="371"/>
      <c r="Q508" s="371"/>
      <c r="R508" s="371"/>
      <c r="S508" s="371"/>
      <c r="T508" s="371"/>
      <c r="U508" s="371"/>
      <c r="V508" s="371"/>
      <c r="W508" s="371"/>
      <c r="X508" s="371"/>
      <c r="Y508" s="371"/>
      <c r="Z508" s="371"/>
    </row>
    <row r="509">
      <c r="A509" s="371"/>
      <c r="B509" s="371"/>
      <c r="C509" s="371"/>
      <c r="D509" s="372"/>
      <c r="E509" s="371"/>
      <c r="F509" s="371"/>
      <c r="G509" s="371"/>
      <c r="H509" s="371"/>
      <c r="I509" s="371"/>
      <c r="J509" s="371"/>
      <c r="K509" s="371"/>
      <c r="L509" s="371"/>
      <c r="M509" s="371"/>
      <c r="N509" s="371"/>
      <c r="O509" s="371"/>
      <c r="P509" s="371"/>
      <c r="Q509" s="371"/>
      <c r="R509" s="371"/>
      <c r="S509" s="371"/>
      <c r="T509" s="371"/>
      <c r="U509" s="371"/>
      <c r="V509" s="371"/>
      <c r="W509" s="371"/>
      <c r="X509" s="371"/>
      <c r="Y509" s="371"/>
      <c r="Z509" s="371"/>
    </row>
    <row r="510">
      <c r="A510" s="371"/>
      <c r="B510" s="371"/>
      <c r="C510" s="371"/>
      <c r="D510" s="372"/>
      <c r="E510" s="371"/>
      <c r="F510" s="371"/>
      <c r="G510" s="371"/>
      <c r="H510" s="371"/>
      <c r="I510" s="371"/>
      <c r="J510" s="371"/>
      <c r="K510" s="371"/>
      <c r="L510" s="371"/>
      <c r="M510" s="371"/>
      <c r="N510" s="371"/>
      <c r="O510" s="371"/>
      <c r="P510" s="371"/>
      <c r="Q510" s="371"/>
      <c r="R510" s="371"/>
      <c r="S510" s="371"/>
      <c r="T510" s="371"/>
      <c r="U510" s="371"/>
      <c r="V510" s="371"/>
      <c r="W510" s="371"/>
      <c r="X510" s="371"/>
      <c r="Y510" s="371"/>
      <c r="Z510" s="371"/>
    </row>
    <row r="511">
      <c r="A511" s="371"/>
      <c r="B511" s="371"/>
      <c r="C511" s="371"/>
      <c r="D511" s="372"/>
      <c r="E511" s="371"/>
      <c r="F511" s="371"/>
      <c r="G511" s="371"/>
      <c r="H511" s="371"/>
      <c r="I511" s="371"/>
      <c r="J511" s="371"/>
      <c r="K511" s="371"/>
      <c r="L511" s="371"/>
      <c r="M511" s="371"/>
      <c r="N511" s="371"/>
      <c r="O511" s="371"/>
      <c r="P511" s="371"/>
      <c r="Q511" s="371"/>
      <c r="R511" s="371"/>
      <c r="S511" s="371"/>
      <c r="T511" s="371"/>
      <c r="U511" s="371"/>
      <c r="V511" s="371"/>
      <c r="W511" s="371"/>
      <c r="X511" s="371"/>
      <c r="Y511" s="371"/>
      <c r="Z511" s="371"/>
    </row>
    <row r="512">
      <c r="A512" s="371"/>
      <c r="B512" s="371"/>
      <c r="C512" s="371"/>
      <c r="D512" s="372"/>
      <c r="E512" s="371"/>
      <c r="F512" s="371"/>
      <c r="G512" s="371"/>
      <c r="H512" s="371"/>
      <c r="I512" s="371"/>
      <c r="J512" s="371"/>
      <c r="K512" s="371"/>
      <c r="L512" s="371"/>
      <c r="M512" s="371"/>
      <c r="N512" s="371"/>
      <c r="O512" s="371"/>
      <c r="P512" s="371"/>
      <c r="Q512" s="371"/>
      <c r="R512" s="371"/>
      <c r="S512" s="371"/>
      <c r="T512" s="371"/>
      <c r="U512" s="371"/>
      <c r="V512" s="371"/>
      <c r="W512" s="371"/>
      <c r="X512" s="371"/>
      <c r="Y512" s="371"/>
      <c r="Z512" s="371"/>
    </row>
    <row r="513">
      <c r="A513" s="371"/>
      <c r="B513" s="371"/>
      <c r="C513" s="371"/>
      <c r="D513" s="372"/>
      <c r="E513" s="371"/>
      <c r="F513" s="371"/>
      <c r="G513" s="371"/>
      <c r="H513" s="371"/>
      <c r="I513" s="371"/>
      <c r="J513" s="371"/>
      <c r="K513" s="371"/>
      <c r="L513" s="371"/>
      <c r="M513" s="371"/>
      <c r="N513" s="371"/>
      <c r="O513" s="371"/>
      <c r="P513" s="371"/>
      <c r="Q513" s="371"/>
      <c r="R513" s="371"/>
      <c r="S513" s="371"/>
      <c r="T513" s="371"/>
      <c r="U513" s="371"/>
      <c r="V513" s="371"/>
      <c r="W513" s="371"/>
      <c r="X513" s="371"/>
      <c r="Y513" s="371"/>
      <c r="Z513" s="371"/>
    </row>
    <row r="514">
      <c r="A514" s="371"/>
      <c r="B514" s="371"/>
      <c r="C514" s="371"/>
      <c r="D514" s="372"/>
      <c r="E514" s="371"/>
      <c r="F514" s="371"/>
      <c r="G514" s="371"/>
      <c r="H514" s="371"/>
      <c r="I514" s="371"/>
      <c r="J514" s="371"/>
      <c r="K514" s="371"/>
      <c r="L514" s="371"/>
      <c r="M514" s="371"/>
      <c r="N514" s="371"/>
      <c r="O514" s="371"/>
      <c r="P514" s="371"/>
      <c r="Q514" s="371"/>
      <c r="R514" s="371"/>
      <c r="S514" s="371"/>
      <c r="T514" s="371"/>
      <c r="U514" s="371"/>
      <c r="V514" s="371"/>
      <c r="W514" s="371"/>
      <c r="X514" s="371"/>
      <c r="Y514" s="371"/>
      <c r="Z514" s="371"/>
    </row>
    <row r="515">
      <c r="A515" s="371"/>
      <c r="B515" s="371"/>
      <c r="C515" s="371"/>
      <c r="D515" s="372"/>
      <c r="E515" s="371"/>
      <c r="F515" s="371"/>
      <c r="G515" s="371"/>
      <c r="H515" s="371"/>
      <c r="I515" s="371"/>
      <c r="J515" s="371"/>
      <c r="K515" s="371"/>
      <c r="L515" s="371"/>
      <c r="M515" s="371"/>
      <c r="N515" s="371"/>
      <c r="O515" s="371"/>
      <c r="P515" s="371"/>
      <c r="Q515" s="371"/>
      <c r="R515" s="371"/>
      <c r="S515" s="371"/>
      <c r="T515" s="371"/>
      <c r="U515" s="371"/>
      <c r="V515" s="371"/>
      <c r="W515" s="371"/>
      <c r="X515" s="371"/>
      <c r="Y515" s="371"/>
      <c r="Z515" s="371"/>
    </row>
    <row r="516">
      <c r="A516" s="371"/>
      <c r="B516" s="371"/>
      <c r="C516" s="371"/>
      <c r="D516" s="372"/>
      <c r="E516" s="371"/>
      <c r="F516" s="371"/>
      <c r="G516" s="371"/>
      <c r="H516" s="371"/>
      <c r="I516" s="371"/>
      <c r="J516" s="371"/>
      <c r="K516" s="371"/>
      <c r="L516" s="371"/>
      <c r="M516" s="371"/>
      <c r="N516" s="371"/>
      <c r="O516" s="371"/>
      <c r="P516" s="371"/>
      <c r="Q516" s="371"/>
      <c r="R516" s="371"/>
      <c r="S516" s="371"/>
      <c r="T516" s="371"/>
      <c r="U516" s="371"/>
      <c r="V516" s="371"/>
      <c r="W516" s="371"/>
      <c r="X516" s="371"/>
      <c r="Y516" s="371"/>
      <c r="Z516" s="371"/>
    </row>
    <row r="517">
      <c r="A517" s="371"/>
      <c r="B517" s="371"/>
      <c r="C517" s="371"/>
      <c r="D517" s="372"/>
      <c r="E517" s="371"/>
      <c r="F517" s="371"/>
      <c r="G517" s="371"/>
      <c r="H517" s="371"/>
      <c r="I517" s="371"/>
      <c r="J517" s="371"/>
      <c r="K517" s="371"/>
      <c r="L517" s="371"/>
      <c r="M517" s="371"/>
      <c r="N517" s="371"/>
      <c r="O517" s="371"/>
      <c r="P517" s="371"/>
      <c r="Q517" s="371"/>
      <c r="R517" s="371"/>
      <c r="S517" s="371"/>
      <c r="T517" s="371"/>
      <c r="U517" s="371"/>
      <c r="V517" s="371"/>
      <c r="W517" s="371"/>
      <c r="X517" s="371"/>
      <c r="Y517" s="371"/>
      <c r="Z517" s="371"/>
    </row>
    <row r="518">
      <c r="A518" s="371"/>
      <c r="B518" s="371"/>
      <c r="C518" s="371"/>
      <c r="D518" s="372"/>
      <c r="E518" s="371"/>
      <c r="F518" s="371"/>
      <c r="G518" s="371"/>
      <c r="H518" s="371"/>
      <c r="I518" s="371"/>
      <c r="J518" s="371"/>
      <c r="K518" s="371"/>
      <c r="L518" s="371"/>
      <c r="M518" s="371"/>
      <c r="N518" s="371"/>
      <c r="O518" s="371"/>
      <c r="P518" s="371"/>
      <c r="Q518" s="371"/>
      <c r="R518" s="371"/>
      <c r="S518" s="371"/>
      <c r="T518" s="371"/>
      <c r="U518" s="371"/>
      <c r="V518" s="371"/>
      <c r="W518" s="371"/>
      <c r="X518" s="371"/>
      <c r="Y518" s="371"/>
      <c r="Z518" s="371"/>
    </row>
    <row r="519">
      <c r="A519" s="371"/>
      <c r="B519" s="371"/>
      <c r="C519" s="371"/>
      <c r="D519" s="372"/>
      <c r="E519" s="371"/>
      <c r="F519" s="371"/>
      <c r="G519" s="371"/>
      <c r="H519" s="371"/>
      <c r="I519" s="371"/>
      <c r="J519" s="371"/>
      <c r="K519" s="371"/>
      <c r="L519" s="371"/>
      <c r="M519" s="371"/>
      <c r="N519" s="371"/>
      <c r="O519" s="371"/>
      <c r="P519" s="371"/>
      <c r="Q519" s="371"/>
      <c r="R519" s="371"/>
      <c r="S519" s="371"/>
      <c r="T519" s="371"/>
      <c r="U519" s="371"/>
      <c r="V519" s="371"/>
      <c r="W519" s="371"/>
      <c r="X519" s="371"/>
      <c r="Y519" s="371"/>
      <c r="Z519" s="371"/>
    </row>
    <row r="520">
      <c r="A520" s="371"/>
      <c r="B520" s="371"/>
      <c r="C520" s="371"/>
      <c r="D520" s="372"/>
      <c r="E520" s="371"/>
      <c r="F520" s="371"/>
      <c r="G520" s="371"/>
      <c r="H520" s="371"/>
      <c r="I520" s="371"/>
      <c r="J520" s="371"/>
      <c r="K520" s="371"/>
      <c r="L520" s="371"/>
      <c r="M520" s="371"/>
      <c r="N520" s="371"/>
      <c r="O520" s="371"/>
      <c r="P520" s="371"/>
      <c r="Q520" s="371"/>
      <c r="R520" s="371"/>
      <c r="S520" s="371"/>
      <c r="T520" s="371"/>
      <c r="U520" s="371"/>
      <c r="V520" s="371"/>
      <c r="W520" s="371"/>
      <c r="X520" s="371"/>
      <c r="Y520" s="371"/>
      <c r="Z520" s="371"/>
    </row>
    <row r="521">
      <c r="A521" s="371"/>
      <c r="B521" s="371"/>
      <c r="C521" s="371"/>
      <c r="D521" s="372"/>
      <c r="E521" s="371"/>
      <c r="F521" s="371"/>
      <c r="G521" s="371"/>
      <c r="H521" s="371"/>
      <c r="I521" s="371"/>
      <c r="J521" s="371"/>
      <c r="K521" s="371"/>
      <c r="L521" s="371"/>
      <c r="M521" s="371"/>
      <c r="N521" s="371"/>
      <c r="O521" s="371"/>
      <c r="P521" s="371"/>
      <c r="Q521" s="371"/>
      <c r="R521" s="371"/>
      <c r="S521" s="371"/>
      <c r="T521" s="371"/>
      <c r="U521" s="371"/>
      <c r="V521" s="371"/>
      <c r="W521" s="371"/>
      <c r="X521" s="371"/>
      <c r="Y521" s="371"/>
      <c r="Z521" s="371"/>
    </row>
    <row r="522">
      <c r="A522" s="371"/>
      <c r="B522" s="371"/>
      <c r="C522" s="371"/>
      <c r="D522" s="372"/>
      <c r="E522" s="371"/>
      <c r="F522" s="371"/>
      <c r="G522" s="371"/>
      <c r="H522" s="371"/>
      <c r="I522" s="371"/>
      <c r="J522" s="371"/>
      <c r="K522" s="371"/>
      <c r="L522" s="371"/>
      <c r="M522" s="371"/>
      <c r="N522" s="371"/>
      <c r="O522" s="371"/>
      <c r="P522" s="371"/>
      <c r="Q522" s="371"/>
      <c r="R522" s="371"/>
      <c r="S522" s="371"/>
      <c r="T522" s="371"/>
      <c r="U522" s="371"/>
      <c r="V522" s="371"/>
      <c r="W522" s="371"/>
      <c r="X522" s="371"/>
      <c r="Y522" s="371"/>
      <c r="Z522" s="371"/>
    </row>
    <row r="523">
      <c r="A523" s="371"/>
      <c r="B523" s="371"/>
      <c r="C523" s="371"/>
      <c r="D523" s="372"/>
      <c r="E523" s="371"/>
      <c r="F523" s="371"/>
      <c r="G523" s="371"/>
      <c r="H523" s="371"/>
      <c r="I523" s="371"/>
      <c r="J523" s="371"/>
      <c r="K523" s="371"/>
      <c r="L523" s="371"/>
      <c r="M523" s="371"/>
      <c r="N523" s="371"/>
      <c r="O523" s="371"/>
      <c r="P523" s="371"/>
      <c r="Q523" s="371"/>
      <c r="R523" s="371"/>
      <c r="S523" s="371"/>
      <c r="T523" s="371"/>
      <c r="U523" s="371"/>
      <c r="V523" s="371"/>
      <c r="W523" s="371"/>
      <c r="X523" s="371"/>
      <c r="Y523" s="371"/>
      <c r="Z523" s="371"/>
    </row>
    <row r="524">
      <c r="A524" s="371"/>
      <c r="B524" s="371"/>
      <c r="C524" s="371"/>
      <c r="D524" s="372"/>
      <c r="E524" s="371"/>
      <c r="F524" s="371"/>
      <c r="G524" s="371"/>
      <c r="H524" s="371"/>
      <c r="I524" s="371"/>
      <c r="J524" s="371"/>
      <c r="K524" s="371"/>
      <c r="L524" s="371"/>
      <c r="M524" s="371"/>
      <c r="N524" s="371"/>
      <c r="O524" s="371"/>
      <c r="P524" s="371"/>
      <c r="Q524" s="371"/>
      <c r="R524" s="371"/>
      <c r="S524" s="371"/>
      <c r="T524" s="371"/>
      <c r="U524" s="371"/>
      <c r="V524" s="371"/>
      <c r="W524" s="371"/>
      <c r="X524" s="371"/>
      <c r="Y524" s="371"/>
      <c r="Z524" s="371"/>
    </row>
    <row r="525">
      <c r="A525" s="371"/>
      <c r="B525" s="371"/>
      <c r="C525" s="371"/>
      <c r="D525" s="372"/>
      <c r="E525" s="371"/>
      <c r="F525" s="371"/>
      <c r="G525" s="371"/>
      <c r="H525" s="371"/>
      <c r="I525" s="371"/>
      <c r="J525" s="371"/>
      <c r="K525" s="371"/>
      <c r="L525" s="371"/>
      <c r="M525" s="371"/>
      <c r="N525" s="371"/>
      <c r="O525" s="371"/>
      <c r="P525" s="371"/>
      <c r="Q525" s="371"/>
      <c r="R525" s="371"/>
      <c r="S525" s="371"/>
      <c r="T525" s="371"/>
      <c r="U525" s="371"/>
      <c r="V525" s="371"/>
      <c r="W525" s="371"/>
      <c r="X525" s="371"/>
      <c r="Y525" s="371"/>
      <c r="Z525" s="371"/>
    </row>
    <row r="526">
      <c r="A526" s="371"/>
      <c r="B526" s="371"/>
      <c r="C526" s="371"/>
      <c r="D526" s="372"/>
      <c r="E526" s="371"/>
      <c r="F526" s="371"/>
      <c r="G526" s="371"/>
      <c r="H526" s="371"/>
      <c r="I526" s="371"/>
      <c r="J526" s="371"/>
      <c r="K526" s="371"/>
      <c r="L526" s="371"/>
      <c r="M526" s="371"/>
      <c r="N526" s="371"/>
      <c r="O526" s="371"/>
      <c r="P526" s="371"/>
      <c r="Q526" s="371"/>
      <c r="R526" s="371"/>
      <c r="S526" s="371"/>
      <c r="T526" s="371"/>
      <c r="U526" s="371"/>
      <c r="V526" s="371"/>
      <c r="W526" s="371"/>
      <c r="X526" s="371"/>
      <c r="Y526" s="371"/>
      <c r="Z526" s="371"/>
    </row>
    <row r="527">
      <c r="A527" s="371"/>
      <c r="B527" s="371"/>
      <c r="C527" s="371"/>
      <c r="D527" s="372"/>
      <c r="E527" s="371"/>
      <c r="F527" s="371"/>
      <c r="G527" s="371"/>
      <c r="H527" s="371"/>
      <c r="I527" s="371"/>
      <c r="J527" s="371"/>
      <c r="K527" s="371"/>
      <c r="L527" s="371"/>
      <c r="M527" s="371"/>
      <c r="N527" s="371"/>
      <c r="O527" s="371"/>
      <c r="P527" s="371"/>
      <c r="Q527" s="371"/>
      <c r="R527" s="371"/>
      <c r="S527" s="371"/>
      <c r="T527" s="371"/>
      <c r="U527" s="371"/>
      <c r="V527" s="371"/>
      <c r="W527" s="371"/>
      <c r="X527" s="371"/>
      <c r="Y527" s="371"/>
      <c r="Z527" s="371"/>
    </row>
    <row r="528">
      <c r="A528" s="371"/>
      <c r="B528" s="371"/>
      <c r="C528" s="371"/>
      <c r="D528" s="372"/>
      <c r="E528" s="371"/>
      <c r="F528" s="371"/>
      <c r="G528" s="371"/>
      <c r="H528" s="371"/>
      <c r="I528" s="371"/>
      <c r="J528" s="371"/>
      <c r="K528" s="371"/>
      <c r="L528" s="371"/>
      <c r="M528" s="371"/>
      <c r="N528" s="371"/>
      <c r="O528" s="371"/>
      <c r="P528" s="371"/>
      <c r="Q528" s="371"/>
      <c r="R528" s="371"/>
      <c r="S528" s="371"/>
      <c r="T528" s="371"/>
      <c r="U528" s="371"/>
      <c r="V528" s="371"/>
      <c r="W528" s="371"/>
      <c r="X528" s="371"/>
      <c r="Y528" s="371"/>
      <c r="Z528" s="371"/>
    </row>
    <row r="529">
      <c r="A529" s="371"/>
      <c r="B529" s="371"/>
      <c r="C529" s="371"/>
      <c r="D529" s="372"/>
      <c r="E529" s="371"/>
      <c r="F529" s="371"/>
      <c r="G529" s="371"/>
      <c r="H529" s="371"/>
      <c r="I529" s="371"/>
      <c r="J529" s="371"/>
      <c r="K529" s="371"/>
      <c r="L529" s="371"/>
      <c r="M529" s="371"/>
      <c r="N529" s="371"/>
      <c r="O529" s="371"/>
      <c r="P529" s="371"/>
      <c r="Q529" s="371"/>
      <c r="R529" s="371"/>
      <c r="S529" s="371"/>
      <c r="T529" s="371"/>
      <c r="U529" s="371"/>
      <c r="V529" s="371"/>
      <c r="W529" s="371"/>
      <c r="X529" s="371"/>
      <c r="Y529" s="371"/>
      <c r="Z529" s="371"/>
    </row>
    <row r="530">
      <c r="A530" s="371"/>
      <c r="B530" s="371"/>
      <c r="C530" s="371"/>
      <c r="D530" s="372"/>
      <c r="E530" s="371"/>
      <c r="F530" s="371"/>
      <c r="G530" s="371"/>
      <c r="H530" s="371"/>
      <c r="I530" s="371"/>
      <c r="J530" s="371"/>
      <c r="K530" s="371"/>
      <c r="L530" s="371"/>
      <c r="M530" s="371"/>
      <c r="N530" s="371"/>
      <c r="O530" s="371"/>
      <c r="P530" s="371"/>
      <c r="Q530" s="371"/>
      <c r="R530" s="371"/>
      <c r="S530" s="371"/>
      <c r="T530" s="371"/>
      <c r="U530" s="371"/>
      <c r="V530" s="371"/>
      <c r="W530" s="371"/>
      <c r="X530" s="371"/>
      <c r="Y530" s="371"/>
      <c r="Z530" s="371"/>
    </row>
    <row r="531">
      <c r="A531" s="371"/>
      <c r="B531" s="371"/>
      <c r="C531" s="371"/>
      <c r="D531" s="372"/>
      <c r="E531" s="371"/>
      <c r="F531" s="371"/>
      <c r="G531" s="371"/>
      <c r="H531" s="371"/>
      <c r="I531" s="371"/>
      <c r="J531" s="371"/>
      <c r="K531" s="371"/>
      <c r="L531" s="371"/>
      <c r="M531" s="371"/>
      <c r="N531" s="371"/>
      <c r="O531" s="371"/>
      <c r="P531" s="371"/>
      <c r="Q531" s="371"/>
      <c r="R531" s="371"/>
      <c r="S531" s="371"/>
      <c r="T531" s="371"/>
      <c r="U531" s="371"/>
      <c r="V531" s="371"/>
      <c r="W531" s="371"/>
      <c r="X531" s="371"/>
      <c r="Y531" s="371"/>
      <c r="Z531" s="371"/>
    </row>
    <row r="532">
      <c r="A532" s="371"/>
      <c r="B532" s="371"/>
      <c r="C532" s="371"/>
      <c r="D532" s="372"/>
      <c r="E532" s="371"/>
      <c r="F532" s="371"/>
      <c r="G532" s="371"/>
      <c r="H532" s="371"/>
      <c r="I532" s="371"/>
      <c r="J532" s="371"/>
      <c r="K532" s="371"/>
      <c r="L532" s="371"/>
      <c r="M532" s="371"/>
      <c r="N532" s="371"/>
      <c r="O532" s="371"/>
      <c r="P532" s="371"/>
      <c r="Q532" s="371"/>
      <c r="R532" s="371"/>
      <c r="S532" s="371"/>
      <c r="T532" s="371"/>
      <c r="U532" s="371"/>
      <c r="V532" s="371"/>
      <c r="W532" s="371"/>
      <c r="X532" s="371"/>
      <c r="Y532" s="371"/>
      <c r="Z532" s="371"/>
    </row>
    <row r="533">
      <c r="A533" s="371"/>
      <c r="B533" s="371"/>
      <c r="C533" s="371"/>
      <c r="D533" s="372"/>
      <c r="E533" s="371"/>
      <c r="F533" s="371"/>
      <c r="G533" s="371"/>
      <c r="H533" s="371"/>
      <c r="I533" s="371"/>
      <c r="J533" s="371"/>
      <c r="K533" s="371"/>
      <c r="L533" s="371"/>
      <c r="M533" s="371"/>
      <c r="N533" s="371"/>
      <c r="O533" s="371"/>
      <c r="P533" s="371"/>
      <c r="Q533" s="371"/>
      <c r="R533" s="371"/>
      <c r="S533" s="371"/>
      <c r="T533" s="371"/>
      <c r="U533" s="371"/>
      <c r="V533" s="371"/>
      <c r="W533" s="371"/>
      <c r="X533" s="371"/>
      <c r="Y533" s="371"/>
      <c r="Z533" s="371"/>
    </row>
    <row r="534">
      <c r="A534" s="371"/>
      <c r="B534" s="371"/>
      <c r="C534" s="371"/>
      <c r="D534" s="372"/>
      <c r="E534" s="371"/>
      <c r="F534" s="371"/>
      <c r="G534" s="371"/>
      <c r="H534" s="371"/>
      <c r="I534" s="371"/>
      <c r="J534" s="371"/>
      <c r="K534" s="371"/>
      <c r="L534" s="371"/>
      <c r="M534" s="371"/>
      <c r="N534" s="371"/>
      <c r="O534" s="371"/>
      <c r="P534" s="371"/>
      <c r="Q534" s="371"/>
      <c r="R534" s="371"/>
      <c r="S534" s="371"/>
      <c r="T534" s="371"/>
      <c r="U534" s="371"/>
      <c r="V534" s="371"/>
      <c r="W534" s="371"/>
      <c r="X534" s="371"/>
      <c r="Y534" s="371"/>
      <c r="Z534" s="371"/>
    </row>
    <row r="535">
      <c r="A535" s="371"/>
      <c r="B535" s="371"/>
      <c r="C535" s="371"/>
      <c r="D535" s="372"/>
      <c r="E535" s="371"/>
      <c r="F535" s="371"/>
      <c r="G535" s="371"/>
      <c r="H535" s="371"/>
      <c r="I535" s="371"/>
      <c r="J535" s="371"/>
      <c r="K535" s="371"/>
      <c r="L535" s="371"/>
      <c r="M535" s="371"/>
      <c r="N535" s="371"/>
      <c r="O535" s="371"/>
      <c r="P535" s="371"/>
      <c r="Q535" s="371"/>
      <c r="R535" s="371"/>
      <c r="S535" s="371"/>
      <c r="T535" s="371"/>
      <c r="U535" s="371"/>
      <c r="V535" s="371"/>
      <c r="W535" s="371"/>
      <c r="X535" s="371"/>
      <c r="Y535" s="371"/>
      <c r="Z535" s="371"/>
    </row>
    <row r="536">
      <c r="A536" s="371"/>
      <c r="B536" s="371"/>
      <c r="C536" s="371"/>
      <c r="D536" s="372"/>
      <c r="E536" s="371"/>
      <c r="F536" s="371"/>
      <c r="G536" s="371"/>
      <c r="H536" s="371"/>
      <c r="I536" s="371"/>
      <c r="J536" s="371"/>
      <c r="K536" s="371"/>
      <c r="L536" s="371"/>
      <c r="M536" s="371"/>
      <c r="N536" s="371"/>
      <c r="O536" s="371"/>
      <c r="P536" s="371"/>
      <c r="Q536" s="371"/>
      <c r="R536" s="371"/>
      <c r="S536" s="371"/>
      <c r="T536" s="371"/>
      <c r="U536" s="371"/>
      <c r="V536" s="371"/>
      <c r="W536" s="371"/>
      <c r="X536" s="371"/>
      <c r="Y536" s="371"/>
      <c r="Z536" s="371"/>
    </row>
    <row r="537">
      <c r="A537" s="371"/>
      <c r="B537" s="371"/>
      <c r="C537" s="371"/>
      <c r="D537" s="372"/>
      <c r="E537" s="371"/>
      <c r="F537" s="371"/>
      <c r="G537" s="371"/>
      <c r="H537" s="371"/>
      <c r="I537" s="371"/>
      <c r="J537" s="371"/>
      <c r="K537" s="371"/>
      <c r="L537" s="371"/>
      <c r="M537" s="371"/>
      <c r="N537" s="371"/>
      <c r="O537" s="371"/>
      <c r="P537" s="371"/>
      <c r="Q537" s="371"/>
      <c r="R537" s="371"/>
      <c r="S537" s="371"/>
      <c r="T537" s="371"/>
      <c r="U537" s="371"/>
      <c r="V537" s="371"/>
      <c r="W537" s="371"/>
      <c r="X537" s="371"/>
      <c r="Y537" s="371"/>
      <c r="Z537" s="371"/>
    </row>
    <row r="538">
      <c r="A538" s="371"/>
      <c r="B538" s="371"/>
      <c r="C538" s="371"/>
      <c r="D538" s="372"/>
      <c r="E538" s="371"/>
      <c r="F538" s="371"/>
      <c r="G538" s="371"/>
      <c r="H538" s="371"/>
      <c r="I538" s="371"/>
      <c r="J538" s="371"/>
      <c r="K538" s="371"/>
      <c r="L538" s="371"/>
      <c r="M538" s="371"/>
      <c r="N538" s="371"/>
      <c r="O538" s="371"/>
      <c r="P538" s="371"/>
      <c r="Q538" s="371"/>
      <c r="R538" s="371"/>
      <c r="S538" s="371"/>
      <c r="T538" s="371"/>
      <c r="U538" s="371"/>
      <c r="V538" s="371"/>
      <c r="W538" s="371"/>
      <c r="X538" s="371"/>
      <c r="Y538" s="371"/>
      <c r="Z538" s="371"/>
    </row>
    <row r="539">
      <c r="A539" s="371"/>
      <c r="B539" s="371"/>
      <c r="C539" s="371"/>
      <c r="D539" s="372"/>
      <c r="E539" s="371"/>
      <c r="F539" s="371"/>
      <c r="G539" s="371"/>
      <c r="H539" s="371"/>
      <c r="I539" s="371"/>
      <c r="J539" s="371"/>
      <c r="K539" s="371"/>
      <c r="L539" s="371"/>
      <c r="M539" s="371"/>
      <c r="N539" s="371"/>
      <c r="O539" s="371"/>
      <c r="P539" s="371"/>
      <c r="Q539" s="371"/>
      <c r="R539" s="371"/>
      <c r="S539" s="371"/>
      <c r="T539" s="371"/>
      <c r="U539" s="371"/>
      <c r="V539" s="371"/>
      <c r="W539" s="371"/>
      <c r="X539" s="371"/>
      <c r="Y539" s="371"/>
      <c r="Z539" s="371"/>
    </row>
    <row r="540">
      <c r="A540" s="371"/>
      <c r="B540" s="371"/>
      <c r="C540" s="371"/>
      <c r="D540" s="372"/>
      <c r="E540" s="371"/>
      <c r="F540" s="371"/>
      <c r="G540" s="371"/>
      <c r="H540" s="371"/>
      <c r="I540" s="371"/>
      <c r="J540" s="371"/>
      <c r="K540" s="371"/>
      <c r="L540" s="371"/>
      <c r="M540" s="371"/>
      <c r="N540" s="371"/>
      <c r="O540" s="371"/>
      <c r="P540" s="371"/>
      <c r="Q540" s="371"/>
      <c r="R540" s="371"/>
      <c r="S540" s="371"/>
      <c r="T540" s="371"/>
      <c r="U540" s="371"/>
      <c r="V540" s="371"/>
      <c r="W540" s="371"/>
      <c r="X540" s="371"/>
      <c r="Y540" s="371"/>
      <c r="Z540" s="371"/>
    </row>
    <row r="541">
      <c r="A541" s="371"/>
      <c r="B541" s="371"/>
      <c r="C541" s="371"/>
      <c r="D541" s="372"/>
      <c r="E541" s="371"/>
      <c r="F541" s="371"/>
      <c r="G541" s="371"/>
      <c r="H541" s="371"/>
      <c r="I541" s="371"/>
      <c r="J541" s="371"/>
      <c r="K541" s="371"/>
      <c r="L541" s="371"/>
      <c r="M541" s="371"/>
      <c r="N541" s="371"/>
      <c r="O541" s="371"/>
      <c r="P541" s="371"/>
      <c r="Q541" s="371"/>
      <c r="R541" s="371"/>
      <c r="S541" s="371"/>
      <c r="T541" s="371"/>
      <c r="U541" s="371"/>
      <c r="V541" s="371"/>
      <c r="W541" s="371"/>
      <c r="X541" s="371"/>
      <c r="Y541" s="371"/>
      <c r="Z541" s="371"/>
    </row>
    <row r="542">
      <c r="A542" s="371"/>
      <c r="B542" s="371"/>
      <c r="C542" s="371"/>
      <c r="D542" s="372"/>
      <c r="E542" s="371"/>
      <c r="F542" s="371"/>
      <c r="G542" s="371"/>
      <c r="H542" s="371"/>
      <c r="I542" s="371"/>
      <c r="J542" s="371"/>
      <c r="K542" s="371"/>
      <c r="L542" s="371"/>
      <c r="M542" s="371"/>
      <c r="N542" s="371"/>
      <c r="O542" s="371"/>
      <c r="P542" s="371"/>
      <c r="Q542" s="371"/>
      <c r="R542" s="371"/>
      <c r="S542" s="371"/>
      <c r="T542" s="371"/>
      <c r="U542" s="371"/>
      <c r="V542" s="371"/>
      <c r="W542" s="371"/>
      <c r="X542" s="371"/>
      <c r="Y542" s="371"/>
      <c r="Z542" s="371"/>
    </row>
    <row r="543">
      <c r="A543" s="371"/>
      <c r="B543" s="371"/>
      <c r="C543" s="371"/>
      <c r="D543" s="372"/>
      <c r="E543" s="371"/>
      <c r="F543" s="371"/>
      <c r="G543" s="371"/>
      <c r="H543" s="371"/>
      <c r="I543" s="371"/>
      <c r="J543" s="371"/>
      <c r="K543" s="371"/>
      <c r="L543" s="371"/>
      <c r="M543" s="371"/>
      <c r="N543" s="371"/>
      <c r="O543" s="371"/>
      <c r="P543" s="371"/>
      <c r="Q543" s="371"/>
      <c r="R543" s="371"/>
      <c r="S543" s="371"/>
      <c r="T543" s="371"/>
      <c r="U543" s="371"/>
      <c r="V543" s="371"/>
      <c r="W543" s="371"/>
      <c r="X543" s="371"/>
      <c r="Y543" s="371"/>
      <c r="Z543" s="371"/>
    </row>
    <row r="544">
      <c r="A544" s="371"/>
      <c r="B544" s="371"/>
      <c r="C544" s="371"/>
      <c r="D544" s="372"/>
      <c r="E544" s="371"/>
      <c r="F544" s="371"/>
      <c r="G544" s="371"/>
      <c r="H544" s="371"/>
      <c r="I544" s="371"/>
      <c r="J544" s="371"/>
      <c r="K544" s="371"/>
      <c r="L544" s="371"/>
      <c r="M544" s="371"/>
      <c r="N544" s="371"/>
      <c r="O544" s="371"/>
      <c r="P544" s="371"/>
      <c r="Q544" s="371"/>
      <c r="R544" s="371"/>
      <c r="S544" s="371"/>
      <c r="T544" s="371"/>
      <c r="U544" s="371"/>
      <c r="V544" s="371"/>
      <c r="W544" s="371"/>
      <c r="X544" s="371"/>
      <c r="Y544" s="371"/>
      <c r="Z544" s="371"/>
    </row>
    <row r="545">
      <c r="A545" s="371"/>
      <c r="B545" s="371"/>
      <c r="C545" s="371"/>
      <c r="D545" s="372"/>
      <c r="E545" s="371"/>
      <c r="F545" s="371"/>
      <c r="G545" s="371"/>
      <c r="H545" s="371"/>
      <c r="I545" s="371"/>
      <c r="J545" s="371"/>
      <c r="K545" s="371"/>
      <c r="L545" s="371"/>
      <c r="M545" s="371"/>
      <c r="N545" s="371"/>
      <c r="O545" s="371"/>
      <c r="P545" s="371"/>
      <c r="Q545" s="371"/>
      <c r="R545" s="371"/>
      <c r="S545" s="371"/>
      <c r="T545" s="371"/>
      <c r="U545" s="371"/>
      <c r="V545" s="371"/>
      <c r="W545" s="371"/>
      <c r="X545" s="371"/>
      <c r="Y545" s="371"/>
      <c r="Z545" s="371"/>
    </row>
    <row r="546">
      <c r="A546" s="371"/>
      <c r="B546" s="371"/>
      <c r="C546" s="371"/>
      <c r="D546" s="372"/>
      <c r="E546" s="371"/>
      <c r="F546" s="371"/>
      <c r="G546" s="371"/>
      <c r="H546" s="371"/>
      <c r="I546" s="371"/>
      <c r="J546" s="371"/>
      <c r="K546" s="371"/>
      <c r="L546" s="371"/>
      <c r="M546" s="371"/>
      <c r="N546" s="371"/>
      <c r="O546" s="371"/>
      <c r="P546" s="371"/>
      <c r="Q546" s="371"/>
      <c r="R546" s="371"/>
      <c r="S546" s="371"/>
      <c r="T546" s="371"/>
      <c r="U546" s="371"/>
      <c r="V546" s="371"/>
      <c r="W546" s="371"/>
      <c r="X546" s="371"/>
      <c r="Y546" s="371"/>
      <c r="Z546" s="371"/>
    </row>
    <row r="547">
      <c r="A547" s="371"/>
      <c r="B547" s="371"/>
      <c r="C547" s="371"/>
      <c r="D547" s="372"/>
      <c r="E547" s="371"/>
      <c r="F547" s="371"/>
      <c r="G547" s="371"/>
      <c r="H547" s="371"/>
      <c r="I547" s="371"/>
      <c r="J547" s="371"/>
      <c r="K547" s="371"/>
      <c r="L547" s="371"/>
      <c r="M547" s="371"/>
      <c r="N547" s="371"/>
      <c r="O547" s="371"/>
      <c r="P547" s="371"/>
      <c r="Q547" s="371"/>
      <c r="R547" s="371"/>
      <c r="S547" s="371"/>
      <c r="T547" s="371"/>
      <c r="U547" s="371"/>
      <c r="V547" s="371"/>
      <c r="W547" s="371"/>
      <c r="X547" s="371"/>
      <c r="Y547" s="371"/>
      <c r="Z547" s="371"/>
    </row>
    <row r="548">
      <c r="A548" s="371"/>
      <c r="B548" s="371"/>
      <c r="C548" s="371"/>
      <c r="D548" s="372"/>
      <c r="E548" s="371"/>
      <c r="F548" s="371"/>
      <c r="G548" s="371"/>
      <c r="H548" s="371"/>
      <c r="I548" s="371"/>
      <c r="J548" s="371"/>
      <c r="K548" s="371"/>
      <c r="L548" s="371"/>
      <c r="M548" s="371"/>
      <c r="N548" s="371"/>
      <c r="O548" s="371"/>
      <c r="P548" s="371"/>
      <c r="Q548" s="371"/>
      <c r="R548" s="371"/>
      <c r="S548" s="371"/>
      <c r="T548" s="371"/>
      <c r="U548" s="371"/>
      <c r="V548" s="371"/>
      <c r="W548" s="371"/>
      <c r="X548" s="371"/>
      <c r="Y548" s="371"/>
      <c r="Z548" s="371"/>
    </row>
    <row r="549">
      <c r="A549" s="371"/>
      <c r="B549" s="371"/>
      <c r="C549" s="371"/>
      <c r="D549" s="372"/>
      <c r="E549" s="371"/>
      <c r="F549" s="371"/>
      <c r="G549" s="371"/>
      <c r="H549" s="371"/>
      <c r="I549" s="371"/>
      <c r="J549" s="371"/>
      <c r="K549" s="371"/>
      <c r="L549" s="371"/>
      <c r="M549" s="371"/>
      <c r="N549" s="371"/>
      <c r="O549" s="371"/>
      <c r="P549" s="371"/>
      <c r="Q549" s="371"/>
      <c r="R549" s="371"/>
      <c r="S549" s="371"/>
      <c r="T549" s="371"/>
      <c r="U549" s="371"/>
      <c r="V549" s="371"/>
      <c r="W549" s="371"/>
      <c r="X549" s="371"/>
      <c r="Y549" s="371"/>
      <c r="Z549" s="371"/>
    </row>
    <row r="550">
      <c r="A550" s="371"/>
      <c r="B550" s="371"/>
      <c r="C550" s="371"/>
      <c r="D550" s="372"/>
      <c r="E550" s="371"/>
      <c r="F550" s="371"/>
      <c r="G550" s="371"/>
      <c r="H550" s="371"/>
      <c r="I550" s="371"/>
      <c r="J550" s="371"/>
      <c r="K550" s="371"/>
      <c r="L550" s="371"/>
      <c r="M550" s="371"/>
      <c r="N550" s="371"/>
      <c r="O550" s="371"/>
      <c r="P550" s="371"/>
      <c r="Q550" s="371"/>
      <c r="R550" s="371"/>
      <c r="S550" s="371"/>
      <c r="T550" s="371"/>
      <c r="U550" s="371"/>
      <c r="V550" s="371"/>
      <c r="W550" s="371"/>
      <c r="X550" s="371"/>
      <c r="Y550" s="371"/>
      <c r="Z550" s="371"/>
    </row>
    <row r="551">
      <c r="A551" s="371"/>
      <c r="B551" s="371"/>
      <c r="C551" s="371"/>
      <c r="D551" s="372"/>
      <c r="E551" s="371"/>
      <c r="F551" s="371"/>
      <c r="G551" s="371"/>
      <c r="H551" s="371"/>
      <c r="I551" s="371"/>
      <c r="J551" s="371"/>
      <c r="K551" s="371"/>
      <c r="L551" s="371"/>
      <c r="M551" s="371"/>
      <c r="N551" s="371"/>
      <c r="O551" s="371"/>
      <c r="P551" s="371"/>
      <c r="Q551" s="371"/>
      <c r="R551" s="371"/>
      <c r="S551" s="371"/>
      <c r="T551" s="371"/>
      <c r="U551" s="371"/>
      <c r="V551" s="371"/>
      <c r="W551" s="371"/>
      <c r="X551" s="371"/>
      <c r="Y551" s="371"/>
      <c r="Z551" s="371"/>
    </row>
    <row r="552">
      <c r="A552" s="371"/>
      <c r="B552" s="371"/>
      <c r="C552" s="371"/>
      <c r="D552" s="372"/>
      <c r="E552" s="371"/>
      <c r="F552" s="371"/>
      <c r="G552" s="371"/>
      <c r="H552" s="371"/>
      <c r="I552" s="371"/>
      <c r="J552" s="371"/>
      <c r="K552" s="371"/>
      <c r="L552" s="371"/>
      <c r="M552" s="371"/>
      <c r="N552" s="371"/>
      <c r="O552" s="371"/>
      <c r="P552" s="371"/>
      <c r="Q552" s="371"/>
      <c r="R552" s="371"/>
      <c r="S552" s="371"/>
      <c r="T552" s="371"/>
      <c r="U552" s="371"/>
      <c r="V552" s="371"/>
      <c r="W552" s="371"/>
      <c r="X552" s="371"/>
      <c r="Y552" s="371"/>
      <c r="Z552" s="371"/>
    </row>
    <row r="553">
      <c r="A553" s="371"/>
      <c r="B553" s="371"/>
      <c r="C553" s="371"/>
      <c r="D553" s="372"/>
      <c r="E553" s="371"/>
      <c r="F553" s="371"/>
      <c r="G553" s="371"/>
      <c r="H553" s="371"/>
      <c r="I553" s="371"/>
      <c r="J553" s="371"/>
      <c r="K553" s="371"/>
      <c r="L553" s="371"/>
      <c r="M553" s="371"/>
      <c r="N553" s="371"/>
      <c r="O553" s="371"/>
      <c r="P553" s="371"/>
      <c r="Q553" s="371"/>
      <c r="R553" s="371"/>
      <c r="S553" s="371"/>
      <c r="T553" s="371"/>
      <c r="U553" s="371"/>
      <c r="V553" s="371"/>
      <c r="W553" s="371"/>
      <c r="X553" s="371"/>
      <c r="Y553" s="371"/>
      <c r="Z553" s="371"/>
    </row>
    <row r="554">
      <c r="A554" s="371"/>
      <c r="B554" s="371"/>
      <c r="C554" s="371"/>
      <c r="D554" s="372"/>
      <c r="E554" s="371"/>
      <c r="F554" s="371"/>
      <c r="G554" s="371"/>
      <c r="H554" s="371"/>
      <c r="I554" s="371"/>
      <c r="J554" s="371"/>
      <c r="K554" s="371"/>
      <c r="L554" s="371"/>
      <c r="M554" s="371"/>
      <c r="N554" s="371"/>
      <c r="O554" s="371"/>
      <c r="P554" s="371"/>
      <c r="Q554" s="371"/>
      <c r="R554" s="371"/>
      <c r="S554" s="371"/>
      <c r="T554" s="371"/>
      <c r="U554" s="371"/>
      <c r="V554" s="371"/>
      <c r="W554" s="371"/>
      <c r="X554" s="371"/>
      <c r="Y554" s="371"/>
      <c r="Z554" s="371"/>
    </row>
    <row r="555">
      <c r="A555" s="371"/>
      <c r="B555" s="371"/>
      <c r="C555" s="371"/>
      <c r="D555" s="372"/>
      <c r="E555" s="371"/>
      <c r="F555" s="371"/>
      <c r="G555" s="371"/>
      <c r="H555" s="371"/>
      <c r="I555" s="371"/>
      <c r="J555" s="371"/>
      <c r="K555" s="371"/>
      <c r="L555" s="371"/>
      <c r="M555" s="371"/>
      <c r="N555" s="371"/>
      <c r="O555" s="371"/>
      <c r="P555" s="371"/>
      <c r="Q555" s="371"/>
      <c r="R555" s="371"/>
      <c r="S555" s="371"/>
      <c r="T555" s="371"/>
      <c r="U555" s="371"/>
      <c r="V555" s="371"/>
      <c r="W555" s="371"/>
      <c r="X555" s="371"/>
      <c r="Y555" s="371"/>
      <c r="Z555" s="371"/>
    </row>
    <row r="556">
      <c r="A556" s="371"/>
      <c r="B556" s="371"/>
      <c r="C556" s="371"/>
      <c r="D556" s="372"/>
      <c r="E556" s="371"/>
      <c r="F556" s="371"/>
      <c r="G556" s="371"/>
      <c r="H556" s="371"/>
      <c r="I556" s="371"/>
      <c r="J556" s="371"/>
      <c r="K556" s="371"/>
      <c r="L556" s="371"/>
      <c r="M556" s="371"/>
      <c r="N556" s="371"/>
      <c r="O556" s="371"/>
      <c r="P556" s="371"/>
      <c r="Q556" s="371"/>
      <c r="R556" s="371"/>
      <c r="S556" s="371"/>
      <c r="T556" s="371"/>
      <c r="U556" s="371"/>
      <c r="V556" s="371"/>
      <c r="W556" s="371"/>
      <c r="X556" s="371"/>
      <c r="Y556" s="371"/>
      <c r="Z556" s="371"/>
    </row>
    <row r="557">
      <c r="A557" s="371"/>
      <c r="B557" s="371"/>
      <c r="C557" s="371"/>
      <c r="D557" s="372"/>
      <c r="E557" s="371"/>
      <c r="F557" s="371"/>
      <c r="G557" s="371"/>
      <c r="H557" s="371"/>
      <c r="I557" s="371"/>
      <c r="J557" s="371"/>
      <c r="K557" s="371"/>
      <c r="L557" s="371"/>
      <c r="M557" s="371"/>
      <c r="N557" s="371"/>
      <c r="O557" s="371"/>
      <c r="P557" s="371"/>
      <c r="Q557" s="371"/>
      <c r="R557" s="371"/>
      <c r="S557" s="371"/>
      <c r="T557" s="371"/>
      <c r="U557" s="371"/>
      <c r="V557" s="371"/>
      <c r="W557" s="371"/>
      <c r="X557" s="371"/>
      <c r="Y557" s="371"/>
      <c r="Z557" s="371"/>
    </row>
    <row r="558">
      <c r="A558" s="371"/>
      <c r="B558" s="371"/>
      <c r="C558" s="371"/>
      <c r="D558" s="372"/>
      <c r="E558" s="371"/>
      <c r="F558" s="371"/>
      <c r="G558" s="371"/>
      <c r="H558" s="371"/>
      <c r="I558" s="371"/>
      <c r="J558" s="371"/>
      <c r="K558" s="371"/>
      <c r="L558" s="371"/>
      <c r="M558" s="371"/>
      <c r="N558" s="371"/>
      <c r="O558" s="371"/>
      <c r="P558" s="371"/>
      <c r="Q558" s="371"/>
      <c r="R558" s="371"/>
      <c r="S558" s="371"/>
      <c r="T558" s="371"/>
      <c r="U558" s="371"/>
      <c r="V558" s="371"/>
      <c r="W558" s="371"/>
      <c r="X558" s="371"/>
      <c r="Y558" s="371"/>
      <c r="Z558" s="371"/>
    </row>
    <row r="559">
      <c r="A559" s="371"/>
      <c r="B559" s="371"/>
      <c r="C559" s="371"/>
      <c r="D559" s="372"/>
      <c r="E559" s="371"/>
      <c r="F559" s="371"/>
      <c r="G559" s="371"/>
      <c r="H559" s="371"/>
      <c r="I559" s="371"/>
      <c r="J559" s="371"/>
      <c r="K559" s="371"/>
      <c r="L559" s="371"/>
      <c r="M559" s="371"/>
      <c r="N559" s="371"/>
      <c r="O559" s="371"/>
      <c r="P559" s="371"/>
      <c r="Q559" s="371"/>
      <c r="R559" s="371"/>
      <c r="S559" s="371"/>
      <c r="T559" s="371"/>
      <c r="U559" s="371"/>
      <c r="V559" s="371"/>
      <c r="W559" s="371"/>
      <c r="X559" s="371"/>
      <c r="Y559" s="371"/>
      <c r="Z559" s="371"/>
    </row>
    <row r="560">
      <c r="A560" s="371"/>
      <c r="B560" s="371"/>
      <c r="C560" s="371"/>
      <c r="D560" s="372"/>
      <c r="E560" s="371"/>
      <c r="F560" s="371"/>
      <c r="G560" s="371"/>
      <c r="H560" s="371"/>
      <c r="I560" s="371"/>
      <c r="J560" s="371"/>
      <c r="K560" s="371"/>
      <c r="L560" s="371"/>
      <c r="M560" s="371"/>
      <c r="N560" s="371"/>
      <c r="O560" s="371"/>
      <c r="P560" s="371"/>
      <c r="Q560" s="371"/>
      <c r="R560" s="371"/>
      <c r="S560" s="371"/>
      <c r="T560" s="371"/>
      <c r="U560" s="371"/>
      <c r="V560" s="371"/>
      <c r="W560" s="371"/>
      <c r="X560" s="371"/>
      <c r="Y560" s="371"/>
      <c r="Z560" s="371"/>
    </row>
    <row r="561">
      <c r="A561" s="371"/>
      <c r="B561" s="371"/>
      <c r="C561" s="371"/>
      <c r="D561" s="372"/>
      <c r="E561" s="371"/>
      <c r="F561" s="371"/>
      <c r="G561" s="371"/>
      <c r="H561" s="371"/>
      <c r="I561" s="371"/>
      <c r="J561" s="371"/>
      <c r="K561" s="371"/>
      <c r="L561" s="371"/>
      <c r="M561" s="371"/>
      <c r="N561" s="371"/>
      <c r="O561" s="371"/>
      <c r="P561" s="371"/>
      <c r="Q561" s="371"/>
      <c r="R561" s="371"/>
      <c r="S561" s="371"/>
      <c r="T561" s="371"/>
      <c r="U561" s="371"/>
      <c r="V561" s="371"/>
      <c r="W561" s="371"/>
      <c r="X561" s="371"/>
      <c r="Y561" s="371"/>
      <c r="Z561" s="371"/>
    </row>
    <row r="562">
      <c r="A562" s="371"/>
      <c r="B562" s="371"/>
      <c r="C562" s="371"/>
      <c r="D562" s="372"/>
      <c r="E562" s="371"/>
      <c r="F562" s="371"/>
      <c r="G562" s="371"/>
      <c r="H562" s="371"/>
      <c r="I562" s="371"/>
      <c r="J562" s="371"/>
      <c r="K562" s="371"/>
      <c r="L562" s="371"/>
      <c r="M562" s="371"/>
      <c r="N562" s="371"/>
      <c r="O562" s="371"/>
      <c r="P562" s="371"/>
      <c r="Q562" s="371"/>
      <c r="R562" s="371"/>
      <c r="S562" s="371"/>
      <c r="T562" s="371"/>
      <c r="U562" s="371"/>
      <c r="V562" s="371"/>
      <c r="W562" s="371"/>
      <c r="X562" s="371"/>
      <c r="Y562" s="371"/>
      <c r="Z562" s="371"/>
    </row>
    <row r="563">
      <c r="A563" s="371"/>
      <c r="B563" s="371"/>
      <c r="C563" s="371"/>
      <c r="D563" s="372"/>
      <c r="E563" s="371"/>
      <c r="F563" s="371"/>
      <c r="G563" s="371"/>
      <c r="H563" s="371"/>
      <c r="I563" s="371"/>
      <c r="J563" s="371"/>
      <c r="K563" s="371"/>
      <c r="L563" s="371"/>
      <c r="M563" s="371"/>
      <c r="N563" s="371"/>
      <c r="O563" s="371"/>
      <c r="P563" s="371"/>
      <c r="Q563" s="371"/>
      <c r="R563" s="371"/>
      <c r="S563" s="371"/>
      <c r="T563" s="371"/>
      <c r="U563" s="371"/>
      <c r="V563" s="371"/>
      <c r="W563" s="371"/>
      <c r="X563" s="371"/>
      <c r="Y563" s="371"/>
      <c r="Z563" s="371"/>
    </row>
    <row r="564">
      <c r="A564" s="371"/>
      <c r="B564" s="371"/>
      <c r="C564" s="371"/>
      <c r="D564" s="372"/>
      <c r="E564" s="371"/>
      <c r="F564" s="371"/>
      <c r="G564" s="371"/>
      <c r="H564" s="371"/>
      <c r="I564" s="371"/>
      <c r="J564" s="371"/>
      <c r="K564" s="371"/>
      <c r="L564" s="371"/>
      <c r="M564" s="371"/>
      <c r="N564" s="371"/>
      <c r="O564" s="371"/>
      <c r="P564" s="371"/>
      <c r="Q564" s="371"/>
      <c r="R564" s="371"/>
      <c r="S564" s="371"/>
      <c r="T564" s="371"/>
      <c r="U564" s="371"/>
      <c r="V564" s="371"/>
      <c r="W564" s="371"/>
      <c r="X564" s="371"/>
      <c r="Y564" s="371"/>
      <c r="Z564" s="371"/>
    </row>
    <row r="565">
      <c r="A565" s="371"/>
      <c r="B565" s="371"/>
      <c r="C565" s="371"/>
      <c r="D565" s="372"/>
      <c r="E565" s="371"/>
      <c r="F565" s="371"/>
      <c r="G565" s="371"/>
      <c r="H565" s="371"/>
      <c r="I565" s="371"/>
      <c r="J565" s="371"/>
      <c r="K565" s="371"/>
      <c r="L565" s="371"/>
      <c r="M565" s="371"/>
      <c r="N565" s="371"/>
      <c r="O565" s="371"/>
      <c r="P565" s="371"/>
      <c r="Q565" s="371"/>
      <c r="R565" s="371"/>
      <c r="S565" s="371"/>
      <c r="T565" s="371"/>
      <c r="U565" s="371"/>
      <c r="V565" s="371"/>
      <c r="W565" s="371"/>
      <c r="X565" s="371"/>
      <c r="Y565" s="371"/>
      <c r="Z565" s="371"/>
    </row>
    <row r="566">
      <c r="A566" s="371"/>
      <c r="B566" s="371"/>
      <c r="C566" s="371"/>
      <c r="D566" s="372"/>
      <c r="E566" s="371"/>
      <c r="F566" s="371"/>
      <c r="G566" s="371"/>
      <c r="H566" s="371"/>
      <c r="I566" s="371"/>
      <c r="J566" s="371"/>
      <c r="K566" s="371"/>
      <c r="L566" s="371"/>
      <c r="M566" s="371"/>
      <c r="N566" s="371"/>
      <c r="O566" s="371"/>
      <c r="P566" s="371"/>
      <c r="Q566" s="371"/>
      <c r="R566" s="371"/>
      <c r="S566" s="371"/>
      <c r="T566" s="371"/>
      <c r="U566" s="371"/>
      <c r="V566" s="371"/>
      <c r="W566" s="371"/>
      <c r="X566" s="371"/>
      <c r="Y566" s="371"/>
      <c r="Z566" s="371"/>
    </row>
    <row r="567">
      <c r="A567" s="371"/>
      <c r="B567" s="371"/>
      <c r="C567" s="371"/>
      <c r="D567" s="372"/>
      <c r="E567" s="371"/>
      <c r="F567" s="371"/>
      <c r="G567" s="371"/>
      <c r="H567" s="371"/>
      <c r="I567" s="371"/>
      <c r="J567" s="371"/>
      <c r="K567" s="371"/>
      <c r="L567" s="371"/>
      <c r="M567" s="371"/>
      <c r="N567" s="371"/>
      <c r="O567" s="371"/>
      <c r="P567" s="371"/>
      <c r="Q567" s="371"/>
      <c r="R567" s="371"/>
      <c r="S567" s="371"/>
      <c r="T567" s="371"/>
      <c r="U567" s="371"/>
      <c r="V567" s="371"/>
      <c r="W567" s="371"/>
      <c r="X567" s="371"/>
      <c r="Y567" s="371"/>
      <c r="Z567" s="371"/>
    </row>
    <row r="568">
      <c r="A568" s="371"/>
      <c r="B568" s="371"/>
      <c r="C568" s="371"/>
      <c r="D568" s="372"/>
      <c r="E568" s="371"/>
      <c r="F568" s="371"/>
      <c r="G568" s="371"/>
      <c r="H568" s="371"/>
      <c r="I568" s="371"/>
      <c r="J568" s="371"/>
      <c r="K568" s="371"/>
      <c r="L568" s="371"/>
      <c r="M568" s="371"/>
      <c r="N568" s="371"/>
      <c r="O568" s="371"/>
      <c r="P568" s="371"/>
      <c r="Q568" s="371"/>
      <c r="R568" s="371"/>
      <c r="S568" s="371"/>
      <c r="T568" s="371"/>
      <c r="U568" s="371"/>
      <c r="V568" s="371"/>
      <c r="W568" s="371"/>
      <c r="X568" s="371"/>
      <c r="Y568" s="371"/>
      <c r="Z568" s="371"/>
    </row>
    <row r="569">
      <c r="A569" s="371"/>
      <c r="B569" s="371"/>
      <c r="C569" s="371"/>
      <c r="D569" s="372"/>
      <c r="E569" s="371"/>
      <c r="F569" s="371"/>
      <c r="G569" s="371"/>
      <c r="H569" s="371"/>
      <c r="I569" s="371"/>
      <c r="J569" s="371"/>
      <c r="K569" s="371"/>
      <c r="L569" s="371"/>
      <c r="M569" s="371"/>
      <c r="N569" s="371"/>
      <c r="O569" s="371"/>
      <c r="P569" s="371"/>
      <c r="Q569" s="371"/>
      <c r="R569" s="371"/>
      <c r="S569" s="371"/>
      <c r="T569" s="371"/>
      <c r="U569" s="371"/>
      <c r="V569" s="371"/>
      <c r="W569" s="371"/>
      <c r="X569" s="371"/>
      <c r="Y569" s="371"/>
      <c r="Z569" s="371"/>
    </row>
    <row r="570">
      <c r="A570" s="371"/>
      <c r="B570" s="371"/>
      <c r="C570" s="371"/>
      <c r="D570" s="372"/>
      <c r="E570" s="371"/>
      <c r="F570" s="371"/>
      <c r="G570" s="371"/>
      <c r="H570" s="371"/>
      <c r="I570" s="371"/>
      <c r="J570" s="371"/>
      <c r="K570" s="371"/>
      <c r="L570" s="371"/>
      <c r="M570" s="371"/>
      <c r="N570" s="371"/>
      <c r="O570" s="371"/>
      <c r="P570" s="371"/>
      <c r="Q570" s="371"/>
      <c r="R570" s="371"/>
      <c r="S570" s="371"/>
      <c r="T570" s="371"/>
      <c r="U570" s="371"/>
      <c r="V570" s="371"/>
      <c r="W570" s="371"/>
      <c r="X570" s="371"/>
      <c r="Y570" s="371"/>
      <c r="Z570" s="371"/>
    </row>
    <row r="571">
      <c r="A571" s="371"/>
      <c r="B571" s="371"/>
      <c r="C571" s="371"/>
      <c r="D571" s="372"/>
      <c r="E571" s="371"/>
      <c r="F571" s="371"/>
      <c r="G571" s="371"/>
      <c r="H571" s="371"/>
      <c r="I571" s="371"/>
      <c r="J571" s="371"/>
      <c r="K571" s="371"/>
      <c r="L571" s="371"/>
      <c r="M571" s="371"/>
      <c r="N571" s="371"/>
      <c r="O571" s="371"/>
      <c r="P571" s="371"/>
      <c r="Q571" s="371"/>
      <c r="R571" s="371"/>
      <c r="S571" s="371"/>
      <c r="T571" s="371"/>
      <c r="U571" s="371"/>
      <c r="V571" s="371"/>
      <c r="W571" s="371"/>
      <c r="X571" s="371"/>
      <c r="Y571" s="371"/>
      <c r="Z571" s="371"/>
    </row>
    <row r="572">
      <c r="A572" s="371"/>
      <c r="B572" s="371"/>
      <c r="C572" s="371"/>
      <c r="D572" s="372"/>
      <c r="E572" s="371"/>
      <c r="F572" s="371"/>
      <c r="G572" s="371"/>
      <c r="H572" s="371"/>
      <c r="I572" s="371"/>
      <c r="J572" s="371"/>
      <c r="K572" s="371"/>
      <c r="L572" s="371"/>
      <c r="M572" s="371"/>
      <c r="N572" s="371"/>
      <c r="O572" s="371"/>
      <c r="P572" s="371"/>
      <c r="Q572" s="371"/>
      <c r="R572" s="371"/>
      <c r="S572" s="371"/>
      <c r="T572" s="371"/>
      <c r="U572" s="371"/>
      <c r="V572" s="371"/>
      <c r="W572" s="371"/>
      <c r="X572" s="371"/>
      <c r="Y572" s="371"/>
      <c r="Z572" s="371"/>
    </row>
    <row r="573">
      <c r="A573" s="371"/>
      <c r="B573" s="371"/>
      <c r="C573" s="371"/>
      <c r="D573" s="372"/>
      <c r="E573" s="371"/>
      <c r="F573" s="371"/>
      <c r="G573" s="371"/>
      <c r="H573" s="371"/>
      <c r="I573" s="371"/>
      <c r="J573" s="371"/>
      <c r="K573" s="371"/>
      <c r="L573" s="371"/>
      <c r="M573" s="371"/>
      <c r="N573" s="371"/>
      <c r="O573" s="371"/>
      <c r="P573" s="371"/>
      <c r="Q573" s="371"/>
      <c r="R573" s="371"/>
      <c r="S573" s="371"/>
      <c r="T573" s="371"/>
      <c r="U573" s="371"/>
      <c r="V573" s="371"/>
      <c r="W573" s="371"/>
      <c r="X573" s="371"/>
      <c r="Y573" s="371"/>
      <c r="Z573" s="371"/>
    </row>
    <row r="574">
      <c r="A574" s="371"/>
      <c r="B574" s="371"/>
      <c r="C574" s="371"/>
      <c r="D574" s="372"/>
      <c r="E574" s="371"/>
      <c r="F574" s="371"/>
      <c r="G574" s="371"/>
      <c r="H574" s="371"/>
      <c r="I574" s="371"/>
      <c r="J574" s="371"/>
      <c r="K574" s="371"/>
      <c r="L574" s="371"/>
      <c r="M574" s="371"/>
      <c r="N574" s="371"/>
      <c r="O574" s="371"/>
      <c r="P574" s="371"/>
      <c r="Q574" s="371"/>
      <c r="R574" s="371"/>
      <c r="S574" s="371"/>
      <c r="T574" s="371"/>
      <c r="U574" s="371"/>
      <c r="V574" s="371"/>
      <c r="W574" s="371"/>
      <c r="X574" s="371"/>
      <c r="Y574" s="371"/>
      <c r="Z574" s="371"/>
    </row>
    <row r="575">
      <c r="A575" s="371"/>
      <c r="B575" s="371"/>
      <c r="C575" s="371"/>
      <c r="D575" s="372"/>
      <c r="E575" s="371"/>
      <c r="F575" s="371"/>
      <c r="G575" s="371"/>
      <c r="H575" s="371"/>
      <c r="I575" s="371"/>
      <c r="J575" s="371"/>
      <c r="K575" s="371"/>
      <c r="L575" s="371"/>
      <c r="M575" s="371"/>
      <c r="N575" s="371"/>
      <c r="O575" s="371"/>
      <c r="P575" s="371"/>
      <c r="Q575" s="371"/>
      <c r="R575" s="371"/>
      <c r="S575" s="371"/>
      <c r="T575" s="371"/>
      <c r="U575" s="371"/>
      <c r="V575" s="371"/>
      <c r="W575" s="371"/>
      <c r="X575" s="371"/>
      <c r="Y575" s="371"/>
      <c r="Z575" s="371"/>
    </row>
    <row r="576">
      <c r="A576" s="371"/>
      <c r="B576" s="371"/>
      <c r="C576" s="371"/>
      <c r="D576" s="372"/>
      <c r="E576" s="371"/>
      <c r="F576" s="371"/>
      <c r="G576" s="371"/>
      <c r="H576" s="371"/>
      <c r="I576" s="371"/>
      <c r="J576" s="371"/>
      <c r="K576" s="371"/>
      <c r="L576" s="371"/>
      <c r="M576" s="371"/>
      <c r="N576" s="371"/>
      <c r="O576" s="371"/>
      <c r="P576" s="371"/>
      <c r="Q576" s="371"/>
      <c r="R576" s="371"/>
      <c r="S576" s="371"/>
      <c r="T576" s="371"/>
      <c r="U576" s="371"/>
      <c r="V576" s="371"/>
      <c r="W576" s="371"/>
      <c r="X576" s="371"/>
      <c r="Y576" s="371"/>
      <c r="Z576" s="371"/>
    </row>
    <row r="577">
      <c r="A577" s="371"/>
      <c r="B577" s="371"/>
      <c r="C577" s="371"/>
      <c r="D577" s="372"/>
      <c r="E577" s="371"/>
      <c r="F577" s="371"/>
      <c r="G577" s="371"/>
      <c r="H577" s="371"/>
      <c r="I577" s="371"/>
      <c r="J577" s="371"/>
      <c r="K577" s="371"/>
      <c r="L577" s="371"/>
      <c r="M577" s="371"/>
      <c r="N577" s="371"/>
      <c r="O577" s="371"/>
      <c r="P577" s="371"/>
      <c r="Q577" s="371"/>
      <c r="R577" s="371"/>
      <c r="S577" s="371"/>
      <c r="T577" s="371"/>
      <c r="U577" s="371"/>
      <c r="V577" s="371"/>
      <c r="W577" s="371"/>
      <c r="X577" s="371"/>
      <c r="Y577" s="371"/>
      <c r="Z577" s="371"/>
    </row>
    <row r="578">
      <c r="A578" s="371"/>
      <c r="B578" s="371"/>
      <c r="C578" s="371"/>
      <c r="D578" s="372"/>
      <c r="E578" s="371"/>
      <c r="F578" s="371"/>
      <c r="G578" s="371"/>
      <c r="H578" s="371"/>
      <c r="I578" s="371"/>
      <c r="J578" s="371"/>
      <c r="K578" s="371"/>
      <c r="L578" s="371"/>
      <c r="M578" s="371"/>
      <c r="N578" s="371"/>
      <c r="O578" s="371"/>
      <c r="P578" s="371"/>
      <c r="Q578" s="371"/>
      <c r="R578" s="371"/>
      <c r="S578" s="371"/>
      <c r="T578" s="371"/>
      <c r="U578" s="371"/>
      <c r="V578" s="371"/>
      <c r="W578" s="371"/>
      <c r="X578" s="371"/>
      <c r="Y578" s="371"/>
      <c r="Z578" s="371"/>
    </row>
    <row r="579">
      <c r="A579" s="371"/>
      <c r="B579" s="371"/>
      <c r="C579" s="371"/>
      <c r="D579" s="372"/>
      <c r="E579" s="371"/>
      <c r="F579" s="371"/>
      <c r="G579" s="371"/>
      <c r="H579" s="371"/>
      <c r="I579" s="371"/>
      <c r="J579" s="371"/>
      <c r="K579" s="371"/>
      <c r="L579" s="371"/>
      <c r="M579" s="371"/>
      <c r="N579" s="371"/>
      <c r="O579" s="371"/>
      <c r="P579" s="371"/>
      <c r="Q579" s="371"/>
      <c r="R579" s="371"/>
      <c r="S579" s="371"/>
      <c r="T579" s="371"/>
      <c r="U579" s="371"/>
      <c r="V579" s="371"/>
      <c r="W579" s="371"/>
      <c r="X579" s="371"/>
      <c r="Y579" s="371"/>
      <c r="Z579" s="371"/>
    </row>
    <row r="580">
      <c r="A580" s="371"/>
      <c r="B580" s="371"/>
      <c r="C580" s="371"/>
      <c r="D580" s="372"/>
      <c r="E580" s="371"/>
      <c r="F580" s="371"/>
      <c r="G580" s="371"/>
      <c r="H580" s="371"/>
      <c r="I580" s="371"/>
      <c r="J580" s="371"/>
      <c r="K580" s="371"/>
      <c r="L580" s="371"/>
      <c r="M580" s="371"/>
      <c r="N580" s="371"/>
      <c r="O580" s="371"/>
      <c r="P580" s="371"/>
      <c r="Q580" s="371"/>
      <c r="R580" s="371"/>
      <c r="S580" s="371"/>
      <c r="T580" s="371"/>
      <c r="U580" s="371"/>
      <c r="V580" s="371"/>
      <c r="W580" s="371"/>
      <c r="X580" s="371"/>
      <c r="Y580" s="371"/>
      <c r="Z580" s="371"/>
    </row>
    <row r="581">
      <c r="A581" s="371"/>
      <c r="B581" s="371"/>
      <c r="C581" s="371"/>
      <c r="D581" s="372"/>
      <c r="E581" s="371"/>
      <c r="F581" s="371"/>
      <c r="G581" s="371"/>
      <c r="H581" s="371"/>
      <c r="I581" s="371"/>
      <c r="J581" s="371"/>
      <c r="K581" s="371"/>
      <c r="L581" s="371"/>
      <c r="M581" s="371"/>
      <c r="N581" s="371"/>
      <c r="O581" s="371"/>
      <c r="P581" s="371"/>
      <c r="Q581" s="371"/>
      <c r="R581" s="371"/>
      <c r="S581" s="371"/>
      <c r="T581" s="371"/>
      <c r="U581" s="371"/>
      <c r="V581" s="371"/>
      <c r="W581" s="371"/>
      <c r="X581" s="371"/>
      <c r="Y581" s="371"/>
      <c r="Z581" s="371"/>
    </row>
    <row r="582">
      <c r="A582" s="371"/>
      <c r="B582" s="371"/>
      <c r="C582" s="371"/>
      <c r="D582" s="372"/>
      <c r="E582" s="371"/>
      <c r="F582" s="371"/>
      <c r="G582" s="371"/>
      <c r="H582" s="371"/>
      <c r="I582" s="371"/>
      <c r="J582" s="371"/>
      <c r="K582" s="371"/>
      <c r="L582" s="371"/>
      <c r="M582" s="371"/>
      <c r="N582" s="371"/>
      <c r="O582" s="371"/>
      <c r="P582" s="371"/>
      <c r="Q582" s="371"/>
      <c r="R582" s="371"/>
      <c r="S582" s="371"/>
      <c r="T582" s="371"/>
      <c r="U582" s="371"/>
      <c r="V582" s="371"/>
      <c r="W582" s="371"/>
      <c r="X582" s="371"/>
      <c r="Y582" s="371"/>
      <c r="Z582" s="371"/>
    </row>
    <row r="583">
      <c r="A583" s="371"/>
      <c r="B583" s="371"/>
      <c r="C583" s="371"/>
      <c r="D583" s="372"/>
      <c r="E583" s="371"/>
      <c r="F583" s="371"/>
      <c r="G583" s="371"/>
      <c r="H583" s="371"/>
      <c r="I583" s="371"/>
      <c r="J583" s="371"/>
      <c r="K583" s="371"/>
      <c r="L583" s="371"/>
      <c r="M583" s="371"/>
      <c r="N583" s="371"/>
      <c r="O583" s="371"/>
      <c r="P583" s="371"/>
      <c r="Q583" s="371"/>
      <c r="R583" s="371"/>
      <c r="S583" s="371"/>
      <c r="T583" s="371"/>
      <c r="U583" s="371"/>
      <c r="V583" s="371"/>
      <c r="W583" s="371"/>
      <c r="X583" s="371"/>
      <c r="Y583" s="371"/>
      <c r="Z583" s="371"/>
    </row>
    <row r="584">
      <c r="A584" s="371"/>
      <c r="B584" s="371"/>
      <c r="C584" s="371"/>
      <c r="D584" s="372"/>
      <c r="E584" s="371"/>
      <c r="F584" s="371"/>
      <c r="G584" s="371"/>
      <c r="H584" s="371"/>
      <c r="I584" s="371"/>
      <c r="J584" s="371"/>
      <c r="K584" s="371"/>
      <c r="L584" s="371"/>
      <c r="M584" s="371"/>
      <c r="N584" s="371"/>
      <c r="O584" s="371"/>
      <c r="P584" s="371"/>
      <c r="Q584" s="371"/>
      <c r="R584" s="371"/>
      <c r="S584" s="371"/>
      <c r="T584" s="371"/>
      <c r="U584" s="371"/>
      <c r="V584" s="371"/>
      <c r="W584" s="371"/>
      <c r="X584" s="371"/>
      <c r="Y584" s="371"/>
      <c r="Z584" s="371"/>
    </row>
    <row r="585">
      <c r="A585" s="371"/>
      <c r="B585" s="371"/>
      <c r="C585" s="371"/>
      <c r="D585" s="372"/>
      <c r="E585" s="371"/>
      <c r="F585" s="371"/>
      <c r="G585" s="371"/>
      <c r="H585" s="371"/>
      <c r="I585" s="371"/>
      <c r="J585" s="371"/>
      <c r="K585" s="371"/>
      <c r="L585" s="371"/>
      <c r="M585" s="371"/>
      <c r="N585" s="371"/>
      <c r="O585" s="371"/>
      <c r="P585" s="371"/>
      <c r="Q585" s="371"/>
      <c r="R585" s="371"/>
      <c r="S585" s="371"/>
      <c r="T585" s="371"/>
      <c r="U585" s="371"/>
      <c r="V585" s="371"/>
      <c r="W585" s="371"/>
      <c r="X585" s="371"/>
      <c r="Y585" s="371"/>
      <c r="Z585" s="371"/>
    </row>
    <row r="586">
      <c r="A586" s="371"/>
      <c r="B586" s="371"/>
      <c r="C586" s="371"/>
      <c r="D586" s="372"/>
      <c r="E586" s="371"/>
      <c r="F586" s="371"/>
      <c r="G586" s="371"/>
      <c r="H586" s="371"/>
      <c r="I586" s="371"/>
      <c r="J586" s="371"/>
      <c r="K586" s="371"/>
      <c r="L586" s="371"/>
      <c r="M586" s="371"/>
      <c r="N586" s="371"/>
      <c r="O586" s="371"/>
      <c r="P586" s="371"/>
      <c r="Q586" s="371"/>
      <c r="R586" s="371"/>
      <c r="S586" s="371"/>
      <c r="T586" s="371"/>
      <c r="U586" s="371"/>
      <c r="V586" s="371"/>
      <c r="W586" s="371"/>
      <c r="X586" s="371"/>
      <c r="Y586" s="371"/>
      <c r="Z586" s="371"/>
    </row>
    <row r="587">
      <c r="A587" s="371"/>
      <c r="B587" s="371"/>
      <c r="C587" s="371"/>
      <c r="D587" s="372"/>
      <c r="E587" s="371"/>
      <c r="F587" s="371"/>
      <c r="G587" s="371"/>
      <c r="H587" s="371"/>
      <c r="I587" s="371"/>
      <c r="J587" s="371"/>
      <c r="K587" s="371"/>
      <c r="L587" s="371"/>
      <c r="M587" s="371"/>
      <c r="N587" s="371"/>
      <c r="O587" s="371"/>
      <c r="P587" s="371"/>
      <c r="Q587" s="371"/>
      <c r="R587" s="371"/>
      <c r="S587" s="371"/>
      <c r="T587" s="371"/>
      <c r="U587" s="371"/>
      <c r="V587" s="371"/>
      <c r="W587" s="371"/>
      <c r="X587" s="371"/>
      <c r="Y587" s="371"/>
      <c r="Z587" s="371"/>
    </row>
    <row r="588">
      <c r="A588" s="371"/>
      <c r="B588" s="371"/>
      <c r="C588" s="371"/>
      <c r="D588" s="372"/>
      <c r="E588" s="371"/>
      <c r="F588" s="371"/>
      <c r="G588" s="371"/>
      <c r="H588" s="371"/>
      <c r="I588" s="371"/>
      <c r="J588" s="371"/>
      <c r="K588" s="371"/>
      <c r="L588" s="371"/>
      <c r="M588" s="371"/>
      <c r="N588" s="371"/>
      <c r="O588" s="371"/>
      <c r="P588" s="371"/>
      <c r="Q588" s="371"/>
      <c r="R588" s="371"/>
      <c r="S588" s="371"/>
      <c r="T588" s="371"/>
      <c r="U588" s="371"/>
      <c r="V588" s="371"/>
      <c r="W588" s="371"/>
      <c r="X588" s="371"/>
      <c r="Y588" s="371"/>
      <c r="Z588" s="371"/>
    </row>
    <row r="589">
      <c r="A589" s="371"/>
      <c r="B589" s="371"/>
      <c r="C589" s="371"/>
      <c r="D589" s="372"/>
      <c r="E589" s="371"/>
      <c r="F589" s="371"/>
      <c r="G589" s="371"/>
      <c r="H589" s="371"/>
      <c r="I589" s="371"/>
      <c r="J589" s="371"/>
      <c r="K589" s="371"/>
      <c r="L589" s="371"/>
      <c r="M589" s="371"/>
      <c r="N589" s="371"/>
      <c r="O589" s="371"/>
      <c r="P589" s="371"/>
      <c r="Q589" s="371"/>
      <c r="R589" s="371"/>
      <c r="S589" s="371"/>
      <c r="T589" s="371"/>
      <c r="U589" s="371"/>
      <c r="V589" s="371"/>
      <c r="W589" s="371"/>
      <c r="X589" s="371"/>
      <c r="Y589" s="371"/>
      <c r="Z589" s="371"/>
    </row>
    <row r="590">
      <c r="A590" s="371"/>
      <c r="B590" s="371"/>
      <c r="C590" s="371"/>
      <c r="D590" s="372"/>
      <c r="E590" s="371"/>
      <c r="F590" s="371"/>
      <c r="G590" s="371"/>
      <c r="H590" s="371"/>
      <c r="I590" s="371"/>
      <c r="J590" s="371"/>
      <c r="K590" s="371"/>
      <c r="L590" s="371"/>
      <c r="M590" s="371"/>
      <c r="N590" s="371"/>
      <c r="O590" s="371"/>
      <c r="P590" s="371"/>
      <c r="Q590" s="371"/>
      <c r="R590" s="371"/>
      <c r="S590" s="371"/>
      <c r="T590" s="371"/>
      <c r="U590" s="371"/>
      <c r="V590" s="371"/>
      <c r="W590" s="371"/>
      <c r="X590" s="371"/>
      <c r="Y590" s="371"/>
      <c r="Z590" s="371"/>
    </row>
    <row r="591">
      <c r="A591" s="371"/>
      <c r="B591" s="371"/>
      <c r="C591" s="371"/>
      <c r="D591" s="372"/>
      <c r="E591" s="371"/>
      <c r="F591" s="371"/>
      <c r="G591" s="371"/>
      <c r="H591" s="371"/>
      <c r="I591" s="371"/>
      <c r="J591" s="371"/>
      <c r="K591" s="371"/>
      <c r="L591" s="371"/>
      <c r="M591" s="371"/>
      <c r="N591" s="371"/>
      <c r="O591" s="371"/>
      <c r="P591" s="371"/>
      <c r="Q591" s="371"/>
      <c r="R591" s="371"/>
      <c r="S591" s="371"/>
      <c r="T591" s="371"/>
      <c r="U591" s="371"/>
      <c r="V591" s="371"/>
      <c r="W591" s="371"/>
      <c r="X591" s="371"/>
      <c r="Y591" s="371"/>
      <c r="Z591" s="371"/>
    </row>
    <row r="592">
      <c r="A592" s="371"/>
      <c r="B592" s="371"/>
      <c r="C592" s="371"/>
      <c r="D592" s="372"/>
      <c r="E592" s="371"/>
      <c r="F592" s="371"/>
      <c r="G592" s="371"/>
      <c r="H592" s="371"/>
      <c r="I592" s="371"/>
      <c r="J592" s="371"/>
      <c r="K592" s="371"/>
      <c r="L592" s="371"/>
      <c r="M592" s="371"/>
      <c r="N592" s="371"/>
      <c r="O592" s="371"/>
      <c r="P592" s="371"/>
      <c r="Q592" s="371"/>
      <c r="R592" s="371"/>
      <c r="S592" s="371"/>
      <c r="T592" s="371"/>
      <c r="U592" s="371"/>
      <c r="V592" s="371"/>
      <c r="W592" s="371"/>
      <c r="X592" s="371"/>
      <c r="Y592" s="371"/>
      <c r="Z592" s="371"/>
    </row>
    <row r="593">
      <c r="A593" s="371"/>
      <c r="B593" s="371"/>
      <c r="C593" s="371"/>
      <c r="D593" s="372"/>
      <c r="E593" s="371"/>
      <c r="F593" s="371"/>
      <c r="G593" s="371"/>
      <c r="H593" s="371"/>
      <c r="I593" s="371"/>
      <c r="J593" s="371"/>
      <c r="K593" s="371"/>
      <c r="L593" s="371"/>
      <c r="M593" s="371"/>
      <c r="N593" s="371"/>
      <c r="O593" s="371"/>
      <c r="P593" s="371"/>
      <c r="Q593" s="371"/>
      <c r="R593" s="371"/>
      <c r="S593" s="371"/>
      <c r="T593" s="371"/>
      <c r="U593" s="371"/>
      <c r="V593" s="371"/>
      <c r="W593" s="371"/>
      <c r="X593" s="371"/>
      <c r="Y593" s="371"/>
      <c r="Z593" s="371"/>
    </row>
    <row r="594">
      <c r="A594" s="371"/>
      <c r="B594" s="371"/>
      <c r="C594" s="371"/>
      <c r="D594" s="372"/>
      <c r="E594" s="371"/>
      <c r="F594" s="371"/>
      <c r="G594" s="371"/>
      <c r="H594" s="371"/>
      <c r="I594" s="371"/>
      <c r="J594" s="371"/>
      <c r="K594" s="371"/>
      <c r="L594" s="371"/>
      <c r="M594" s="371"/>
      <c r="N594" s="371"/>
      <c r="O594" s="371"/>
      <c r="P594" s="371"/>
      <c r="Q594" s="371"/>
      <c r="R594" s="371"/>
      <c r="S594" s="371"/>
      <c r="T594" s="371"/>
      <c r="U594" s="371"/>
      <c r="V594" s="371"/>
      <c r="W594" s="371"/>
      <c r="X594" s="371"/>
      <c r="Y594" s="371"/>
      <c r="Z594" s="371"/>
    </row>
    <row r="595">
      <c r="A595" s="371"/>
      <c r="B595" s="371"/>
      <c r="C595" s="371"/>
      <c r="D595" s="372"/>
      <c r="E595" s="371"/>
      <c r="F595" s="371"/>
      <c r="G595" s="371"/>
      <c r="H595" s="371"/>
      <c r="I595" s="371"/>
      <c r="J595" s="371"/>
      <c r="K595" s="371"/>
      <c r="L595" s="371"/>
      <c r="M595" s="371"/>
      <c r="N595" s="371"/>
      <c r="O595" s="371"/>
      <c r="P595" s="371"/>
      <c r="Q595" s="371"/>
      <c r="R595" s="371"/>
      <c r="S595" s="371"/>
      <c r="T595" s="371"/>
      <c r="U595" s="371"/>
      <c r="V595" s="371"/>
      <c r="W595" s="371"/>
      <c r="X595" s="371"/>
      <c r="Y595" s="371"/>
      <c r="Z595" s="371"/>
    </row>
    <row r="596">
      <c r="A596" s="371"/>
      <c r="B596" s="371"/>
      <c r="C596" s="371"/>
      <c r="D596" s="372"/>
      <c r="E596" s="371"/>
      <c r="F596" s="371"/>
      <c r="G596" s="371"/>
      <c r="H596" s="371"/>
      <c r="I596" s="371"/>
      <c r="J596" s="371"/>
      <c r="K596" s="371"/>
      <c r="L596" s="371"/>
      <c r="M596" s="371"/>
      <c r="N596" s="371"/>
      <c r="O596" s="371"/>
      <c r="P596" s="371"/>
      <c r="Q596" s="371"/>
      <c r="R596" s="371"/>
      <c r="S596" s="371"/>
      <c r="T596" s="371"/>
      <c r="U596" s="371"/>
      <c r="V596" s="371"/>
      <c r="W596" s="371"/>
      <c r="X596" s="371"/>
      <c r="Y596" s="371"/>
      <c r="Z596" s="371"/>
    </row>
    <row r="597">
      <c r="A597" s="371"/>
      <c r="B597" s="371"/>
      <c r="C597" s="371"/>
      <c r="D597" s="372"/>
      <c r="E597" s="371"/>
      <c r="F597" s="371"/>
      <c r="G597" s="371"/>
      <c r="H597" s="371"/>
      <c r="I597" s="371"/>
      <c r="J597" s="371"/>
      <c r="K597" s="371"/>
      <c r="L597" s="371"/>
      <c r="M597" s="371"/>
      <c r="N597" s="371"/>
      <c r="O597" s="371"/>
      <c r="P597" s="371"/>
      <c r="Q597" s="371"/>
      <c r="R597" s="371"/>
      <c r="S597" s="371"/>
      <c r="T597" s="371"/>
      <c r="U597" s="371"/>
      <c r="V597" s="371"/>
      <c r="W597" s="371"/>
      <c r="X597" s="371"/>
      <c r="Y597" s="371"/>
      <c r="Z597" s="371"/>
    </row>
    <row r="598">
      <c r="A598" s="371"/>
      <c r="B598" s="371"/>
      <c r="C598" s="371"/>
      <c r="D598" s="372"/>
      <c r="E598" s="371"/>
      <c r="F598" s="371"/>
      <c r="G598" s="371"/>
      <c r="H598" s="371"/>
      <c r="I598" s="371"/>
      <c r="J598" s="371"/>
      <c r="K598" s="371"/>
      <c r="L598" s="371"/>
      <c r="M598" s="371"/>
      <c r="N598" s="371"/>
      <c r="O598" s="371"/>
      <c r="P598" s="371"/>
      <c r="Q598" s="371"/>
      <c r="R598" s="371"/>
      <c r="S598" s="371"/>
      <c r="T598" s="371"/>
      <c r="U598" s="371"/>
      <c r="V598" s="371"/>
      <c r="W598" s="371"/>
      <c r="X598" s="371"/>
      <c r="Y598" s="371"/>
      <c r="Z598" s="371"/>
    </row>
    <row r="599">
      <c r="A599" s="371"/>
      <c r="B599" s="371"/>
      <c r="C599" s="371"/>
      <c r="D599" s="372"/>
      <c r="E599" s="371"/>
      <c r="F599" s="371"/>
      <c r="G599" s="371"/>
      <c r="H599" s="371"/>
      <c r="I599" s="371"/>
      <c r="J599" s="371"/>
      <c r="K599" s="371"/>
      <c r="L599" s="371"/>
      <c r="M599" s="371"/>
      <c r="N599" s="371"/>
      <c r="O599" s="371"/>
      <c r="P599" s="371"/>
      <c r="Q599" s="371"/>
      <c r="R599" s="371"/>
      <c r="S599" s="371"/>
      <c r="T599" s="371"/>
      <c r="U599" s="371"/>
      <c r="V599" s="371"/>
      <c r="W599" s="371"/>
      <c r="X599" s="371"/>
      <c r="Y599" s="371"/>
      <c r="Z599" s="371"/>
    </row>
    <row r="600">
      <c r="A600" s="371"/>
      <c r="B600" s="371"/>
      <c r="C600" s="371"/>
      <c r="D600" s="372"/>
      <c r="E600" s="371"/>
      <c r="F600" s="371"/>
      <c r="G600" s="371"/>
      <c r="H600" s="371"/>
      <c r="I600" s="371"/>
      <c r="J600" s="371"/>
      <c r="K600" s="371"/>
      <c r="L600" s="371"/>
      <c r="M600" s="371"/>
      <c r="N600" s="371"/>
      <c r="O600" s="371"/>
      <c r="P600" s="371"/>
      <c r="Q600" s="371"/>
      <c r="R600" s="371"/>
      <c r="S600" s="371"/>
      <c r="T600" s="371"/>
      <c r="U600" s="371"/>
      <c r="V600" s="371"/>
      <c r="W600" s="371"/>
      <c r="X600" s="371"/>
      <c r="Y600" s="371"/>
      <c r="Z600" s="371"/>
    </row>
    <row r="601">
      <c r="A601" s="371"/>
      <c r="B601" s="371"/>
      <c r="C601" s="371"/>
      <c r="D601" s="372"/>
      <c r="E601" s="371"/>
      <c r="F601" s="371"/>
      <c r="G601" s="371"/>
      <c r="H601" s="371"/>
      <c r="I601" s="371"/>
      <c r="J601" s="371"/>
      <c r="K601" s="371"/>
      <c r="L601" s="371"/>
      <c r="M601" s="371"/>
      <c r="N601" s="371"/>
      <c r="O601" s="371"/>
      <c r="P601" s="371"/>
      <c r="Q601" s="371"/>
      <c r="R601" s="371"/>
      <c r="S601" s="371"/>
      <c r="T601" s="371"/>
      <c r="U601" s="371"/>
      <c r="V601" s="371"/>
      <c r="W601" s="371"/>
      <c r="X601" s="371"/>
      <c r="Y601" s="371"/>
      <c r="Z601" s="371"/>
    </row>
    <row r="602">
      <c r="A602" s="371"/>
      <c r="B602" s="371"/>
      <c r="C602" s="371"/>
      <c r="D602" s="372"/>
      <c r="E602" s="371"/>
      <c r="F602" s="371"/>
      <c r="G602" s="371"/>
      <c r="H602" s="371"/>
      <c r="I602" s="371"/>
      <c r="J602" s="371"/>
      <c r="K602" s="371"/>
      <c r="L602" s="371"/>
      <c r="M602" s="371"/>
      <c r="N602" s="371"/>
      <c r="O602" s="371"/>
      <c r="P602" s="371"/>
      <c r="Q602" s="371"/>
      <c r="R602" s="371"/>
      <c r="S602" s="371"/>
      <c r="T602" s="371"/>
      <c r="U602" s="371"/>
      <c r="V602" s="371"/>
      <c r="W602" s="371"/>
      <c r="X602" s="371"/>
      <c r="Y602" s="371"/>
      <c r="Z602" s="371"/>
    </row>
    <row r="603">
      <c r="A603" s="371"/>
      <c r="B603" s="371"/>
      <c r="C603" s="371"/>
      <c r="D603" s="372"/>
      <c r="E603" s="371"/>
      <c r="F603" s="371"/>
      <c r="G603" s="371"/>
      <c r="H603" s="371"/>
      <c r="I603" s="371"/>
      <c r="J603" s="371"/>
      <c r="K603" s="371"/>
      <c r="L603" s="371"/>
      <c r="M603" s="371"/>
      <c r="N603" s="371"/>
      <c r="O603" s="371"/>
      <c r="P603" s="371"/>
      <c r="Q603" s="371"/>
      <c r="R603" s="371"/>
      <c r="S603" s="371"/>
      <c r="T603" s="371"/>
      <c r="U603" s="371"/>
      <c r="V603" s="371"/>
      <c r="W603" s="371"/>
      <c r="X603" s="371"/>
      <c r="Y603" s="371"/>
      <c r="Z603" s="371"/>
    </row>
    <row r="604">
      <c r="A604" s="371"/>
      <c r="B604" s="371"/>
      <c r="C604" s="371"/>
      <c r="D604" s="372"/>
      <c r="E604" s="371"/>
      <c r="F604" s="371"/>
      <c r="G604" s="371"/>
      <c r="H604" s="371"/>
      <c r="I604" s="371"/>
      <c r="J604" s="371"/>
      <c r="K604" s="371"/>
      <c r="L604" s="371"/>
      <c r="M604" s="371"/>
      <c r="N604" s="371"/>
      <c r="O604" s="371"/>
      <c r="P604" s="371"/>
      <c r="Q604" s="371"/>
      <c r="R604" s="371"/>
      <c r="S604" s="371"/>
      <c r="T604" s="371"/>
      <c r="U604" s="371"/>
      <c r="V604" s="371"/>
      <c r="W604" s="371"/>
      <c r="X604" s="371"/>
      <c r="Y604" s="371"/>
      <c r="Z604" s="371"/>
    </row>
    <row r="605">
      <c r="A605" s="371"/>
      <c r="B605" s="371"/>
      <c r="C605" s="371"/>
      <c r="D605" s="372"/>
      <c r="E605" s="371"/>
      <c r="F605" s="371"/>
      <c r="G605" s="371"/>
      <c r="H605" s="371"/>
      <c r="I605" s="371"/>
      <c r="J605" s="371"/>
      <c r="K605" s="371"/>
      <c r="L605" s="371"/>
      <c r="M605" s="371"/>
      <c r="N605" s="371"/>
      <c r="O605" s="371"/>
      <c r="P605" s="371"/>
      <c r="Q605" s="371"/>
      <c r="R605" s="371"/>
      <c r="S605" s="371"/>
      <c r="T605" s="371"/>
      <c r="U605" s="371"/>
      <c r="V605" s="371"/>
      <c r="W605" s="371"/>
      <c r="X605" s="371"/>
      <c r="Y605" s="371"/>
      <c r="Z605" s="371"/>
    </row>
    <row r="606">
      <c r="A606" s="371"/>
      <c r="B606" s="371"/>
      <c r="C606" s="371"/>
      <c r="D606" s="372"/>
      <c r="E606" s="371"/>
      <c r="F606" s="371"/>
      <c r="G606" s="371"/>
      <c r="H606" s="371"/>
      <c r="I606" s="371"/>
      <c r="J606" s="371"/>
      <c r="K606" s="371"/>
      <c r="L606" s="371"/>
      <c r="M606" s="371"/>
      <c r="N606" s="371"/>
      <c r="O606" s="371"/>
      <c r="P606" s="371"/>
      <c r="Q606" s="371"/>
      <c r="R606" s="371"/>
      <c r="S606" s="371"/>
      <c r="T606" s="371"/>
      <c r="U606" s="371"/>
      <c r="V606" s="371"/>
      <c r="W606" s="371"/>
      <c r="X606" s="371"/>
      <c r="Y606" s="371"/>
      <c r="Z606" s="371"/>
    </row>
    <row r="607">
      <c r="A607" s="371"/>
      <c r="B607" s="371"/>
      <c r="C607" s="371"/>
      <c r="D607" s="372"/>
      <c r="E607" s="371"/>
      <c r="F607" s="371"/>
      <c r="G607" s="371"/>
      <c r="H607" s="371"/>
      <c r="I607" s="371"/>
      <c r="J607" s="371"/>
      <c r="K607" s="371"/>
      <c r="L607" s="371"/>
      <c r="M607" s="371"/>
      <c r="N607" s="371"/>
      <c r="O607" s="371"/>
      <c r="P607" s="371"/>
      <c r="Q607" s="371"/>
      <c r="R607" s="371"/>
      <c r="S607" s="371"/>
      <c r="T607" s="371"/>
      <c r="U607" s="371"/>
      <c r="V607" s="371"/>
      <c r="W607" s="371"/>
      <c r="X607" s="371"/>
      <c r="Y607" s="371"/>
      <c r="Z607" s="371"/>
    </row>
    <row r="608">
      <c r="A608" s="371"/>
      <c r="B608" s="371"/>
      <c r="C608" s="371"/>
      <c r="D608" s="372"/>
      <c r="E608" s="371"/>
      <c r="F608" s="371"/>
      <c r="G608" s="371"/>
      <c r="H608" s="371"/>
      <c r="I608" s="371"/>
      <c r="J608" s="371"/>
      <c r="K608" s="371"/>
      <c r="L608" s="371"/>
      <c r="M608" s="371"/>
      <c r="N608" s="371"/>
      <c r="O608" s="371"/>
      <c r="P608" s="371"/>
      <c r="Q608" s="371"/>
      <c r="R608" s="371"/>
      <c r="S608" s="371"/>
      <c r="T608" s="371"/>
      <c r="U608" s="371"/>
      <c r="V608" s="371"/>
      <c r="W608" s="371"/>
      <c r="X608" s="371"/>
      <c r="Y608" s="371"/>
      <c r="Z608" s="371"/>
    </row>
    <row r="609">
      <c r="A609" s="371"/>
      <c r="B609" s="371"/>
      <c r="C609" s="371"/>
      <c r="D609" s="372"/>
      <c r="E609" s="371"/>
      <c r="F609" s="371"/>
      <c r="G609" s="371"/>
      <c r="H609" s="371"/>
      <c r="I609" s="371"/>
      <c r="J609" s="371"/>
      <c r="K609" s="371"/>
      <c r="L609" s="371"/>
      <c r="M609" s="371"/>
      <c r="N609" s="371"/>
      <c r="O609" s="371"/>
      <c r="P609" s="371"/>
      <c r="Q609" s="371"/>
      <c r="R609" s="371"/>
      <c r="S609" s="371"/>
      <c r="T609" s="371"/>
      <c r="U609" s="371"/>
      <c r="V609" s="371"/>
      <c r="W609" s="371"/>
      <c r="X609" s="371"/>
      <c r="Y609" s="371"/>
      <c r="Z609" s="371"/>
    </row>
    <row r="610">
      <c r="A610" s="371"/>
      <c r="B610" s="371"/>
      <c r="C610" s="371"/>
      <c r="D610" s="372"/>
      <c r="E610" s="371"/>
      <c r="F610" s="371"/>
      <c r="G610" s="371"/>
      <c r="H610" s="371"/>
      <c r="I610" s="371"/>
      <c r="J610" s="371"/>
      <c r="K610" s="371"/>
      <c r="L610" s="371"/>
      <c r="M610" s="371"/>
      <c r="N610" s="371"/>
      <c r="O610" s="371"/>
      <c r="P610" s="371"/>
      <c r="Q610" s="371"/>
      <c r="R610" s="371"/>
      <c r="S610" s="371"/>
      <c r="T610" s="371"/>
      <c r="U610" s="371"/>
      <c r="V610" s="371"/>
      <c r="W610" s="371"/>
      <c r="X610" s="371"/>
      <c r="Y610" s="371"/>
      <c r="Z610" s="371"/>
    </row>
    <row r="611">
      <c r="A611" s="371"/>
      <c r="B611" s="371"/>
      <c r="C611" s="371"/>
      <c r="D611" s="372"/>
      <c r="E611" s="371"/>
      <c r="F611" s="371"/>
      <c r="G611" s="371"/>
      <c r="H611" s="371"/>
      <c r="I611" s="371"/>
      <c r="J611" s="371"/>
      <c r="K611" s="371"/>
      <c r="L611" s="371"/>
      <c r="M611" s="371"/>
      <c r="N611" s="371"/>
      <c r="O611" s="371"/>
      <c r="P611" s="371"/>
      <c r="Q611" s="371"/>
      <c r="R611" s="371"/>
      <c r="S611" s="371"/>
      <c r="T611" s="371"/>
      <c r="U611" s="371"/>
      <c r="V611" s="371"/>
      <c r="W611" s="371"/>
      <c r="X611" s="371"/>
      <c r="Y611" s="371"/>
      <c r="Z611" s="371"/>
    </row>
    <row r="612">
      <c r="A612" s="371"/>
      <c r="B612" s="371"/>
      <c r="C612" s="371"/>
      <c r="D612" s="372"/>
      <c r="E612" s="371"/>
      <c r="F612" s="371"/>
      <c r="G612" s="371"/>
      <c r="H612" s="371"/>
      <c r="I612" s="371"/>
      <c r="J612" s="371"/>
      <c r="K612" s="371"/>
      <c r="L612" s="371"/>
      <c r="M612" s="371"/>
      <c r="N612" s="371"/>
      <c r="O612" s="371"/>
      <c r="P612" s="371"/>
      <c r="Q612" s="371"/>
      <c r="R612" s="371"/>
      <c r="S612" s="371"/>
      <c r="T612" s="371"/>
      <c r="U612" s="371"/>
      <c r="V612" s="371"/>
      <c r="W612" s="371"/>
      <c r="X612" s="371"/>
      <c r="Y612" s="371"/>
      <c r="Z612" s="371"/>
    </row>
    <row r="613">
      <c r="A613" s="371"/>
      <c r="B613" s="371"/>
      <c r="C613" s="371"/>
      <c r="D613" s="372"/>
      <c r="E613" s="371"/>
      <c r="F613" s="371"/>
      <c r="G613" s="371"/>
      <c r="H613" s="371"/>
      <c r="I613" s="371"/>
      <c r="J613" s="371"/>
      <c r="K613" s="371"/>
      <c r="L613" s="371"/>
      <c r="M613" s="371"/>
      <c r="N613" s="371"/>
      <c r="O613" s="371"/>
      <c r="P613" s="371"/>
      <c r="Q613" s="371"/>
      <c r="R613" s="371"/>
      <c r="S613" s="371"/>
      <c r="T613" s="371"/>
      <c r="U613" s="371"/>
      <c r="V613" s="371"/>
      <c r="W613" s="371"/>
      <c r="X613" s="371"/>
      <c r="Y613" s="371"/>
      <c r="Z613" s="371"/>
    </row>
    <row r="614">
      <c r="A614" s="371"/>
      <c r="B614" s="371"/>
      <c r="C614" s="371"/>
      <c r="D614" s="372"/>
      <c r="E614" s="371"/>
      <c r="F614" s="371"/>
      <c r="G614" s="371"/>
      <c r="H614" s="371"/>
      <c r="I614" s="371"/>
      <c r="J614" s="371"/>
      <c r="K614" s="371"/>
      <c r="L614" s="371"/>
      <c r="M614" s="371"/>
      <c r="N614" s="371"/>
      <c r="O614" s="371"/>
      <c r="P614" s="371"/>
      <c r="Q614" s="371"/>
      <c r="R614" s="371"/>
      <c r="S614" s="371"/>
      <c r="T614" s="371"/>
      <c r="U614" s="371"/>
      <c r="V614" s="371"/>
      <c r="W614" s="371"/>
      <c r="X614" s="371"/>
      <c r="Y614" s="371"/>
      <c r="Z614" s="371"/>
    </row>
    <row r="615">
      <c r="A615" s="371"/>
      <c r="B615" s="371"/>
      <c r="C615" s="371"/>
      <c r="D615" s="372"/>
      <c r="E615" s="371"/>
      <c r="F615" s="371"/>
      <c r="G615" s="371"/>
      <c r="H615" s="371"/>
      <c r="I615" s="371"/>
      <c r="J615" s="371"/>
      <c r="K615" s="371"/>
      <c r="L615" s="371"/>
      <c r="M615" s="371"/>
      <c r="N615" s="371"/>
      <c r="O615" s="371"/>
      <c r="P615" s="371"/>
      <c r="Q615" s="371"/>
      <c r="R615" s="371"/>
      <c r="S615" s="371"/>
      <c r="T615" s="371"/>
      <c r="U615" s="371"/>
      <c r="V615" s="371"/>
      <c r="W615" s="371"/>
      <c r="X615" s="371"/>
      <c r="Y615" s="371"/>
      <c r="Z615" s="371"/>
    </row>
    <row r="616">
      <c r="A616" s="371"/>
      <c r="B616" s="371"/>
      <c r="C616" s="371"/>
      <c r="D616" s="372"/>
      <c r="E616" s="371"/>
      <c r="F616" s="371"/>
      <c r="G616" s="371"/>
      <c r="H616" s="371"/>
      <c r="I616" s="371"/>
      <c r="J616" s="371"/>
      <c r="K616" s="371"/>
      <c r="L616" s="371"/>
      <c r="M616" s="371"/>
      <c r="N616" s="371"/>
      <c r="O616" s="371"/>
      <c r="P616" s="371"/>
      <c r="Q616" s="371"/>
      <c r="R616" s="371"/>
      <c r="S616" s="371"/>
      <c r="T616" s="371"/>
      <c r="U616" s="371"/>
      <c r="V616" s="371"/>
      <c r="W616" s="371"/>
      <c r="X616" s="371"/>
      <c r="Y616" s="371"/>
      <c r="Z616" s="371"/>
    </row>
    <row r="617">
      <c r="A617" s="371"/>
      <c r="B617" s="371"/>
      <c r="C617" s="371"/>
      <c r="D617" s="372"/>
      <c r="E617" s="371"/>
      <c r="F617" s="371"/>
      <c r="G617" s="371"/>
      <c r="H617" s="371"/>
      <c r="I617" s="371"/>
      <c r="J617" s="371"/>
      <c r="K617" s="371"/>
      <c r="L617" s="371"/>
      <c r="M617" s="371"/>
      <c r="N617" s="371"/>
      <c r="O617" s="371"/>
      <c r="P617" s="371"/>
      <c r="Q617" s="371"/>
      <c r="R617" s="371"/>
      <c r="S617" s="371"/>
      <c r="T617" s="371"/>
      <c r="U617" s="371"/>
      <c r="V617" s="371"/>
      <c r="W617" s="371"/>
      <c r="X617" s="371"/>
      <c r="Y617" s="371"/>
      <c r="Z617" s="371"/>
    </row>
    <row r="618">
      <c r="A618" s="371"/>
      <c r="B618" s="371"/>
      <c r="C618" s="371"/>
      <c r="D618" s="372"/>
      <c r="E618" s="371"/>
      <c r="F618" s="371"/>
      <c r="G618" s="371"/>
      <c r="H618" s="371"/>
      <c r="I618" s="371"/>
      <c r="J618" s="371"/>
      <c r="K618" s="371"/>
      <c r="L618" s="371"/>
      <c r="M618" s="371"/>
      <c r="N618" s="371"/>
      <c r="O618" s="371"/>
      <c r="P618" s="371"/>
      <c r="Q618" s="371"/>
      <c r="R618" s="371"/>
      <c r="S618" s="371"/>
      <c r="T618" s="371"/>
      <c r="U618" s="371"/>
      <c r="V618" s="371"/>
      <c r="W618" s="371"/>
      <c r="X618" s="371"/>
      <c r="Y618" s="371"/>
      <c r="Z618" s="371"/>
    </row>
    <row r="619">
      <c r="A619" s="371"/>
      <c r="B619" s="371"/>
      <c r="C619" s="371"/>
      <c r="D619" s="372"/>
      <c r="E619" s="371"/>
      <c r="F619" s="371"/>
      <c r="G619" s="371"/>
      <c r="H619" s="371"/>
      <c r="I619" s="371"/>
      <c r="J619" s="371"/>
      <c r="K619" s="371"/>
      <c r="L619" s="371"/>
      <c r="M619" s="371"/>
      <c r="N619" s="371"/>
      <c r="O619" s="371"/>
      <c r="P619" s="371"/>
      <c r="Q619" s="371"/>
      <c r="R619" s="371"/>
      <c r="S619" s="371"/>
      <c r="T619" s="371"/>
      <c r="U619" s="371"/>
      <c r="V619" s="371"/>
      <c r="W619" s="371"/>
      <c r="X619" s="371"/>
      <c r="Y619" s="371"/>
      <c r="Z619" s="371"/>
    </row>
    <row r="620">
      <c r="A620" s="371"/>
      <c r="B620" s="371"/>
      <c r="C620" s="371"/>
      <c r="D620" s="372"/>
      <c r="E620" s="371"/>
      <c r="F620" s="371"/>
      <c r="G620" s="371"/>
      <c r="H620" s="371"/>
      <c r="I620" s="371"/>
      <c r="J620" s="371"/>
      <c r="K620" s="371"/>
      <c r="L620" s="371"/>
      <c r="M620" s="371"/>
      <c r="N620" s="371"/>
      <c r="O620" s="371"/>
      <c r="P620" s="371"/>
      <c r="Q620" s="371"/>
      <c r="R620" s="371"/>
      <c r="S620" s="371"/>
      <c r="T620" s="371"/>
      <c r="U620" s="371"/>
      <c r="V620" s="371"/>
      <c r="W620" s="371"/>
      <c r="X620" s="371"/>
      <c r="Y620" s="371"/>
      <c r="Z620" s="371"/>
    </row>
    <row r="621">
      <c r="A621" s="371"/>
      <c r="B621" s="371"/>
      <c r="C621" s="371"/>
      <c r="D621" s="372"/>
      <c r="E621" s="371"/>
      <c r="F621" s="371"/>
      <c r="G621" s="371"/>
      <c r="H621" s="371"/>
      <c r="I621" s="371"/>
      <c r="J621" s="371"/>
      <c r="K621" s="371"/>
      <c r="L621" s="371"/>
      <c r="M621" s="371"/>
      <c r="N621" s="371"/>
      <c r="O621" s="371"/>
      <c r="P621" s="371"/>
      <c r="Q621" s="371"/>
      <c r="R621" s="371"/>
      <c r="S621" s="371"/>
      <c r="T621" s="371"/>
      <c r="U621" s="371"/>
      <c r="V621" s="371"/>
      <c r="W621" s="371"/>
      <c r="X621" s="371"/>
      <c r="Y621" s="371"/>
      <c r="Z621" s="371"/>
    </row>
    <row r="622">
      <c r="A622" s="371"/>
      <c r="B622" s="371"/>
      <c r="C622" s="371"/>
      <c r="D622" s="372"/>
      <c r="E622" s="371"/>
      <c r="F622" s="371"/>
      <c r="G622" s="371"/>
      <c r="H622" s="371"/>
      <c r="I622" s="371"/>
      <c r="J622" s="371"/>
      <c r="K622" s="371"/>
      <c r="L622" s="371"/>
      <c r="M622" s="371"/>
      <c r="N622" s="371"/>
      <c r="O622" s="371"/>
      <c r="P622" s="371"/>
      <c r="Q622" s="371"/>
      <c r="R622" s="371"/>
      <c r="S622" s="371"/>
      <c r="T622" s="371"/>
      <c r="U622" s="371"/>
      <c r="V622" s="371"/>
      <c r="W622" s="371"/>
      <c r="X622" s="371"/>
      <c r="Y622" s="371"/>
      <c r="Z622" s="371"/>
    </row>
    <row r="623">
      <c r="A623" s="371"/>
      <c r="B623" s="371"/>
      <c r="C623" s="371"/>
      <c r="D623" s="372"/>
      <c r="E623" s="371"/>
      <c r="F623" s="371"/>
      <c r="G623" s="371"/>
      <c r="H623" s="371"/>
      <c r="I623" s="371"/>
      <c r="J623" s="371"/>
      <c r="K623" s="371"/>
      <c r="L623" s="371"/>
      <c r="M623" s="371"/>
      <c r="N623" s="371"/>
      <c r="O623" s="371"/>
      <c r="P623" s="371"/>
      <c r="Q623" s="371"/>
      <c r="R623" s="371"/>
      <c r="S623" s="371"/>
      <c r="T623" s="371"/>
      <c r="U623" s="371"/>
      <c r="V623" s="371"/>
      <c r="W623" s="371"/>
      <c r="X623" s="371"/>
      <c r="Y623" s="371"/>
      <c r="Z623" s="371"/>
    </row>
    <row r="624">
      <c r="A624" s="371"/>
      <c r="B624" s="371"/>
      <c r="C624" s="371"/>
      <c r="D624" s="372"/>
      <c r="E624" s="371"/>
      <c r="F624" s="371"/>
      <c r="G624" s="371"/>
      <c r="H624" s="371"/>
      <c r="I624" s="371"/>
      <c r="J624" s="371"/>
      <c r="K624" s="371"/>
      <c r="L624" s="371"/>
      <c r="M624" s="371"/>
      <c r="N624" s="371"/>
      <c r="O624" s="371"/>
      <c r="P624" s="371"/>
      <c r="Q624" s="371"/>
      <c r="R624" s="371"/>
      <c r="S624" s="371"/>
      <c r="T624" s="371"/>
      <c r="U624" s="371"/>
      <c r="V624" s="371"/>
      <c r="W624" s="371"/>
      <c r="X624" s="371"/>
      <c r="Y624" s="371"/>
      <c r="Z624" s="371"/>
    </row>
    <row r="625">
      <c r="A625" s="371"/>
      <c r="B625" s="371"/>
      <c r="C625" s="371"/>
      <c r="D625" s="372"/>
      <c r="E625" s="371"/>
      <c r="F625" s="371"/>
      <c r="G625" s="371"/>
      <c r="H625" s="371"/>
      <c r="I625" s="371"/>
      <c r="J625" s="371"/>
      <c r="K625" s="371"/>
      <c r="L625" s="371"/>
      <c r="M625" s="371"/>
      <c r="N625" s="371"/>
      <c r="O625" s="371"/>
      <c r="P625" s="371"/>
      <c r="Q625" s="371"/>
      <c r="R625" s="371"/>
      <c r="S625" s="371"/>
      <c r="T625" s="371"/>
      <c r="U625" s="371"/>
      <c r="V625" s="371"/>
      <c r="W625" s="371"/>
      <c r="X625" s="371"/>
      <c r="Y625" s="371"/>
      <c r="Z625" s="371"/>
    </row>
    <row r="626">
      <c r="A626" s="371"/>
      <c r="B626" s="371"/>
      <c r="C626" s="371"/>
      <c r="D626" s="372"/>
      <c r="E626" s="371"/>
      <c r="F626" s="371"/>
      <c r="G626" s="371"/>
      <c r="H626" s="371"/>
      <c r="I626" s="371"/>
      <c r="J626" s="371"/>
      <c r="K626" s="371"/>
      <c r="L626" s="371"/>
      <c r="M626" s="371"/>
      <c r="N626" s="371"/>
      <c r="O626" s="371"/>
      <c r="P626" s="371"/>
      <c r="Q626" s="371"/>
      <c r="R626" s="371"/>
      <c r="S626" s="371"/>
      <c r="T626" s="371"/>
      <c r="U626" s="371"/>
      <c r="V626" s="371"/>
      <c r="W626" s="371"/>
      <c r="X626" s="371"/>
      <c r="Y626" s="371"/>
      <c r="Z626" s="371"/>
    </row>
    <row r="627">
      <c r="A627" s="371"/>
      <c r="B627" s="371"/>
      <c r="C627" s="371"/>
      <c r="D627" s="372"/>
      <c r="E627" s="371"/>
      <c r="F627" s="371"/>
      <c r="G627" s="371"/>
      <c r="H627" s="371"/>
      <c r="I627" s="371"/>
      <c r="J627" s="371"/>
      <c r="K627" s="371"/>
      <c r="L627" s="371"/>
      <c r="M627" s="371"/>
      <c r="N627" s="371"/>
      <c r="O627" s="371"/>
      <c r="P627" s="371"/>
      <c r="Q627" s="371"/>
      <c r="R627" s="371"/>
      <c r="S627" s="371"/>
      <c r="T627" s="371"/>
      <c r="U627" s="371"/>
      <c r="V627" s="371"/>
      <c r="W627" s="371"/>
      <c r="X627" s="371"/>
      <c r="Y627" s="371"/>
      <c r="Z627" s="371"/>
    </row>
    <row r="628">
      <c r="A628" s="371"/>
      <c r="B628" s="371"/>
      <c r="C628" s="371"/>
      <c r="D628" s="372"/>
      <c r="E628" s="371"/>
      <c r="F628" s="371"/>
      <c r="G628" s="371"/>
      <c r="H628" s="371"/>
      <c r="I628" s="371"/>
      <c r="J628" s="371"/>
      <c r="K628" s="371"/>
      <c r="L628" s="371"/>
      <c r="M628" s="371"/>
      <c r="N628" s="371"/>
      <c r="O628" s="371"/>
      <c r="P628" s="371"/>
      <c r="Q628" s="371"/>
      <c r="R628" s="371"/>
      <c r="S628" s="371"/>
      <c r="T628" s="371"/>
      <c r="U628" s="371"/>
      <c r="V628" s="371"/>
      <c r="W628" s="371"/>
      <c r="X628" s="371"/>
      <c r="Y628" s="371"/>
      <c r="Z628" s="371"/>
    </row>
    <row r="629">
      <c r="A629" s="371"/>
      <c r="B629" s="371"/>
      <c r="C629" s="371"/>
      <c r="D629" s="372"/>
      <c r="E629" s="371"/>
      <c r="F629" s="371"/>
      <c r="G629" s="371"/>
      <c r="H629" s="371"/>
      <c r="I629" s="371"/>
      <c r="J629" s="371"/>
      <c r="K629" s="371"/>
      <c r="L629" s="371"/>
      <c r="M629" s="371"/>
      <c r="N629" s="371"/>
      <c r="O629" s="371"/>
      <c r="P629" s="371"/>
      <c r="Q629" s="371"/>
      <c r="R629" s="371"/>
      <c r="S629" s="371"/>
      <c r="T629" s="371"/>
      <c r="U629" s="371"/>
      <c r="V629" s="371"/>
      <c r="W629" s="371"/>
      <c r="X629" s="371"/>
      <c r="Y629" s="371"/>
      <c r="Z629" s="371"/>
    </row>
    <row r="630">
      <c r="A630" s="371"/>
      <c r="B630" s="371"/>
      <c r="C630" s="371"/>
      <c r="D630" s="372"/>
      <c r="E630" s="371"/>
      <c r="F630" s="371"/>
      <c r="G630" s="371"/>
      <c r="H630" s="371"/>
      <c r="I630" s="371"/>
      <c r="J630" s="371"/>
      <c r="K630" s="371"/>
      <c r="L630" s="371"/>
      <c r="M630" s="371"/>
      <c r="N630" s="371"/>
      <c r="O630" s="371"/>
      <c r="P630" s="371"/>
      <c r="Q630" s="371"/>
      <c r="R630" s="371"/>
      <c r="S630" s="371"/>
      <c r="T630" s="371"/>
      <c r="U630" s="371"/>
      <c r="V630" s="371"/>
      <c r="W630" s="371"/>
      <c r="X630" s="371"/>
      <c r="Y630" s="371"/>
      <c r="Z630" s="371"/>
    </row>
    <row r="631">
      <c r="A631" s="371"/>
      <c r="B631" s="371"/>
      <c r="C631" s="371"/>
      <c r="D631" s="372"/>
      <c r="E631" s="371"/>
      <c r="F631" s="371"/>
      <c r="G631" s="371"/>
      <c r="H631" s="371"/>
      <c r="I631" s="371"/>
      <c r="J631" s="371"/>
      <c r="K631" s="371"/>
      <c r="L631" s="371"/>
      <c r="M631" s="371"/>
      <c r="N631" s="371"/>
      <c r="O631" s="371"/>
      <c r="P631" s="371"/>
      <c r="Q631" s="371"/>
      <c r="R631" s="371"/>
      <c r="S631" s="371"/>
      <c r="T631" s="371"/>
      <c r="U631" s="371"/>
      <c r="V631" s="371"/>
      <c r="W631" s="371"/>
      <c r="X631" s="371"/>
      <c r="Y631" s="371"/>
      <c r="Z631" s="371"/>
    </row>
    <row r="632">
      <c r="A632" s="371"/>
      <c r="B632" s="371"/>
      <c r="C632" s="371"/>
      <c r="D632" s="372"/>
      <c r="E632" s="371"/>
      <c r="F632" s="371"/>
      <c r="G632" s="371"/>
      <c r="H632" s="371"/>
      <c r="I632" s="371"/>
      <c r="J632" s="371"/>
      <c r="K632" s="371"/>
      <c r="L632" s="371"/>
      <c r="M632" s="371"/>
      <c r="N632" s="371"/>
      <c r="O632" s="371"/>
      <c r="P632" s="371"/>
      <c r="Q632" s="371"/>
      <c r="R632" s="371"/>
      <c r="S632" s="371"/>
      <c r="T632" s="371"/>
      <c r="U632" s="371"/>
      <c r="V632" s="371"/>
      <c r="W632" s="371"/>
      <c r="X632" s="371"/>
      <c r="Y632" s="371"/>
      <c r="Z632" s="371"/>
    </row>
    <row r="633">
      <c r="A633" s="371"/>
      <c r="B633" s="371"/>
      <c r="C633" s="371"/>
      <c r="D633" s="372"/>
      <c r="E633" s="371"/>
      <c r="F633" s="371"/>
      <c r="G633" s="371"/>
      <c r="H633" s="371"/>
      <c r="I633" s="371"/>
      <c r="J633" s="371"/>
      <c r="K633" s="371"/>
      <c r="L633" s="371"/>
      <c r="M633" s="371"/>
      <c r="N633" s="371"/>
      <c r="O633" s="371"/>
      <c r="P633" s="371"/>
      <c r="Q633" s="371"/>
      <c r="R633" s="371"/>
      <c r="S633" s="371"/>
      <c r="T633" s="371"/>
      <c r="U633" s="371"/>
      <c r="V633" s="371"/>
      <c r="W633" s="371"/>
      <c r="X633" s="371"/>
      <c r="Y633" s="371"/>
      <c r="Z633" s="371"/>
    </row>
    <row r="634">
      <c r="A634" s="371"/>
      <c r="B634" s="371"/>
      <c r="C634" s="371"/>
      <c r="D634" s="372"/>
      <c r="E634" s="371"/>
      <c r="F634" s="371"/>
      <c r="G634" s="371"/>
      <c r="H634" s="371"/>
      <c r="I634" s="371"/>
      <c r="J634" s="371"/>
      <c r="K634" s="371"/>
      <c r="L634" s="371"/>
      <c r="M634" s="371"/>
      <c r="N634" s="371"/>
      <c r="O634" s="371"/>
      <c r="P634" s="371"/>
      <c r="Q634" s="371"/>
      <c r="R634" s="371"/>
      <c r="S634" s="371"/>
      <c r="T634" s="371"/>
      <c r="U634" s="371"/>
      <c r="V634" s="371"/>
      <c r="W634" s="371"/>
      <c r="X634" s="371"/>
      <c r="Y634" s="371"/>
      <c r="Z634" s="371"/>
    </row>
    <row r="635">
      <c r="A635" s="371"/>
      <c r="B635" s="371"/>
      <c r="C635" s="371"/>
      <c r="D635" s="372"/>
      <c r="E635" s="371"/>
      <c r="F635" s="371"/>
      <c r="G635" s="371"/>
      <c r="H635" s="371"/>
      <c r="I635" s="371"/>
      <c r="J635" s="371"/>
      <c r="K635" s="371"/>
      <c r="L635" s="371"/>
      <c r="M635" s="371"/>
      <c r="N635" s="371"/>
      <c r="O635" s="371"/>
      <c r="P635" s="371"/>
      <c r="Q635" s="371"/>
      <c r="R635" s="371"/>
      <c r="S635" s="371"/>
      <c r="T635" s="371"/>
      <c r="U635" s="371"/>
      <c r="V635" s="371"/>
      <c r="W635" s="371"/>
      <c r="X635" s="371"/>
      <c r="Y635" s="371"/>
      <c r="Z635" s="371"/>
    </row>
    <row r="636">
      <c r="A636" s="371"/>
      <c r="B636" s="371"/>
      <c r="C636" s="371"/>
      <c r="D636" s="372"/>
      <c r="E636" s="371"/>
      <c r="F636" s="371"/>
      <c r="G636" s="371"/>
      <c r="H636" s="371"/>
      <c r="I636" s="371"/>
      <c r="J636" s="371"/>
      <c r="K636" s="371"/>
      <c r="L636" s="371"/>
      <c r="M636" s="371"/>
      <c r="N636" s="371"/>
      <c r="O636" s="371"/>
      <c r="P636" s="371"/>
      <c r="Q636" s="371"/>
      <c r="R636" s="371"/>
      <c r="S636" s="371"/>
      <c r="T636" s="371"/>
      <c r="U636" s="371"/>
      <c r="V636" s="371"/>
      <c r="W636" s="371"/>
      <c r="X636" s="371"/>
      <c r="Y636" s="371"/>
      <c r="Z636" s="371"/>
    </row>
    <row r="637">
      <c r="A637" s="371"/>
      <c r="B637" s="371"/>
      <c r="C637" s="371"/>
      <c r="D637" s="372"/>
      <c r="E637" s="371"/>
      <c r="F637" s="371"/>
      <c r="G637" s="371"/>
      <c r="H637" s="371"/>
      <c r="I637" s="371"/>
      <c r="J637" s="371"/>
      <c r="K637" s="371"/>
      <c r="L637" s="371"/>
      <c r="M637" s="371"/>
      <c r="N637" s="371"/>
      <c r="O637" s="371"/>
      <c r="P637" s="371"/>
      <c r="Q637" s="371"/>
      <c r="R637" s="371"/>
      <c r="S637" s="371"/>
      <c r="T637" s="371"/>
      <c r="U637" s="371"/>
      <c r="V637" s="371"/>
      <c r="W637" s="371"/>
      <c r="X637" s="371"/>
      <c r="Y637" s="371"/>
      <c r="Z637" s="371"/>
    </row>
    <row r="638">
      <c r="A638" s="371"/>
      <c r="B638" s="371"/>
      <c r="C638" s="371"/>
      <c r="D638" s="372"/>
      <c r="E638" s="371"/>
      <c r="F638" s="371"/>
      <c r="G638" s="371"/>
      <c r="H638" s="371"/>
      <c r="I638" s="371"/>
      <c r="J638" s="371"/>
      <c r="K638" s="371"/>
      <c r="L638" s="371"/>
      <c r="M638" s="371"/>
      <c r="N638" s="371"/>
      <c r="O638" s="371"/>
      <c r="P638" s="371"/>
      <c r="Q638" s="371"/>
      <c r="R638" s="371"/>
      <c r="S638" s="371"/>
      <c r="T638" s="371"/>
      <c r="U638" s="371"/>
      <c r="V638" s="371"/>
      <c r="W638" s="371"/>
      <c r="X638" s="371"/>
      <c r="Y638" s="371"/>
      <c r="Z638" s="371"/>
    </row>
    <row r="639">
      <c r="A639" s="371"/>
      <c r="B639" s="371"/>
      <c r="C639" s="371"/>
      <c r="D639" s="372"/>
      <c r="E639" s="371"/>
      <c r="F639" s="371"/>
      <c r="G639" s="371"/>
      <c r="H639" s="371"/>
      <c r="I639" s="371"/>
      <c r="J639" s="371"/>
      <c r="K639" s="371"/>
      <c r="L639" s="371"/>
      <c r="M639" s="371"/>
      <c r="N639" s="371"/>
      <c r="O639" s="371"/>
      <c r="P639" s="371"/>
      <c r="Q639" s="371"/>
      <c r="R639" s="371"/>
      <c r="S639" s="371"/>
      <c r="T639" s="371"/>
      <c r="U639" s="371"/>
      <c r="V639" s="371"/>
      <c r="W639" s="371"/>
      <c r="X639" s="371"/>
      <c r="Y639" s="371"/>
      <c r="Z639" s="371"/>
    </row>
    <row r="640">
      <c r="A640" s="371"/>
      <c r="B640" s="371"/>
      <c r="C640" s="371"/>
      <c r="D640" s="372"/>
      <c r="E640" s="371"/>
      <c r="F640" s="371"/>
      <c r="G640" s="371"/>
      <c r="H640" s="371"/>
      <c r="I640" s="371"/>
      <c r="J640" s="371"/>
      <c r="K640" s="371"/>
      <c r="L640" s="371"/>
      <c r="M640" s="371"/>
      <c r="N640" s="371"/>
      <c r="O640" s="371"/>
      <c r="P640" s="371"/>
      <c r="Q640" s="371"/>
      <c r="R640" s="371"/>
      <c r="S640" s="371"/>
      <c r="T640" s="371"/>
      <c r="U640" s="371"/>
      <c r="V640" s="371"/>
      <c r="W640" s="371"/>
      <c r="X640" s="371"/>
      <c r="Y640" s="371"/>
      <c r="Z640" s="371"/>
    </row>
    <row r="641">
      <c r="A641" s="371"/>
      <c r="B641" s="371"/>
      <c r="C641" s="371"/>
      <c r="D641" s="372"/>
      <c r="E641" s="371"/>
      <c r="F641" s="371"/>
      <c r="G641" s="371"/>
      <c r="H641" s="371"/>
      <c r="I641" s="371"/>
      <c r="J641" s="371"/>
      <c r="K641" s="371"/>
      <c r="L641" s="371"/>
      <c r="M641" s="371"/>
      <c r="N641" s="371"/>
      <c r="O641" s="371"/>
      <c r="P641" s="371"/>
      <c r="Q641" s="371"/>
      <c r="R641" s="371"/>
      <c r="S641" s="371"/>
      <c r="T641" s="371"/>
      <c r="U641" s="371"/>
      <c r="V641" s="371"/>
      <c r="W641" s="371"/>
      <c r="X641" s="371"/>
      <c r="Y641" s="371"/>
      <c r="Z641" s="371"/>
    </row>
    <row r="642">
      <c r="A642" s="371"/>
      <c r="B642" s="371"/>
      <c r="C642" s="371"/>
      <c r="D642" s="372"/>
      <c r="E642" s="371"/>
      <c r="F642" s="371"/>
      <c r="G642" s="371"/>
      <c r="H642" s="371"/>
      <c r="I642" s="371"/>
      <c r="J642" s="371"/>
      <c r="K642" s="371"/>
      <c r="L642" s="371"/>
      <c r="M642" s="371"/>
      <c r="N642" s="371"/>
      <c r="O642" s="371"/>
      <c r="P642" s="371"/>
      <c r="Q642" s="371"/>
      <c r="R642" s="371"/>
      <c r="S642" s="371"/>
      <c r="T642" s="371"/>
      <c r="U642" s="371"/>
      <c r="V642" s="371"/>
      <c r="W642" s="371"/>
      <c r="X642" s="371"/>
      <c r="Y642" s="371"/>
      <c r="Z642" s="371"/>
    </row>
    <row r="643">
      <c r="A643" s="371"/>
      <c r="B643" s="371"/>
      <c r="C643" s="371"/>
      <c r="D643" s="372"/>
      <c r="E643" s="371"/>
      <c r="F643" s="371"/>
      <c r="G643" s="371"/>
      <c r="H643" s="371"/>
      <c r="I643" s="371"/>
      <c r="J643" s="371"/>
      <c r="K643" s="371"/>
      <c r="L643" s="371"/>
      <c r="M643" s="371"/>
      <c r="N643" s="371"/>
      <c r="O643" s="371"/>
      <c r="P643" s="371"/>
      <c r="Q643" s="371"/>
      <c r="R643" s="371"/>
      <c r="S643" s="371"/>
      <c r="T643" s="371"/>
      <c r="U643" s="371"/>
      <c r="V643" s="371"/>
      <c r="W643" s="371"/>
      <c r="X643" s="371"/>
      <c r="Y643" s="371"/>
      <c r="Z643" s="371"/>
    </row>
    <row r="644">
      <c r="A644" s="371"/>
      <c r="B644" s="371"/>
      <c r="C644" s="371"/>
      <c r="D644" s="372"/>
      <c r="E644" s="371"/>
      <c r="F644" s="371"/>
      <c r="G644" s="371"/>
      <c r="H644" s="371"/>
      <c r="I644" s="371"/>
      <c r="J644" s="371"/>
      <c r="K644" s="371"/>
      <c r="L644" s="371"/>
      <c r="M644" s="371"/>
      <c r="N644" s="371"/>
      <c r="O644" s="371"/>
      <c r="P644" s="371"/>
      <c r="Q644" s="371"/>
      <c r="R644" s="371"/>
      <c r="S644" s="371"/>
      <c r="T644" s="371"/>
      <c r="U644" s="371"/>
      <c r="V644" s="371"/>
      <c r="W644" s="371"/>
      <c r="X644" s="371"/>
      <c r="Y644" s="371"/>
      <c r="Z644" s="371"/>
    </row>
    <row r="645">
      <c r="A645" s="371"/>
      <c r="B645" s="371"/>
      <c r="C645" s="371"/>
      <c r="D645" s="372"/>
      <c r="E645" s="371"/>
      <c r="F645" s="371"/>
      <c r="G645" s="371"/>
      <c r="H645" s="371"/>
      <c r="I645" s="371"/>
      <c r="J645" s="371"/>
      <c r="K645" s="371"/>
      <c r="L645" s="371"/>
      <c r="M645" s="371"/>
      <c r="N645" s="371"/>
      <c r="O645" s="371"/>
      <c r="P645" s="371"/>
      <c r="Q645" s="371"/>
      <c r="R645" s="371"/>
      <c r="S645" s="371"/>
      <c r="T645" s="371"/>
      <c r="U645" s="371"/>
      <c r="V645" s="371"/>
      <c r="W645" s="371"/>
      <c r="X645" s="371"/>
      <c r="Y645" s="371"/>
      <c r="Z645" s="371"/>
    </row>
    <row r="646">
      <c r="A646" s="371"/>
      <c r="B646" s="371"/>
      <c r="C646" s="371"/>
      <c r="D646" s="372"/>
      <c r="E646" s="371"/>
      <c r="F646" s="371"/>
      <c r="G646" s="371"/>
      <c r="H646" s="371"/>
      <c r="I646" s="371"/>
      <c r="J646" s="371"/>
      <c r="K646" s="371"/>
      <c r="L646" s="371"/>
      <c r="M646" s="371"/>
      <c r="N646" s="371"/>
      <c r="O646" s="371"/>
      <c r="P646" s="371"/>
      <c r="Q646" s="371"/>
      <c r="R646" s="371"/>
      <c r="S646" s="371"/>
      <c r="T646" s="371"/>
      <c r="U646" s="371"/>
      <c r="V646" s="371"/>
      <c r="W646" s="371"/>
      <c r="X646" s="371"/>
      <c r="Y646" s="371"/>
      <c r="Z646" s="371"/>
    </row>
    <row r="647">
      <c r="A647" s="371"/>
      <c r="B647" s="371"/>
      <c r="C647" s="371"/>
      <c r="D647" s="372"/>
      <c r="E647" s="371"/>
      <c r="F647" s="371"/>
      <c r="G647" s="371"/>
      <c r="H647" s="371"/>
      <c r="I647" s="371"/>
      <c r="J647" s="371"/>
      <c r="K647" s="371"/>
      <c r="L647" s="371"/>
      <c r="M647" s="371"/>
      <c r="N647" s="371"/>
      <c r="O647" s="371"/>
      <c r="P647" s="371"/>
      <c r="Q647" s="371"/>
      <c r="R647" s="371"/>
      <c r="S647" s="371"/>
      <c r="T647" s="371"/>
      <c r="U647" s="371"/>
      <c r="V647" s="371"/>
      <c r="W647" s="371"/>
      <c r="X647" s="371"/>
      <c r="Y647" s="371"/>
      <c r="Z647" s="371"/>
    </row>
    <row r="648">
      <c r="A648" s="371"/>
      <c r="B648" s="371"/>
      <c r="C648" s="371"/>
      <c r="D648" s="372"/>
      <c r="E648" s="371"/>
      <c r="F648" s="371"/>
      <c r="G648" s="371"/>
      <c r="H648" s="371"/>
      <c r="I648" s="371"/>
      <c r="J648" s="371"/>
      <c r="K648" s="371"/>
      <c r="L648" s="371"/>
      <c r="M648" s="371"/>
      <c r="N648" s="371"/>
      <c r="O648" s="371"/>
      <c r="P648" s="371"/>
      <c r="Q648" s="371"/>
      <c r="R648" s="371"/>
      <c r="S648" s="371"/>
      <c r="T648" s="371"/>
      <c r="U648" s="371"/>
      <c r="V648" s="371"/>
      <c r="W648" s="371"/>
      <c r="X648" s="371"/>
      <c r="Y648" s="371"/>
      <c r="Z648" s="371"/>
    </row>
    <row r="649">
      <c r="A649" s="371"/>
      <c r="B649" s="371"/>
      <c r="C649" s="371"/>
      <c r="D649" s="372"/>
      <c r="E649" s="371"/>
      <c r="F649" s="371"/>
      <c r="G649" s="371"/>
      <c r="H649" s="371"/>
      <c r="I649" s="371"/>
      <c r="J649" s="371"/>
      <c r="K649" s="371"/>
      <c r="L649" s="371"/>
      <c r="M649" s="371"/>
      <c r="N649" s="371"/>
      <c r="O649" s="371"/>
      <c r="P649" s="371"/>
      <c r="Q649" s="371"/>
      <c r="R649" s="371"/>
      <c r="S649" s="371"/>
      <c r="T649" s="371"/>
      <c r="U649" s="371"/>
      <c r="V649" s="371"/>
      <c r="W649" s="371"/>
      <c r="X649" s="371"/>
      <c r="Y649" s="371"/>
      <c r="Z649" s="371"/>
    </row>
    <row r="650">
      <c r="A650" s="371"/>
      <c r="B650" s="371"/>
      <c r="C650" s="371"/>
      <c r="D650" s="372"/>
      <c r="E650" s="371"/>
      <c r="F650" s="371"/>
      <c r="G650" s="371"/>
      <c r="H650" s="371"/>
      <c r="I650" s="371"/>
      <c r="J650" s="371"/>
      <c r="K650" s="371"/>
      <c r="L650" s="371"/>
      <c r="M650" s="371"/>
      <c r="N650" s="371"/>
      <c r="O650" s="371"/>
      <c r="P650" s="371"/>
      <c r="Q650" s="371"/>
      <c r="R650" s="371"/>
      <c r="S650" s="371"/>
      <c r="T650" s="371"/>
      <c r="U650" s="371"/>
      <c r="V650" s="371"/>
      <c r="W650" s="371"/>
      <c r="X650" s="371"/>
      <c r="Y650" s="371"/>
      <c r="Z650" s="371"/>
    </row>
    <row r="651">
      <c r="A651" s="371"/>
      <c r="B651" s="371"/>
      <c r="C651" s="371"/>
      <c r="D651" s="372"/>
      <c r="E651" s="371"/>
      <c r="F651" s="371"/>
      <c r="G651" s="371"/>
      <c r="H651" s="371"/>
      <c r="I651" s="371"/>
      <c r="J651" s="371"/>
      <c r="K651" s="371"/>
      <c r="L651" s="371"/>
      <c r="M651" s="371"/>
      <c r="N651" s="371"/>
      <c r="O651" s="371"/>
      <c r="P651" s="371"/>
      <c r="Q651" s="371"/>
      <c r="R651" s="371"/>
      <c r="S651" s="371"/>
      <c r="T651" s="371"/>
      <c r="U651" s="371"/>
      <c r="V651" s="371"/>
      <c r="W651" s="371"/>
      <c r="X651" s="371"/>
      <c r="Y651" s="371"/>
      <c r="Z651" s="371"/>
    </row>
    <row r="652">
      <c r="A652" s="371"/>
      <c r="B652" s="371"/>
      <c r="C652" s="371"/>
      <c r="D652" s="372"/>
      <c r="E652" s="371"/>
      <c r="F652" s="371"/>
      <c r="G652" s="371"/>
      <c r="H652" s="371"/>
      <c r="I652" s="371"/>
      <c r="J652" s="371"/>
      <c r="K652" s="371"/>
      <c r="L652" s="371"/>
      <c r="M652" s="371"/>
      <c r="N652" s="371"/>
      <c r="O652" s="371"/>
      <c r="P652" s="371"/>
      <c r="Q652" s="371"/>
      <c r="R652" s="371"/>
      <c r="S652" s="371"/>
      <c r="T652" s="371"/>
      <c r="U652" s="371"/>
      <c r="V652" s="371"/>
      <c r="W652" s="371"/>
      <c r="X652" s="371"/>
      <c r="Y652" s="371"/>
      <c r="Z652" s="371"/>
    </row>
    <row r="653">
      <c r="A653" s="371"/>
      <c r="B653" s="371"/>
      <c r="C653" s="371"/>
      <c r="D653" s="372"/>
      <c r="E653" s="371"/>
      <c r="F653" s="371"/>
      <c r="G653" s="371"/>
      <c r="H653" s="371"/>
      <c r="I653" s="371"/>
      <c r="J653" s="371"/>
      <c r="K653" s="371"/>
      <c r="L653" s="371"/>
      <c r="M653" s="371"/>
      <c r="N653" s="371"/>
      <c r="O653" s="371"/>
      <c r="P653" s="371"/>
      <c r="Q653" s="371"/>
      <c r="R653" s="371"/>
      <c r="S653" s="371"/>
      <c r="T653" s="371"/>
      <c r="U653" s="371"/>
      <c r="V653" s="371"/>
      <c r="W653" s="371"/>
      <c r="X653" s="371"/>
      <c r="Y653" s="371"/>
      <c r="Z653" s="371"/>
    </row>
    <row r="654">
      <c r="A654" s="371"/>
      <c r="B654" s="371"/>
      <c r="C654" s="371"/>
      <c r="D654" s="372"/>
      <c r="E654" s="371"/>
      <c r="F654" s="371"/>
      <c r="G654" s="371"/>
      <c r="H654" s="371"/>
      <c r="I654" s="371"/>
      <c r="J654" s="371"/>
      <c r="K654" s="371"/>
      <c r="L654" s="371"/>
      <c r="M654" s="371"/>
      <c r="N654" s="371"/>
      <c r="O654" s="371"/>
      <c r="P654" s="371"/>
      <c r="Q654" s="371"/>
      <c r="R654" s="371"/>
      <c r="S654" s="371"/>
      <c r="T654" s="371"/>
      <c r="U654" s="371"/>
      <c r="V654" s="371"/>
      <c r="W654" s="371"/>
      <c r="X654" s="371"/>
      <c r="Y654" s="371"/>
      <c r="Z654" s="371"/>
    </row>
    <row r="655">
      <c r="A655" s="371"/>
      <c r="B655" s="371"/>
      <c r="C655" s="371"/>
      <c r="D655" s="372"/>
      <c r="E655" s="371"/>
      <c r="F655" s="371"/>
      <c r="G655" s="371"/>
      <c r="H655" s="371"/>
      <c r="I655" s="371"/>
      <c r="J655" s="371"/>
      <c r="K655" s="371"/>
      <c r="L655" s="371"/>
      <c r="M655" s="371"/>
      <c r="N655" s="371"/>
      <c r="O655" s="371"/>
      <c r="P655" s="371"/>
      <c r="Q655" s="371"/>
      <c r="R655" s="371"/>
      <c r="S655" s="371"/>
      <c r="T655" s="371"/>
      <c r="U655" s="371"/>
      <c r="V655" s="371"/>
      <c r="W655" s="371"/>
      <c r="X655" s="371"/>
      <c r="Y655" s="371"/>
      <c r="Z655" s="371"/>
    </row>
    <row r="656">
      <c r="A656" s="371"/>
      <c r="B656" s="371"/>
      <c r="C656" s="371"/>
      <c r="D656" s="372"/>
      <c r="E656" s="371"/>
      <c r="F656" s="371"/>
      <c r="G656" s="371"/>
      <c r="H656" s="371"/>
      <c r="I656" s="371"/>
      <c r="J656" s="371"/>
      <c r="K656" s="371"/>
      <c r="L656" s="371"/>
      <c r="M656" s="371"/>
      <c r="N656" s="371"/>
      <c r="O656" s="371"/>
      <c r="P656" s="371"/>
      <c r="Q656" s="371"/>
      <c r="R656" s="371"/>
      <c r="S656" s="371"/>
      <c r="T656" s="371"/>
      <c r="U656" s="371"/>
      <c r="V656" s="371"/>
      <c r="W656" s="371"/>
      <c r="X656" s="371"/>
      <c r="Y656" s="371"/>
      <c r="Z656" s="371"/>
    </row>
    <row r="657">
      <c r="A657" s="371"/>
      <c r="B657" s="371"/>
      <c r="C657" s="371"/>
      <c r="D657" s="372"/>
      <c r="E657" s="371"/>
      <c r="F657" s="371"/>
      <c r="G657" s="371"/>
      <c r="H657" s="371"/>
      <c r="I657" s="371"/>
      <c r="J657" s="371"/>
      <c r="K657" s="371"/>
      <c r="L657" s="371"/>
      <c r="M657" s="371"/>
      <c r="N657" s="371"/>
      <c r="O657" s="371"/>
      <c r="P657" s="371"/>
      <c r="Q657" s="371"/>
      <c r="R657" s="371"/>
      <c r="S657" s="371"/>
      <c r="T657" s="371"/>
      <c r="U657" s="371"/>
      <c r="V657" s="371"/>
      <c r="W657" s="371"/>
      <c r="X657" s="371"/>
      <c r="Y657" s="371"/>
      <c r="Z657" s="371"/>
    </row>
    <row r="658">
      <c r="A658" s="371"/>
      <c r="B658" s="371"/>
      <c r="C658" s="371"/>
      <c r="D658" s="372"/>
      <c r="E658" s="371"/>
      <c r="F658" s="371"/>
      <c r="G658" s="371"/>
      <c r="H658" s="371"/>
      <c r="I658" s="371"/>
      <c r="J658" s="371"/>
      <c r="K658" s="371"/>
      <c r="L658" s="371"/>
      <c r="M658" s="371"/>
      <c r="N658" s="371"/>
      <c r="O658" s="371"/>
      <c r="P658" s="371"/>
      <c r="Q658" s="371"/>
      <c r="R658" s="371"/>
      <c r="S658" s="371"/>
      <c r="T658" s="371"/>
      <c r="U658" s="371"/>
      <c r="V658" s="371"/>
      <c r="W658" s="371"/>
      <c r="X658" s="371"/>
      <c r="Y658" s="371"/>
      <c r="Z658" s="371"/>
    </row>
    <row r="659">
      <c r="A659" s="371"/>
      <c r="B659" s="371"/>
      <c r="C659" s="371"/>
      <c r="D659" s="372"/>
      <c r="E659" s="371"/>
      <c r="F659" s="371"/>
      <c r="G659" s="371"/>
      <c r="H659" s="371"/>
      <c r="I659" s="371"/>
      <c r="J659" s="371"/>
      <c r="K659" s="371"/>
      <c r="L659" s="371"/>
      <c r="M659" s="371"/>
      <c r="N659" s="371"/>
      <c r="O659" s="371"/>
      <c r="P659" s="371"/>
      <c r="Q659" s="371"/>
      <c r="R659" s="371"/>
      <c r="S659" s="371"/>
      <c r="T659" s="371"/>
      <c r="U659" s="371"/>
      <c r="V659" s="371"/>
      <c r="W659" s="371"/>
      <c r="X659" s="371"/>
      <c r="Y659" s="371"/>
      <c r="Z659" s="371"/>
    </row>
    <row r="660">
      <c r="A660" s="371"/>
      <c r="B660" s="371"/>
      <c r="C660" s="371"/>
      <c r="D660" s="372"/>
      <c r="E660" s="371"/>
      <c r="F660" s="371"/>
      <c r="G660" s="371"/>
      <c r="H660" s="371"/>
      <c r="I660" s="371"/>
      <c r="J660" s="371"/>
      <c r="K660" s="371"/>
      <c r="L660" s="371"/>
      <c r="M660" s="371"/>
      <c r="N660" s="371"/>
      <c r="O660" s="371"/>
      <c r="P660" s="371"/>
      <c r="Q660" s="371"/>
      <c r="R660" s="371"/>
      <c r="S660" s="371"/>
      <c r="T660" s="371"/>
      <c r="U660" s="371"/>
      <c r="V660" s="371"/>
      <c r="W660" s="371"/>
      <c r="X660" s="371"/>
      <c r="Y660" s="371"/>
      <c r="Z660" s="371"/>
    </row>
    <row r="661">
      <c r="A661" s="371"/>
      <c r="B661" s="371"/>
      <c r="C661" s="371"/>
      <c r="D661" s="372"/>
      <c r="E661" s="371"/>
      <c r="F661" s="371"/>
      <c r="G661" s="371"/>
      <c r="H661" s="371"/>
      <c r="I661" s="371"/>
      <c r="J661" s="371"/>
      <c r="K661" s="371"/>
      <c r="L661" s="371"/>
      <c r="M661" s="371"/>
      <c r="N661" s="371"/>
      <c r="O661" s="371"/>
      <c r="P661" s="371"/>
      <c r="Q661" s="371"/>
      <c r="R661" s="371"/>
      <c r="S661" s="371"/>
      <c r="T661" s="371"/>
      <c r="U661" s="371"/>
      <c r="V661" s="371"/>
      <c r="W661" s="371"/>
      <c r="X661" s="371"/>
      <c r="Y661" s="371"/>
      <c r="Z661" s="371"/>
    </row>
    <row r="662">
      <c r="A662" s="371"/>
      <c r="B662" s="371"/>
      <c r="C662" s="371"/>
      <c r="D662" s="372"/>
      <c r="E662" s="371"/>
      <c r="F662" s="371"/>
      <c r="G662" s="371"/>
      <c r="H662" s="371"/>
      <c r="I662" s="371"/>
      <c r="J662" s="371"/>
      <c r="K662" s="371"/>
      <c r="L662" s="371"/>
      <c r="M662" s="371"/>
      <c r="N662" s="371"/>
      <c r="O662" s="371"/>
      <c r="P662" s="371"/>
      <c r="Q662" s="371"/>
      <c r="R662" s="371"/>
      <c r="S662" s="371"/>
      <c r="T662" s="371"/>
      <c r="U662" s="371"/>
      <c r="V662" s="371"/>
      <c r="W662" s="371"/>
      <c r="X662" s="371"/>
      <c r="Y662" s="371"/>
      <c r="Z662" s="371"/>
    </row>
    <row r="663">
      <c r="A663" s="371"/>
      <c r="B663" s="371"/>
      <c r="C663" s="371"/>
      <c r="D663" s="372"/>
      <c r="E663" s="371"/>
      <c r="F663" s="371"/>
      <c r="G663" s="371"/>
      <c r="H663" s="371"/>
      <c r="I663" s="371"/>
      <c r="J663" s="371"/>
      <c r="K663" s="371"/>
      <c r="L663" s="371"/>
      <c r="M663" s="371"/>
      <c r="N663" s="371"/>
      <c r="O663" s="371"/>
      <c r="P663" s="371"/>
      <c r="Q663" s="371"/>
      <c r="R663" s="371"/>
      <c r="S663" s="371"/>
      <c r="T663" s="371"/>
      <c r="U663" s="371"/>
      <c r="V663" s="371"/>
      <c r="W663" s="371"/>
      <c r="X663" s="371"/>
      <c r="Y663" s="371"/>
      <c r="Z663" s="371"/>
    </row>
    <row r="664">
      <c r="A664" s="371"/>
      <c r="B664" s="371"/>
      <c r="C664" s="371"/>
      <c r="D664" s="372"/>
      <c r="E664" s="371"/>
      <c r="F664" s="371"/>
      <c r="G664" s="371"/>
      <c r="H664" s="371"/>
      <c r="I664" s="371"/>
      <c r="J664" s="371"/>
      <c r="K664" s="371"/>
      <c r="L664" s="371"/>
      <c r="M664" s="371"/>
      <c r="N664" s="371"/>
      <c r="O664" s="371"/>
      <c r="P664" s="371"/>
      <c r="Q664" s="371"/>
      <c r="R664" s="371"/>
      <c r="S664" s="371"/>
      <c r="T664" s="371"/>
      <c r="U664" s="371"/>
      <c r="V664" s="371"/>
      <c r="W664" s="371"/>
      <c r="X664" s="371"/>
      <c r="Y664" s="371"/>
      <c r="Z664" s="371"/>
    </row>
    <row r="665">
      <c r="A665" s="371"/>
      <c r="B665" s="371"/>
      <c r="C665" s="371"/>
      <c r="D665" s="372"/>
      <c r="E665" s="371"/>
      <c r="F665" s="371"/>
      <c r="G665" s="371"/>
      <c r="H665" s="371"/>
      <c r="I665" s="371"/>
      <c r="J665" s="371"/>
      <c r="K665" s="371"/>
      <c r="L665" s="371"/>
      <c r="M665" s="371"/>
      <c r="N665" s="371"/>
      <c r="O665" s="371"/>
      <c r="P665" s="371"/>
      <c r="Q665" s="371"/>
      <c r="R665" s="371"/>
      <c r="S665" s="371"/>
      <c r="T665" s="371"/>
      <c r="U665" s="371"/>
      <c r="V665" s="371"/>
      <c r="W665" s="371"/>
      <c r="X665" s="371"/>
      <c r="Y665" s="371"/>
      <c r="Z665" s="371"/>
    </row>
    <row r="666">
      <c r="A666" s="371"/>
      <c r="B666" s="371"/>
      <c r="C666" s="371"/>
      <c r="D666" s="372"/>
      <c r="E666" s="371"/>
      <c r="F666" s="371"/>
      <c r="G666" s="371"/>
      <c r="H666" s="371"/>
      <c r="I666" s="371"/>
      <c r="J666" s="371"/>
      <c r="K666" s="371"/>
      <c r="L666" s="371"/>
      <c r="M666" s="371"/>
      <c r="N666" s="371"/>
      <c r="O666" s="371"/>
      <c r="P666" s="371"/>
      <c r="Q666" s="371"/>
      <c r="R666" s="371"/>
      <c r="S666" s="371"/>
      <c r="T666" s="371"/>
      <c r="U666" s="371"/>
      <c r="V666" s="371"/>
      <c r="W666" s="371"/>
      <c r="X666" s="371"/>
      <c r="Y666" s="371"/>
      <c r="Z666" s="371"/>
    </row>
    <row r="667">
      <c r="A667" s="371"/>
      <c r="B667" s="371"/>
      <c r="C667" s="371"/>
      <c r="D667" s="372"/>
      <c r="E667" s="371"/>
      <c r="F667" s="371"/>
      <c r="G667" s="371"/>
      <c r="H667" s="371"/>
      <c r="I667" s="371"/>
      <c r="J667" s="371"/>
      <c r="K667" s="371"/>
      <c r="L667" s="371"/>
      <c r="M667" s="371"/>
      <c r="N667" s="371"/>
      <c r="O667" s="371"/>
      <c r="P667" s="371"/>
      <c r="Q667" s="371"/>
      <c r="R667" s="371"/>
      <c r="S667" s="371"/>
      <c r="T667" s="371"/>
      <c r="U667" s="371"/>
      <c r="V667" s="371"/>
      <c r="W667" s="371"/>
      <c r="X667" s="371"/>
      <c r="Y667" s="371"/>
      <c r="Z667" s="371"/>
    </row>
    <row r="668">
      <c r="A668" s="371"/>
      <c r="B668" s="371"/>
      <c r="C668" s="371"/>
      <c r="D668" s="372"/>
      <c r="E668" s="371"/>
      <c r="F668" s="371"/>
      <c r="G668" s="371"/>
      <c r="H668" s="371"/>
      <c r="I668" s="371"/>
      <c r="J668" s="371"/>
      <c r="K668" s="371"/>
      <c r="L668" s="371"/>
      <c r="M668" s="371"/>
      <c r="N668" s="371"/>
      <c r="O668" s="371"/>
      <c r="P668" s="371"/>
      <c r="Q668" s="371"/>
      <c r="R668" s="371"/>
      <c r="S668" s="371"/>
      <c r="T668" s="371"/>
      <c r="U668" s="371"/>
      <c r="V668" s="371"/>
      <c r="W668" s="371"/>
      <c r="X668" s="371"/>
      <c r="Y668" s="371"/>
      <c r="Z668" s="371"/>
    </row>
    <row r="669">
      <c r="A669" s="371"/>
      <c r="B669" s="371"/>
      <c r="C669" s="371"/>
      <c r="D669" s="372"/>
      <c r="E669" s="371"/>
      <c r="F669" s="371"/>
      <c r="G669" s="371"/>
      <c r="H669" s="371"/>
      <c r="I669" s="371"/>
      <c r="J669" s="371"/>
      <c r="K669" s="371"/>
      <c r="L669" s="371"/>
      <c r="M669" s="371"/>
      <c r="N669" s="371"/>
      <c r="O669" s="371"/>
      <c r="P669" s="371"/>
      <c r="Q669" s="371"/>
      <c r="R669" s="371"/>
      <c r="S669" s="371"/>
      <c r="T669" s="371"/>
      <c r="U669" s="371"/>
      <c r="V669" s="371"/>
      <c r="W669" s="371"/>
      <c r="X669" s="371"/>
      <c r="Y669" s="371"/>
      <c r="Z669" s="371"/>
    </row>
    <row r="670">
      <c r="A670" s="371"/>
      <c r="B670" s="371"/>
      <c r="C670" s="371"/>
      <c r="D670" s="372"/>
      <c r="E670" s="371"/>
      <c r="F670" s="371"/>
      <c r="G670" s="371"/>
      <c r="H670" s="371"/>
      <c r="I670" s="371"/>
      <c r="J670" s="371"/>
      <c r="K670" s="371"/>
      <c r="L670" s="371"/>
      <c r="M670" s="371"/>
      <c r="N670" s="371"/>
      <c r="O670" s="371"/>
      <c r="P670" s="371"/>
      <c r="Q670" s="371"/>
      <c r="R670" s="371"/>
      <c r="S670" s="371"/>
      <c r="T670" s="371"/>
      <c r="U670" s="371"/>
      <c r="V670" s="371"/>
      <c r="W670" s="371"/>
      <c r="X670" s="371"/>
      <c r="Y670" s="371"/>
      <c r="Z670" s="371"/>
    </row>
    <row r="671">
      <c r="A671" s="371"/>
      <c r="B671" s="371"/>
      <c r="C671" s="371"/>
      <c r="D671" s="372"/>
      <c r="E671" s="371"/>
      <c r="F671" s="371"/>
      <c r="G671" s="371"/>
      <c r="H671" s="371"/>
      <c r="I671" s="371"/>
      <c r="J671" s="371"/>
      <c r="K671" s="371"/>
      <c r="L671" s="371"/>
      <c r="M671" s="371"/>
      <c r="N671" s="371"/>
      <c r="O671" s="371"/>
      <c r="P671" s="371"/>
      <c r="Q671" s="371"/>
      <c r="R671" s="371"/>
      <c r="S671" s="371"/>
      <c r="T671" s="371"/>
      <c r="U671" s="371"/>
      <c r="V671" s="371"/>
      <c r="W671" s="371"/>
      <c r="X671" s="371"/>
      <c r="Y671" s="371"/>
      <c r="Z671" s="371"/>
    </row>
    <row r="672">
      <c r="A672" s="371"/>
      <c r="B672" s="371"/>
      <c r="C672" s="371"/>
      <c r="D672" s="372"/>
      <c r="E672" s="371"/>
      <c r="F672" s="371"/>
      <c r="G672" s="371"/>
      <c r="H672" s="371"/>
      <c r="I672" s="371"/>
      <c r="J672" s="371"/>
      <c r="K672" s="371"/>
      <c r="L672" s="371"/>
      <c r="M672" s="371"/>
      <c r="N672" s="371"/>
      <c r="O672" s="371"/>
      <c r="P672" s="371"/>
      <c r="Q672" s="371"/>
      <c r="R672" s="371"/>
      <c r="S672" s="371"/>
      <c r="T672" s="371"/>
      <c r="U672" s="371"/>
      <c r="V672" s="371"/>
      <c r="W672" s="371"/>
      <c r="X672" s="371"/>
      <c r="Y672" s="371"/>
      <c r="Z672" s="371"/>
    </row>
    <row r="673">
      <c r="A673" s="371"/>
      <c r="B673" s="371"/>
      <c r="C673" s="371"/>
      <c r="D673" s="372"/>
      <c r="E673" s="371"/>
      <c r="F673" s="371"/>
      <c r="G673" s="371"/>
      <c r="H673" s="371"/>
      <c r="I673" s="371"/>
      <c r="J673" s="371"/>
      <c r="K673" s="371"/>
      <c r="L673" s="371"/>
      <c r="M673" s="371"/>
      <c r="N673" s="371"/>
      <c r="O673" s="371"/>
      <c r="P673" s="371"/>
      <c r="Q673" s="371"/>
      <c r="R673" s="371"/>
      <c r="S673" s="371"/>
      <c r="T673" s="371"/>
      <c r="U673" s="371"/>
      <c r="V673" s="371"/>
      <c r="W673" s="371"/>
      <c r="X673" s="371"/>
      <c r="Y673" s="371"/>
      <c r="Z673" s="371"/>
    </row>
    <row r="674">
      <c r="A674" s="371"/>
      <c r="B674" s="371"/>
      <c r="C674" s="371"/>
      <c r="D674" s="372"/>
      <c r="E674" s="371"/>
      <c r="F674" s="371"/>
      <c r="G674" s="371"/>
      <c r="H674" s="371"/>
      <c r="I674" s="371"/>
      <c r="J674" s="371"/>
      <c r="K674" s="371"/>
      <c r="L674" s="371"/>
      <c r="M674" s="371"/>
      <c r="N674" s="371"/>
      <c r="O674" s="371"/>
      <c r="P674" s="371"/>
      <c r="Q674" s="371"/>
      <c r="R674" s="371"/>
      <c r="S674" s="371"/>
      <c r="T674" s="371"/>
      <c r="U674" s="371"/>
      <c r="V674" s="371"/>
      <c r="W674" s="371"/>
      <c r="X674" s="371"/>
      <c r="Y674" s="371"/>
      <c r="Z674" s="371"/>
    </row>
    <row r="675">
      <c r="A675" s="371"/>
      <c r="B675" s="371"/>
      <c r="C675" s="371"/>
      <c r="D675" s="372"/>
      <c r="E675" s="371"/>
      <c r="F675" s="371"/>
      <c r="G675" s="371"/>
      <c r="H675" s="371"/>
      <c r="I675" s="371"/>
      <c r="J675" s="371"/>
      <c r="K675" s="371"/>
      <c r="L675" s="371"/>
      <c r="M675" s="371"/>
      <c r="N675" s="371"/>
      <c r="O675" s="371"/>
      <c r="P675" s="371"/>
      <c r="Q675" s="371"/>
      <c r="R675" s="371"/>
      <c r="S675" s="371"/>
      <c r="T675" s="371"/>
      <c r="U675" s="371"/>
      <c r="V675" s="371"/>
      <c r="W675" s="371"/>
      <c r="X675" s="371"/>
      <c r="Y675" s="371"/>
      <c r="Z675" s="371"/>
    </row>
    <row r="676">
      <c r="A676" s="371"/>
      <c r="B676" s="371"/>
      <c r="C676" s="371"/>
      <c r="D676" s="372"/>
      <c r="E676" s="371"/>
      <c r="F676" s="371"/>
      <c r="G676" s="371"/>
      <c r="H676" s="371"/>
      <c r="I676" s="371"/>
      <c r="J676" s="371"/>
      <c r="K676" s="371"/>
      <c r="L676" s="371"/>
      <c r="M676" s="371"/>
      <c r="N676" s="371"/>
      <c r="O676" s="371"/>
      <c r="P676" s="371"/>
      <c r="Q676" s="371"/>
      <c r="R676" s="371"/>
      <c r="S676" s="371"/>
      <c r="T676" s="371"/>
      <c r="U676" s="371"/>
      <c r="V676" s="371"/>
      <c r="W676" s="371"/>
      <c r="X676" s="371"/>
      <c r="Y676" s="371"/>
      <c r="Z676" s="371"/>
    </row>
    <row r="677">
      <c r="A677" s="371"/>
      <c r="B677" s="371"/>
      <c r="C677" s="371"/>
      <c r="D677" s="372"/>
      <c r="E677" s="371"/>
      <c r="F677" s="371"/>
      <c r="G677" s="371"/>
      <c r="H677" s="371"/>
      <c r="I677" s="371"/>
      <c r="J677" s="371"/>
      <c r="K677" s="371"/>
      <c r="L677" s="371"/>
      <c r="M677" s="371"/>
      <c r="N677" s="371"/>
      <c r="O677" s="371"/>
      <c r="P677" s="371"/>
      <c r="Q677" s="371"/>
      <c r="R677" s="371"/>
      <c r="S677" s="371"/>
      <c r="T677" s="371"/>
      <c r="U677" s="371"/>
      <c r="V677" s="371"/>
      <c r="W677" s="371"/>
      <c r="X677" s="371"/>
      <c r="Y677" s="371"/>
      <c r="Z677" s="371"/>
    </row>
    <row r="678">
      <c r="A678" s="371"/>
      <c r="B678" s="371"/>
      <c r="C678" s="371"/>
      <c r="D678" s="372"/>
      <c r="E678" s="371"/>
      <c r="F678" s="371"/>
      <c r="G678" s="371"/>
      <c r="H678" s="371"/>
      <c r="I678" s="371"/>
      <c r="J678" s="371"/>
      <c r="K678" s="371"/>
      <c r="L678" s="371"/>
      <c r="M678" s="371"/>
      <c r="N678" s="371"/>
      <c r="O678" s="371"/>
      <c r="P678" s="371"/>
      <c r="Q678" s="371"/>
      <c r="R678" s="371"/>
      <c r="S678" s="371"/>
      <c r="T678" s="371"/>
      <c r="U678" s="371"/>
      <c r="V678" s="371"/>
      <c r="W678" s="371"/>
      <c r="X678" s="371"/>
      <c r="Y678" s="371"/>
      <c r="Z678" s="371"/>
    </row>
    <row r="679">
      <c r="A679" s="371"/>
      <c r="B679" s="371"/>
      <c r="C679" s="371"/>
      <c r="D679" s="372"/>
      <c r="E679" s="371"/>
      <c r="F679" s="371"/>
      <c r="G679" s="371"/>
      <c r="H679" s="371"/>
      <c r="I679" s="371"/>
      <c r="J679" s="371"/>
      <c r="K679" s="371"/>
      <c r="L679" s="371"/>
      <c r="M679" s="371"/>
      <c r="N679" s="371"/>
      <c r="O679" s="371"/>
      <c r="P679" s="371"/>
      <c r="Q679" s="371"/>
      <c r="R679" s="371"/>
      <c r="S679" s="371"/>
      <c r="T679" s="371"/>
      <c r="U679" s="371"/>
      <c r="V679" s="371"/>
      <c r="W679" s="371"/>
      <c r="X679" s="371"/>
      <c r="Y679" s="371"/>
      <c r="Z679" s="371"/>
    </row>
    <row r="680">
      <c r="A680" s="371"/>
      <c r="B680" s="371"/>
      <c r="C680" s="371"/>
      <c r="D680" s="372"/>
      <c r="E680" s="371"/>
      <c r="F680" s="371"/>
      <c r="G680" s="371"/>
      <c r="H680" s="371"/>
      <c r="I680" s="371"/>
      <c r="J680" s="371"/>
      <c r="K680" s="371"/>
      <c r="L680" s="371"/>
      <c r="M680" s="371"/>
      <c r="N680" s="371"/>
      <c r="O680" s="371"/>
      <c r="P680" s="371"/>
      <c r="Q680" s="371"/>
      <c r="R680" s="371"/>
      <c r="S680" s="371"/>
      <c r="T680" s="371"/>
      <c r="U680" s="371"/>
      <c r="V680" s="371"/>
      <c r="W680" s="371"/>
      <c r="X680" s="371"/>
      <c r="Y680" s="371"/>
      <c r="Z680" s="371"/>
    </row>
    <row r="681">
      <c r="A681" s="371"/>
      <c r="B681" s="371"/>
      <c r="C681" s="371"/>
      <c r="D681" s="372"/>
      <c r="E681" s="371"/>
      <c r="F681" s="371"/>
      <c r="G681" s="371"/>
      <c r="H681" s="371"/>
      <c r="I681" s="371"/>
      <c r="J681" s="371"/>
      <c r="K681" s="371"/>
      <c r="L681" s="371"/>
      <c r="M681" s="371"/>
      <c r="N681" s="371"/>
      <c r="O681" s="371"/>
      <c r="P681" s="371"/>
      <c r="Q681" s="371"/>
      <c r="R681" s="371"/>
      <c r="S681" s="371"/>
      <c r="T681" s="371"/>
      <c r="U681" s="371"/>
      <c r="V681" s="371"/>
      <c r="W681" s="371"/>
      <c r="X681" s="371"/>
      <c r="Y681" s="371"/>
      <c r="Z681" s="371"/>
    </row>
    <row r="682">
      <c r="A682" s="371"/>
      <c r="B682" s="371"/>
      <c r="C682" s="371"/>
      <c r="D682" s="372"/>
      <c r="E682" s="371"/>
      <c r="F682" s="371"/>
      <c r="G682" s="371"/>
      <c r="H682" s="371"/>
      <c r="I682" s="371"/>
      <c r="J682" s="371"/>
      <c r="K682" s="371"/>
      <c r="L682" s="371"/>
      <c r="M682" s="371"/>
      <c r="N682" s="371"/>
      <c r="O682" s="371"/>
      <c r="P682" s="371"/>
      <c r="Q682" s="371"/>
      <c r="R682" s="371"/>
      <c r="S682" s="371"/>
      <c r="T682" s="371"/>
      <c r="U682" s="371"/>
      <c r="V682" s="371"/>
      <c r="W682" s="371"/>
      <c r="X682" s="371"/>
      <c r="Y682" s="371"/>
      <c r="Z682" s="371"/>
    </row>
    <row r="683">
      <c r="A683" s="371"/>
      <c r="B683" s="371"/>
      <c r="C683" s="371"/>
      <c r="D683" s="372"/>
      <c r="E683" s="371"/>
      <c r="F683" s="371"/>
      <c r="G683" s="371"/>
      <c r="H683" s="371"/>
      <c r="I683" s="371"/>
      <c r="J683" s="371"/>
      <c r="K683" s="371"/>
      <c r="L683" s="371"/>
      <c r="M683" s="371"/>
      <c r="N683" s="371"/>
      <c r="O683" s="371"/>
      <c r="P683" s="371"/>
      <c r="Q683" s="371"/>
      <c r="R683" s="371"/>
      <c r="S683" s="371"/>
      <c r="T683" s="371"/>
      <c r="U683" s="371"/>
      <c r="V683" s="371"/>
      <c r="W683" s="371"/>
      <c r="X683" s="371"/>
      <c r="Y683" s="371"/>
      <c r="Z683" s="371"/>
    </row>
    <row r="684">
      <c r="A684" s="371"/>
      <c r="B684" s="371"/>
      <c r="C684" s="371"/>
      <c r="D684" s="372"/>
      <c r="E684" s="371"/>
      <c r="F684" s="371"/>
      <c r="G684" s="371"/>
      <c r="H684" s="371"/>
      <c r="I684" s="371"/>
      <c r="J684" s="371"/>
      <c r="K684" s="371"/>
      <c r="L684" s="371"/>
      <c r="M684" s="371"/>
      <c r="N684" s="371"/>
      <c r="O684" s="371"/>
      <c r="P684" s="371"/>
      <c r="Q684" s="371"/>
      <c r="R684" s="371"/>
      <c r="S684" s="371"/>
      <c r="T684" s="371"/>
      <c r="U684" s="371"/>
      <c r="V684" s="371"/>
      <c r="W684" s="371"/>
      <c r="X684" s="371"/>
      <c r="Y684" s="371"/>
      <c r="Z684" s="371"/>
    </row>
    <row r="685">
      <c r="A685" s="371"/>
      <c r="B685" s="371"/>
      <c r="C685" s="371"/>
      <c r="D685" s="372"/>
      <c r="E685" s="371"/>
      <c r="F685" s="371"/>
      <c r="G685" s="371"/>
      <c r="H685" s="371"/>
      <c r="I685" s="371"/>
      <c r="J685" s="371"/>
      <c r="K685" s="371"/>
      <c r="L685" s="371"/>
      <c r="M685" s="371"/>
      <c r="N685" s="371"/>
      <c r="O685" s="371"/>
      <c r="P685" s="371"/>
      <c r="Q685" s="371"/>
      <c r="R685" s="371"/>
      <c r="S685" s="371"/>
      <c r="T685" s="371"/>
      <c r="U685" s="371"/>
      <c r="V685" s="371"/>
      <c r="W685" s="371"/>
      <c r="X685" s="371"/>
      <c r="Y685" s="371"/>
      <c r="Z685" s="371"/>
    </row>
    <row r="686">
      <c r="A686" s="371"/>
      <c r="B686" s="371"/>
      <c r="C686" s="371"/>
      <c r="D686" s="372"/>
      <c r="E686" s="371"/>
      <c r="F686" s="371"/>
      <c r="G686" s="371"/>
      <c r="H686" s="371"/>
      <c r="I686" s="371"/>
      <c r="J686" s="371"/>
      <c r="K686" s="371"/>
      <c r="L686" s="371"/>
      <c r="M686" s="371"/>
      <c r="N686" s="371"/>
      <c r="O686" s="371"/>
      <c r="P686" s="371"/>
      <c r="Q686" s="371"/>
      <c r="R686" s="371"/>
      <c r="S686" s="371"/>
      <c r="T686" s="371"/>
      <c r="U686" s="371"/>
      <c r="V686" s="371"/>
      <c r="W686" s="371"/>
      <c r="X686" s="371"/>
      <c r="Y686" s="371"/>
      <c r="Z686" s="371"/>
    </row>
    <row r="687">
      <c r="A687" s="371"/>
      <c r="B687" s="371"/>
      <c r="C687" s="371"/>
      <c r="D687" s="372"/>
      <c r="E687" s="371"/>
      <c r="F687" s="371"/>
      <c r="G687" s="371"/>
      <c r="H687" s="371"/>
      <c r="I687" s="371"/>
      <c r="J687" s="371"/>
      <c r="K687" s="371"/>
      <c r="L687" s="371"/>
      <c r="M687" s="371"/>
      <c r="N687" s="371"/>
      <c r="O687" s="371"/>
      <c r="P687" s="371"/>
      <c r="Q687" s="371"/>
      <c r="R687" s="371"/>
      <c r="S687" s="371"/>
      <c r="T687" s="371"/>
      <c r="U687" s="371"/>
      <c r="V687" s="371"/>
      <c r="W687" s="371"/>
      <c r="X687" s="371"/>
      <c r="Y687" s="371"/>
      <c r="Z687" s="371"/>
    </row>
    <row r="688">
      <c r="A688" s="371"/>
      <c r="B688" s="371"/>
      <c r="C688" s="371"/>
      <c r="D688" s="372"/>
      <c r="E688" s="371"/>
      <c r="F688" s="371"/>
      <c r="G688" s="371"/>
      <c r="H688" s="371"/>
      <c r="I688" s="371"/>
      <c r="J688" s="371"/>
      <c r="K688" s="371"/>
      <c r="L688" s="371"/>
      <c r="M688" s="371"/>
      <c r="N688" s="371"/>
      <c r="O688" s="371"/>
      <c r="P688" s="371"/>
      <c r="Q688" s="371"/>
      <c r="R688" s="371"/>
      <c r="S688" s="371"/>
      <c r="T688" s="371"/>
      <c r="U688" s="371"/>
      <c r="V688" s="371"/>
      <c r="W688" s="371"/>
      <c r="X688" s="371"/>
      <c r="Y688" s="371"/>
      <c r="Z688" s="371"/>
    </row>
    <row r="689">
      <c r="A689" s="371"/>
      <c r="B689" s="371"/>
      <c r="C689" s="371"/>
      <c r="D689" s="372"/>
      <c r="E689" s="371"/>
      <c r="F689" s="371"/>
      <c r="G689" s="371"/>
      <c r="H689" s="371"/>
      <c r="I689" s="371"/>
      <c r="J689" s="371"/>
      <c r="K689" s="371"/>
      <c r="L689" s="371"/>
      <c r="M689" s="371"/>
      <c r="N689" s="371"/>
      <c r="O689" s="371"/>
      <c r="P689" s="371"/>
      <c r="Q689" s="371"/>
      <c r="R689" s="371"/>
      <c r="S689" s="371"/>
      <c r="T689" s="371"/>
      <c r="U689" s="371"/>
      <c r="V689" s="371"/>
      <c r="W689" s="371"/>
      <c r="X689" s="371"/>
      <c r="Y689" s="371"/>
      <c r="Z689" s="371"/>
    </row>
    <row r="690">
      <c r="A690" s="371"/>
      <c r="B690" s="371"/>
      <c r="C690" s="371"/>
      <c r="D690" s="372"/>
      <c r="E690" s="371"/>
      <c r="F690" s="371"/>
      <c r="G690" s="371"/>
      <c r="H690" s="371"/>
      <c r="I690" s="371"/>
      <c r="J690" s="371"/>
      <c r="K690" s="371"/>
      <c r="L690" s="371"/>
      <c r="M690" s="371"/>
      <c r="N690" s="371"/>
      <c r="O690" s="371"/>
      <c r="P690" s="371"/>
      <c r="Q690" s="371"/>
      <c r="R690" s="371"/>
      <c r="S690" s="371"/>
      <c r="T690" s="371"/>
      <c r="U690" s="371"/>
      <c r="V690" s="371"/>
      <c r="W690" s="371"/>
      <c r="X690" s="371"/>
      <c r="Y690" s="371"/>
      <c r="Z690" s="371"/>
    </row>
    <row r="691">
      <c r="A691" s="371"/>
      <c r="B691" s="371"/>
      <c r="C691" s="371"/>
      <c r="D691" s="372"/>
      <c r="E691" s="371"/>
      <c r="F691" s="371"/>
      <c r="G691" s="371"/>
      <c r="H691" s="371"/>
      <c r="I691" s="371"/>
      <c r="J691" s="371"/>
      <c r="K691" s="371"/>
      <c r="L691" s="371"/>
      <c r="M691" s="371"/>
      <c r="N691" s="371"/>
      <c r="O691" s="371"/>
      <c r="P691" s="371"/>
      <c r="Q691" s="371"/>
      <c r="R691" s="371"/>
      <c r="S691" s="371"/>
      <c r="T691" s="371"/>
      <c r="U691" s="371"/>
      <c r="V691" s="371"/>
      <c r="W691" s="371"/>
      <c r="X691" s="371"/>
      <c r="Y691" s="371"/>
      <c r="Z691" s="371"/>
    </row>
    <row r="692">
      <c r="A692" s="371"/>
      <c r="B692" s="371"/>
      <c r="C692" s="371"/>
      <c r="D692" s="372"/>
      <c r="E692" s="371"/>
      <c r="F692" s="371"/>
      <c r="G692" s="371"/>
      <c r="H692" s="371"/>
      <c r="I692" s="371"/>
      <c r="J692" s="371"/>
      <c r="K692" s="371"/>
      <c r="L692" s="371"/>
      <c r="M692" s="371"/>
      <c r="N692" s="371"/>
      <c r="O692" s="371"/>
      <c r="P692" s="371"/>
      <c r="Q692" s="371"/>
      <c r="R692" s="371"/>
      <c r="S692" s="371"/>
      <c r="T692" s="371"/>
      <c r="U692" s="371"/>
      <c r="V692" s="371"/>
      <c r="W692" s="371"/>
      <c r="X692" s="371"/>
      <c r="Y692" s="371"/>
      <c r="Z692" s="371"/>
    </row>
    <row r="693">
      <c r="A693" s="371"/>
      <c r="B693" s="371"/>
      <c r="C693" s="371"/>
      <c r="D693" s="372"/>
      <c r="E693" s="371"/>
      <c r="F693" s="371"/>
      <c r="G693" s="371"/>
      <c r="H693" s="371"/>
      <c r="I693" s="371"/>
      <c r="J693" s="371"/>
      <c r="K693" s="371"/>
      <c r="L693" s="371"/>
      <c r="M693" s="371"/>
      <c r="N693" s="371"/>
      <c r="O693" s="371"/>
      <c r="P693" s="371"/>
      <c r="Q693" s="371"/>
      <c r="R693" s="371"/>
      <c r="S693" s="371"/>
      <c r="T693" s="371"/>
      <c r="U693" s="371"/>
      <c r="V693" s="371"/>
      <c r="W693" s="371"/>
      <c r="X693" s="371"/>
      <c r="Y693" s="371"/>
      <c r="Z693" s="371"/>
    </row>
    <row r="694">
      <c r="A694" s="371"/>
      <c r="B694" s="371"/>
      <c r="C694" s="371"/>
      <c r="D694" s="372"/>
      <c r="E694" s="371"/>
      <c r="F694" s="371"/>
      <c r="G694" s="371"/>
      <c r="H694" s="371"/>
      <c r="I694" s="371"/>
      <c r="J694" s="371"/>
      <c r="K694" s="371"/>
      <c r="L694" s="371"/>
      <c r="M694" s="371"/>
      <c r="N694" s="371"/>
      <c r="O694" s="371"/>
      <c r="P694" s="371"/>
      <c r="Q694" s="371"/>
      <c r="R694" s="371"/>
      <c r="S694" s="371"/>
      <c r="T694" s="371"/>
      <c r="U694" s="371"/>
      <c r="V694" s="371"/>
      <c r="W694" s="371"/>
      <c r="X694" s="371"/>
      <c r="Y694" s="371"/>
      <c r="Z694" s="371"/>
    </row>
    <row r="695">
      <c r="A695" s="371"/>
      <c r="B695" s="371"/>
      <c r="C695" s="371"/>
      <c r="D695" s="372"/>
      <c r="E695" s="371"/>
      <c r="F695" s="371"/>
      <c r="G695" s="371"/>
      <c r="H695" s="371"/>
      <c r="I695" s="371"/>
      <c r="J695" s="371"/>
      <c r="K695" s="371"/>
      <c r="L695" s="371"/>
      <c r="M695" s="371"/>
      <c r="N695" s="371"/>
      <c r="O695" s="371"/>
      <c r="P695" s="371"/>
      <c r="Q695" s="371"/>
      <c r="R695" s="371"/>
      <c r="S695" s="371"/>
      <c r="T695" s="371"/>
      <c r="U695" s="371"/>
      <c r="V695" s="371"/>
      <c r="W695" s="371"/>
      <c r="X695" s="371"/>
      <c r="Y695" s="371"/>
      <c r="Z695" s="371"/>
    </row>
    <row r="696">
      <c r="A696" s="371"/>
      <c r="B696" s="371"/>
      <c r="C696" s="371"/>
      <c r="D696" s="372"/>
      <c r="E696" s="371"/>
      <c r="F696" s="371"/>
      <c r="G696" s="371"/>
      <c r="H696" s="371"/>
      <c r="I696" s="371"/>
      <c r="J696" s="371"/>
      <c r="K696" s="371"/>
      <c r="L696" s="371"/>
      <c r="M696" s="371"/>
      <c r="N696" s="371"/>
      <c r="O696" s="371"/>
      <c r="P696" s="371"/>
      <c r="Q696" s="371"/>
      <c r="R696" s="371"/>
      <c r="S696" s="371"/>
      <c r="T696" s="371"/>
      <c r="U696" s="371"/>
      <c r="V696" s="371"/>
      <c r="W696" s="371"/>
      <c r="X696" s="371"/>
      <c r="Y696" s="371"/>
      <c r="Z696" s="371"/>
    </row>
    <row r="697">
      <c r="A697" s="371"/>
      <c r="B697" s="371"/>
      <c r="C697" s="371"/>
      <c r="D697" s="372"/>
      <c r="E697" s="371"/>
      <c r="F697" s="371"/>
      <c r="G697" s="371"/>
      <c r="H697" s="371"/>
      <c r="I697" s="371"/>
      <c r="J697" s="371"/>
      <c r="K697" s="371"/>
      <c r="L697" s="371"/>
      <c r="M697" s="371"/>
      <c r="N697" s="371"/>
      <c r="O697" s="371"/>
      <c r="P697" s="371"/>
      <c r="Q697" s="371"/>
      <c r="R697" s="371"/>
      <c r="S697" s="371"/>
      <c r="T697" s="371"/>
      <c r="U697" s="371"/>
      <c r="V697" s="371"/>
      <c r="W697" s="371"/>
      <c r="X697" s="371"/>
      <c r="Y697" s="371"/>
      <c r="Z697" s="371"/>
    </row>
    <row r="698">
      <c r="A698" s="371"/>
      <c r="B698" s="371"/>
      <c r="C698" s="371"/>
      <c r="D698" s="372"/>
      <c r="E698" s="371"/>
      <c r="F698" s="371"/>
      <c r="G698" s="371"/>
      <c r="H698" s="371"/>
      <c r="I698" s="371"/>
      <c r="J698" s="371"/>
      <c r="K698" s="371"/>
      <c r="L698" s="371"/>
      <c r="M698" s="371"/>
      <c r="N698" s="371"/>
      <c r="O698" s="371"/>
      <c r="P698" s="371"/>
      <c r="Q698" s="371"/>
      <c r="R698" s="371"/>
      <c r="S698" s="371"/>
      <c r="T698" s="371"/>
      <c r="U698" s="371"/>
      <c r="V698" s="371"/>
      <c r="W698" s="371"/>
      <c r="X698" s="371"/>
      <c r="Y698" s="371"/>
      <c r="Z698" s="371"/>
    </row>
    <row r="699">
      <c r="A699" s="371"/>
      <c r="B699" s="371"/>
      <c r="C699" s="371"/>
      <c r="D699" s="372"/>
      <c r="E699" s="371"/>
      <c r="F699" s="371"/>
      <c r="G699" s="371"/>
      <c r="H699" s="371"/>
      <c r="I699" s="371"/>
      <c r="J699" s="371"/>
      <c r="K699" s="371"/>
      <c r="L699" s="371"/>
      <c r="M699" s="371"/>
      <c r="N699" s="371"/>
      <c r="O699" s="371"/>
      <c r="P699" s="371"/>
      <c r="Q699" s="371"/>
      <c r="R699" s="371"/>
      <c r="S699" s="371"/>
      <c r="T699" s="371"/>
      <c r="U699" s="371"/>
      <c r="V699" s="371"/>
      <c r="W699" s="371"/>
      <c r="X699" s="371"/>
      <c r="Y699" s="371"/>
      <c r="Z699" s="371"/>
    </row>
    <row r="700">
      <c r="A700" s="371"/>
      <c r="B700" s="371"/>
      <c r="C700" s="371"/>
      <c r="D700" s="372"/>
      <c r="E700" s="371"/>
      <c r="F700" s="371"/>
      <c r="G700" s="371"/>
      <c r="H700" s="371"/>
      <c r="I700" s="371"/>
      <c r="J700" s="371"/>
      <c r="K700" s="371"/>
      <c r="L700" s="371"/>
      <c r="M700" s="371"/>
      <c r="N700" s="371"/>
      <c r="O700" s="371"/>
      <c r="P700" s="371"/>
      <c r="Q700" s="371"/>
      <c r="R700" s="371"/>
      <c r="S700" s="371"/>
      <c r="T700" s="371"/>
      <c r="U700" s="371"/>
      <c r="V700" s="371"/>
      <c r="W700" s="371"/>
      <c r="X700" s="371"/>
      <c r="Y700" s="371"/>
      <c r="Z700" s="371"/>
    </row>
    <row r="701">
      <c r="A701" s="371"/>
      <c r="B701" s="371"/>
      <c r="C701" s="371"/>
      <c r="D701" s="372"/>
      <c r="E701" s="371"/>
      <c r="F701" s="371"/>
      <c r="G701" s="371"/>
      <c r="H701" s="371"/>
      <c r="I701" s="371"/>
      <c r="J701" s="371"/>
      <c r="K701" s="371"/>
      <c r="L701" s="371"/>
      <c r="M701" s="371"/>
      <c r="N701" s="371"/>
      <c r="O701" s="371"/>
      <c r="P701" s="371"/>
      <c r="Q701" s="371"/>
      <c r="R701" s="371"/>
      <c r="S701" s="371"/>
      <c r="T701" s="371"/>
      <c r="U701" s="371"/>
      <c r="V701" s="371"/>
      <c r="W701" s="371"/>
      <c r="X701" s="371"/>
      <c r="Y701" s="371"/>
      <c r="Z701" s="371"/>
    </row>
    <row r="702">
      <c r="A702" s="371"/>
      <c r="B702" s="371"/>
      <c r="C702" s="371"/>
      <c r="D702" s="372"/>
      <c r="E702" s="371"/>
      <c r="F702" s="371"/>
      <c r="G702" s="371"/>
      <c r="H702" s="371"/>
      <c r="I702" s="371"/>
      <c r="J702" s="371"/>
      <c r="K702" s="371"/>
      <c r="L702" s="371"/>
      <c r="M702" s="371"/>
      <c r="N702" s="371"/>
      <c r="O702" s="371"/>
      <c r="P702" s="371"/>
      <c r="Q702" s="371"/>
      <c r="R702" s="371"/>
      <c r="S702" s="371"/>
      <c r="T702" s="371"/>
      <c r="U702" s="371"/>
      <c r="V702" s="371"/>
      <c r="W702" s="371"/>
      <c r="X702" s="371"/>
      <c r="Y702" s="371"/>
      <c r="Z702" s="371"/>
    </row>
    <row r="703">
      <c r="A703" s="371"/>
      <c r="B703" s="371"/>
      <c r="C703" s="371"/>
      <c r="D703" s="372"/>
      <c r="E703" s="371"/>
      <c r="F703" s="371"/>
      <c r="G703" s="371"/>
      <c r="H703" s="371"/>
      <c r="I703" s="371"/>
      <c r="J703" s="371"/>
      <c r="K703" s="371"/>
      <c r="L703" s="371"/>
      <c r="M703" s="371"/>
      <c r="N703" s="371"/>
      <c r="O703" s="371"/>
      <c r="P703" s="371"/>
      <c r="Q703" s="371"/>
      <c r="R703" s="371"/>
      <c r="S703" s="371"/>
      <c r="T703" s="371"/>
      <c r="U703" s="371"/>
      <c r="V703" s="371"/>
      <c r="W703" s="371"/>
      <c r="X703" s="371"/>
      <c r="Y703" s="371"/>
      <c r="Z703" s="371"/>
    </row>
    <row r="704">
      <c r="A704" s="371"/>
      <c r="B704" s="371"/>
      <c r="C704" s="371"/>
      <c r="D704" s="372"/>
      <c r="E704" s="371"/>
      <c r="F704" s="371"/>
      <c r="G704" s="371"/>
      <c r="H704" s="371"/>
      <c r="I704" s="371"/>
      <c r="J704" s="371"/>
      <c r="K704" s="371"/>
      <c r="L704" s="371"/>
      <c r="M704" s="371"/>
      <c r="N704" s="371"/>
      <c r="O704" s="371"/>
      <c r="P704" s="371"/>
      <c r="Q704" s="371"/>
      <c r="R704" s="371"/>
      <c r="S704" s="371"/>
      <c r="T704" s="371"/>
      <c r="U704" s="371"/>
      <c r="V704" s="371"/>
      <c r="W704" s="371"/>
      <c r="X704" s="371"/>
      <c r="Y704" s="371"/>
      <c r="Z704" s="371"/>
    </row>
    <row r="705">
      <c r="A705" s="371"/>
      <c r="B705" s="371"/>
      <c r="C705" s="371"/>
      <c r="D705" s="372"/>
      <c r="E705" s="371"/>
      <c r="F705" s="371"/>
      <c r="G705" s="371"/>
      <c r="H705" s="371"/>
      <c r="I705" s="371"/>
      <c r="J705" s="371"/>
      <c r="K705" s="371"/>
      <c r="L705" s="371"/>
      <c r="M705" s="371"/>
      <c r="N705" s="371"/>
      <c r="O705" s="371"/>
      <c r="P705" s="371"/>
      <c r="Q705" s="371"/>
      <c r="R705" s="371"/>
      <c r="S705" s="371"/>
      <c r="T705" s="371"/>
      <c r="U705" s="371"/>
      <c r="V705" s="371"/>
      <c r="W705" s="371"/>
      <c r="X705" s="371"/>
      <c r="Y705" s="371"/>
      <c r="Z705" s="371"/>
    </row>
    <row r="706">
      <c r="A706" s="371"/>
      <c r="B706" s="371"/>
      <c r="C706" s="371"/>
      <c r="D706" s="372"/>
      <c r="E706" s="371"/>
      <c r="F706" s="371"/>
      <c r="G706" s="371"/>
      <c r="H706" s="371"/>
      <c r="I706" s="371"/>
      <c r="J706" s="371"/>
      <c r="K706" s="371"/>
      <c r="L706" s="371"/>
      <c r="M706" s="371"/>
      <c r="N706" s="371"/>
      <c r="O706" s="371"/>
      <c r="P706" s="371"/>
      <c r="Q706" s="371"/>
      <c r="R706" s="371"/>
      <c r="S706" s="371"/>
      <c r="T706" s="371"/>
      <c r="U706" s="371"/>
      <c r="V706" s="371"/>
      <c r="W706" s="371"/>
      <c r="X706" s="371"/>
      <c r="Y706" s="371"/>
      <c r="Z706" s="371"/>
    </row>
    <row r="707">
      <c r="A707" s="371"/>
      <c r="B707" s="371"/>
      <c r="C707" s="371"/>
      <c r="D707" s="372"/>
      <c r="E707" s="371"/>
      <c r="F707" s="371"/>
      <c r="G707" s="371"/>
      <c r="H707" s="371"/>
      <c r="I707" s="371"/>
      <c r="J707" s="371"/>
      <c r="K707" s="371"/>
      <c r="L707" s="371"/>
      <c r="M707" s="371"/>
      <c r="N707" s="371"/>
      <c r="O707" s="371"/>
      <c r="P707" s="371"/>
      <c r="Q707" s="371"/>
      <c r="R707" s="371"/>
      <c r="S707" s="371"/>
      <c r="T707" s="371"/>
      <c r="U707" s="371"/>
      <c r="V707" s="371"/>
      <c r="W707" s="371"/>
      <c r="X707" s="371"/>
      <c r="Y707" s="371"/>
      <c r="Z707" s="371"/>
    </row>
    <row r="708">
      <c r="A708" s="371"/>
      <c r="B708" s="371"/>
      <c r="C708" s="371"/>
      <c r="D708" s="372"/>
      <c r="E708" s="371"/>
      <c r="F708" s="371"/>
      <c r="G708" s="371"/>
      <c r="H708" s="371"/>
      <c r="I708" s="371"/>
      <c r="J708" s="371"/>
      <c r="K708" s="371"/>
      <c r="L708" s="371"/>
      <c r="M708" s="371"/>
      <c r="N708" s="371"/>
      <c r="O708" s="371"/>
      <c r="P708" s="371"/>
      <c r="Q708" s="371"/>
      <c r="R708" s="371"/>
      <c r="S708" s="371"/>
      <c r="T708" s="371"/>
      <c r="U708" s="371"/>
      <c r="V708" s="371"/>
      <c r="W708" s="371"/>
      <c r="X708" s="371"/>
      <c r="Y708" s="371"/>
      <c r="Z708" s="371"/>
    </row>
    <row r="709">
      <c r="A709" s="371"/>
      <c r="B709" s="371"/>
      <c r="C709" s="371"/>
      <c r="D709" s="372"/>
      <c r="E709" s="371"/>
      <c r="F709" s="371"/>
      <c r="G709" s="371"/>
      <c r="H709" s="371"/>
      <c r="I709" s="371"/>
      <c r="J709" s="371"/>
      <c r="K709" s="371"/>
      <c r="L709" s="371"/>
      <c r="M709" s="371"/>
      <c r="N709" s="371"/>
      <c r="O709" s="371"/>
      <c r="P709" s="371"/>
      <c r="Q709" s="371"/>
      <c r="R709" s="371"/>
      <c r="S709" s="371"/>
      <c r="T709" s="371"/>
      <c r="U709" s="371"/>
      <c r="V709" s="371"/>
      <c r="W709" s="371"/>
      <c r="X709" s="371"/>
      <c r="Y709" s="371"/>
      <c r="Z709" s="371"/>
    </row>
    <row r="710">
      <c r="A710" s="371"/>
      <c r="B710" s="371"/>
      <c r="C710" s="371"/>
      <c r="D710" s="372"/>
      <c r="E710" s="371"/>
      <c r="F710" s="371"/>
      <c r="G710" s="371"/>
      <c r="H710" s="371"/>
      <c r="I710" s="371"/>
      <c r="J710" s="371"/>
      <c r="K710" s="371"/>
      <c r="L710" s="371"/>
      <c r="M710" s="371"/>
      <c r="N710" s="371"/>
      <c r="O710" s="371"/>
      <c r="P710" s="371"/>
      <c r="Q710" s="371"/>
      <c r="R710" s="371"/>
      <c r="S710" s="371"/>
      <c r="T710" s="371"/>
      <c r="U710" s="371"/>
      <c r="V710" s="371"/>
      <c r="W710" s="371"/>
      <c r="X710" s="371"/>
      <c r="Y710" s="371"/>
      <c r="Z710" s="371"/>
    </row>
    <row r="711">
      <c r="A711" s="371"/>
      <c r="B711" s="371"/>
      <c r="C711" s="371"/>
      <c r="D711" s="372"/>
      <c r="E711" s="371"/>
      <c r="F711" s="371"/>
      <c r="G711" s="371"/>
      <c r="H711" s="371"/>
      <c r="I711" s="371"/>
      <c r="J711" s="371"/>
      <c r="K711" s="371"/>
      <c r="L711" s="371"/>
      <c r="M711" s="371"/>
      <c r="N711" s="371"/>
      <c r="O711" s="371"/>
      <c r="P711" s="371"/>
      <c r="Q711" s="371"/>
      <c r="R711" s="371"/>
      <c r="S711" s="371"/>
      <c r="T711" s="371"/>
      <c r="U711" s="371"/>
      <c r="V711" s="371"/>
      <c r="W711" s="371"/>
      <c r="X711" s="371"/>
      <c r="Y711" s="371"/>
      <c r="Z711" s="371"/>
    </row>
    <row r="712">
      <c r="A712" s="371"/>
      <c r="B712" s="371"/>
      <c r="C712" s="371"/>
      <c r="D712" s="372"/>
      <c r="E712" s="371"/>
      <c r="F712" s="371"/>
      <c r="G712" s="371"/>
      <c r="H712" s="371"/>
      <c r="I712" s="371"/>
      <c r="J712" s="371"/>
      <c r="K712" s="371"/>
      <c r="L712" s="371"/>
      <c r="M712" s="371"/>
      <c r="N712" s="371"/>
      <c r="O712" s="371"/>
      <c r="P712" s="371"/>
      <c r="Q712" s="371"/>
      <c r="R712" s="371"/>
      <c r="S712" s="371"/>
      <c r="T712" s="371"/>
      <c r="U712" s="371"/>
      <c r="V712" s="371"/>
      <c r="W712" s="371"/>
      <c r="X712" s="371"/>
      <c r="Y712" s="371"/>
      <c r="Z712" s="371"/>
    </row>
    <row r="713">
      <c r="A713" s="371"/>
      <c r="B713" s="371"/>
      <c r="C713" s="371"/>
      <c r="D713" s="372"/>
      <c r="E713" s="371"/>
      <c r="F713" s="371"/>
      <c r="G713" s="371"/>
      <c r="H713" s="371"/>
      <c r="I713" s="371"/>
      <c r="J713" s="371"/>
      <c r="K713" s="371"/>
      <c r="L713" s="371"/>
      <c r="M713" s="371"/>
      <c r="N713" s="371"/>
      <c r="O713" s="371"/>
      <c r="P713" s="371"/>
      <c r="Q713" s="371"/>
      <c r="R713" s="371"/>
      <c r="S713" s="371"/>
      <c r="T713" s="371"/>
      <c r="U713" s="371"/>
      <c r="V713" s="371"/>
      <c r="W713" s="371"/>
      <c r="X713" s="371"/>
      <c r="Y713" s="371"/>
      <c r="Z713" s="371"/>
    </row>
    <row r="714">
      <c r="A714" s="371"/>
      <c r="B714" s="371"/>
      <c r="C714" s="371"/>
      <c r="D714" s="372"/>
      <c r="E714" s="371"/>
      <c r="F714" s="371"/>
      <c r="G714" s="371"/>
      <c r="H714" s="371"/>
      <c r="I714" s="371"/>
      <c r="J714" s="371"/>
      <c r="K714" s="371"/>
      <c r="L714" s="371"/>
      <c r="M714" s="371"/>
      <c r="N714" s="371"/>
      <c r="O714" s="371"/>
      <c r="P714" s="371"/>
      <c r="Q714" s="371"/>
      <c r="R714" s="371"/>
      <c r="S714" s="371"/>
      <c r="T714" s="371"/>
      <c r="U714" s="371"/>
      <c r="V714" s="371"/>
      <c r="W714" s="371"/>
      <c r="X714" s="371"/>
      <c r="Y714" s="371"/>
      <c r="Z714" s="371"/>
    </row>
    <row r="715">
      <c r="A715" s="371"/>
      <c r="B715" s="371"/>
      <c r="C715" s="371"/>
      <c r="D715" s="372"/>
      <c r="E715" s="371"/>
      <c r="F715" s="371"/>
      <c r="G715" s="371"/>
      <c r="H715" s="371"/>
      <c r="I715" s="371"/>
      <c r="J715" s="371"/>
      <c r="K715" s="371"/>
      <c r="L715" s="371"/>
      <c r="M715" s="371"/>
      <c r="N715" s="371"/>
      <c r="O715" s="371"/>
      <c r="P715" s="371"/>
      <c r="Q715" s="371"/>
      <c r="R715" s="371"/>
      <c r="S715" s="371"/>
      <c r="T715" s="371"/>
      <c r="U715" s="371"/>
      <c r="V715" s="371"/>
      <c r="W715" s="371"/>
      <c r="X715" s="371"/>
      <c r="Y715" s="371"/>
      <c r="Z715" s="371"/>
    </row>
    <row r="716">
      <c r="A716" s="371"/>
      <c r="B716" s="371"/>
      <c r="C716" s="371"/>
      <c r="D716" s="372"/>
      <c r="E716" s="371"/>
      <c r="F716" s="371"/>
      <c r="G716" s="371"/>
      <c r="H716" s="371"/>
      <c r="I716" s="371"/>
      <c r="J716" s="371"/>
      <c r="K716" s="371"/>
      <c r="L716" s="371"/>
      <c r="M716" s="371"/>
      <c r="N716" s="371"/>
      <c r="O716" s="371"/>
      <c r="P716" s="371"/>
      <c r="Q716" s="371"/>
      <c r="R716" s="371"/>
      <c r="S716" s="371"/>
      <c r="T716" s="371"/>
      <c r="U716" s="371"/>
      <c r="V716" s="371"/>
      <c r="W716" s="371"/>
      <c r="X716" s="371"/>
      <c r="Y716" s="371"/>
      <c r="Z716" s="371"/>
    </row>
    <row r="717">
      <c r="A717" s="371"/>
      <c r="B717" s="371"/>
      <c r="C717" s="371"/>
      <c r="D717" s="372"/>
      <c r="E717" s="371"/>
      <c r="F717" s="371"/>
      <c r="G717" s="371"/>
      <c r="H717" s="371"/>
      <c r="I717" s="371"/>
      <c r="J717" s="371"/>
      <c r="K717" s="371"/>
      <c r="L717" s="371"/>
      <c r="M717" s="371"/>
      <c r="N717" s="371"/>
      <c r="O717" s="371"/>
      <c r="P717" s="371"/>
      <c r="Q717" s="371"/>
      <c r="R717" s="371"/>
      <c r="S717" s="371"/>
      <c r="T717" s="371"/>
      <c r="U717" s="371"/>
      <c r="V717" s="371"/>
      <c r="W717" s="371"/>
      <c r="X717" s="371"/>
      <c r="Y717" s="371"/>
      <c r="Z717" s="371"/>
    </row>
    <row r="718">
      <c r="A718" s="371"/>
      <c r="B718" s="371"/>
      <c r="C718" s="371"/>
      <c r="D718" s="372"/>
      <c r="E718" s="371"/>
      <c r="F718" s="371"/>
      <c r="G718" s="371"/>
      <c r="H718" s="371"/>
      <c r="I718" s="371"/>
      <c r="J718" s="371"/>
      <c r="K718" s="371"/>
      <c r="L718" s="371"/>
      <c r="M718" s="371"/>
      <c r="N718" s="371"/>
      <c r="O718" s="371"/>
      <c r="P718" s="371"/>
      <c r="Q718" s="371"/>
      <c r="R718" s="371"/>
      <c r="S718" s="371"/>
      <c r="T718" s="371"/>
      <c r="U718" s="371"/>
      <c r="V718" s="371"/>
      <c r="W718" s="371"/>
      <c r="X718" s="371"/>
      <c r="Y718" s="371"/>
      <c r="Z718" s="371"/>
    </row>
    <row r="719">
      <c r="A719" s="371"/>
      <c r="B719" s="371"/>
      <c r="C719" s="371"/>
      <c r="D719" s="372"/>
      <c r="E719" s="371"/>
      <c r="F719" s="371"/>
      <c r="G719" s="371"/>
      <c r="H719" s="371"/>
      <c r="I719" s="371"/>
      <c r="J719" s="371"/>
      <c r="K719" s="371"/>
      <c r="L719" s="371"/>
      <c r="M719" s="371"/>
      <c r="N719" s="371"/>
      <c r="O719" s="371"/>
      <c r="P719" s="371"/>
      <c r="Q719" s="371"/>
      <c r="R719" s="371"/>
      <c r="S719" s="371"/>
      <c r="T719" s="371"/>
      <c r="U719" s="371"/>
      <c r="V719" s="371"/>
      <c r="W719" s="371"/>
      <c r="X719" s="371"/>
      <c r="Y719" s="371"/>
      <c r="Z719" s="371"/>
    </row>
    <row r="720">
      <c r="A720" s="371"/>
      <c r="B720" s="371"/>
      <c r="C720" s="371"/>
      <c r="D720" s="372"/>
      <c r="E720" s="371"/>
      <c r="F720" s="371"/>
      <c r="G720" s="371"/>
      <c r="H720" s="371"/>
      <c r="I720" s="371"/>
      <c r="J720" s="371"/>
      <c r="K720" s="371"/>
      <c r="L720" s="371"/>
      <c r="M720" s="371"/>
      <c r="N720" s="371"/>
      <c r="O720" s="371"/>
      <c r="P720" s="371"/>
      <c r="Q720" s="371"/>
      <c r="R720" s="371"/>
      <c r="S720" s="371"/>
      <c r="T720" s="371"/>
      <c r="U720" s="371"/>
      <c r="V720" s="371"/>
      <c r="W720" s="371"/>
      <c r="X720" s="371"/>
      <c r="Y720" s="371"/>
      <c r="Z720" s="371"/>
    </row>
    <row r="721">
      <c r="A721" s="371"/>
      <c r="B721" s="371"/>
      <c r="C721" s="371"/>
      <c r="D721" s="372"/>
      <c r="E721" s="371"/>
      <c r="F721" s="371"/>
      <c r="G721" s="371"/>
      <c r="H721" s="371"/>
      <c r="I721" s="371"/>
      <c r="J721" s="371"/>
      <c r="K721" s="371"/>
      <c r="L721" s="371"/>
      <c r="M721" s="371"/>
      <c r="N721" s="371"/>
      <c r="O721" s="371"/>
      <c r="P721" s="371"/>
      <c r="Q721" s="371"/>
      <c r="R721" s="371"/>
      <c r="S721" s="371"/>
      <c r="T721" s="371"/>
      <c r="U721" s="371"/>
      <c r="V721" s="371"/>
      <c r="W721" s="371"/>
      <c r="X721" s="371"/>
      <c r="Y721" s="371"/>
      <c r="Z721" s="371"/>
    </row>
    <row r="722">
      <c r="A722" s="371"/>
      <c r="B722" s="371"/>
      <c r="C722" s="371"/>
      <c r="D722" s="372"/>
      <c r="E722" s="371"/>
      <c r="F722" s="371"/>
      <c r="G722" s="371"/>
      <c r="H722" s="371"/>
      <c r="I722" s="371"/>
      <c r="J722" s="371"/>
      <c r="K722" s="371"/>
      <c r="L722" s="371"/>
      <c r="M722" s="371"/>
      <c r="N722" s="371"/>
      <c r="O722" s="371"/>
      <c r="P722" s="371"/>
      <c r="Q722" s="371"/>
      <c r="R722" s="371"/>
      <c r="S722" s="371"/>
      <c r="T722" s="371"/>
      <c r="U722" s="371"/>
      <c r="V722" s="371"/>
      <c r="W722" s="371"/>
      <c r="X722" s="371"/>
      <c r="Y722" s="371"/>
      <c r="Z722" s="371"/>
    </row>
    <row r="723">
      <c r="A723" s="371"/>
      <c r="B723" s="371"/>
      <c r="C723" s="371"/>
      <c r="D723" s="372"/>
      <c r="E723" s="371"/>
      <c r="F723" s="371"/>
      <c r="G723" s="371"/>
      <c r="H723" s="371"/>
      <c r="I723" s="371"/>
      <c r="J723" s="371"/>
      <c r="K723" s="371"/>
      <c r="L723" s="371"/>
      <c r="M723" s="371"/>
      <c r="N723" s="371"/>
      <c r="O723" s="371"/>
      <c r="P723" s="371"/>
      <c r="Q723" s="371"/>
      <c r="R723" s="371"/>
      <c r="S723" s="371"/>
      <c r="T723" s="371"/>
      <c r="U723" s="371"/>
      <c r="V723" s="371"/>
      <c r="W723" s="371"/>
      <c r="X723" s="371"/>
      <c r="Y723" s="371"/>
      <c r="Z723" s="371"/>
    </row>
    <row r="724">
      <c r="A724" s="371"/>
      <c r="B724" s="371"/>
      <c r="C724" s="371"/>
      <c r="D724" s="372"/>
      <c r="E724" s="371"/>
      <c r="F724" s="371"/>
      <c r="G724" s="371"/>
      <c r="H724" s="371"/>
      <c r="I724" s="371"/>
      <c r="J724" s="371"/>
      <c r="K724" s="371"/>
      <c r="L724" s="371"/>
      <c r="M724" s="371"/>
      <c r="N724" s="371"/>
      <c r="O724" s="371"/>
      <c r="P724" s="371"/>
      <c r="Q724" s="371"/>
      <c r="R724" s="371"/>
      <c r="S724" s="371"/>
      <c r="T724" s="371"/>
      <c r="U724" s="371"/>
      <c r="V724" s="371"/>
      <c r="W724" s="371"/>
      <c r="X724" s="371"/>
      <c r="Y724" s="371"/>
      <c r="Z724" s="371"/>
    </row>
    <row r="725">
      <c r="A725" s="371"/>
      <c r="B725" s="371"/>
      <c r="C725" s="371"/>
      <c r="D725" s="372"/>
      <c r="E725" s="371"/>
      <c r="F725" s="371"/>
      <c r="G725" s="371"/>
      <c r="H725" s="371"/>
      <c r="I725" s="371"/>
      <c r="J725" s="371"/>
      <c r="K725" s="371"/>
      <c r="L725" s="371"/>
      <c r="M725" s="371"/>
      <c r="N725" s="371"/>
      <c r="O725" s="371"/>
      <c r="P725" s="371"/>
      <c r="Q725" s="371"/>
      <c r="R725" s="371"/>
      <c r="S725" s="371"/>
      <c r="T725" s="371"/>
      <c r="U725" s="371"/>
      <c r="V725" s="371"/>
      <c r="W725" s="371"/>
      <c r="X725" s="371"/>
      <c r="Y725" s="371"/>
      <c r="Z725" s="371"/>
    </row>
    <row r="726">
      <c r="A726" s="371"/>
      <c r="B726" s="371"/>
      <c r="C726" s="371"/>
      <c r="D726" s="372"/>
      <c r="E726" s="371"/>
      <c r="F726" s="371"/>
      <c r="G726" s="371"/>
      <c r="H726" s="371"/>
      <c r="I726" s="371"/>
      <c r="J726" s="371"/>
      <c r="K726" s="371"/>
      <c r="L726" s="371"/>
      <c r="M726" s="371"/>
      <c r="N726" s="371"/>
      <c r="O726" s="371"/>
      <c r="P726" s="371"/>
      <c r="Q726" s="371"/>
      <c r="R726" s="371"/>
      <c r="S726" s="371"/>
      <c r="T726" s="371"/>
      <c r="U726" s="371"/>
      <c r="V726" s="371"/>
      <c r="W726" s="371"/>
      <c r="X726" s="371"/>
      <c r="Y726" s="371"/>
      <c r="Z726" s="371"/>
    </row>
    <row r="727">
      <c r="A727" s="371"/>
      <c r="B727" s="371"/>
      <c r="C727" s="371"/>
      <c r="D727" s="372"/>
      <c r="E727" s="371"/>
      <c r="F727" s="371"/>
      <c r="G727" s="371"/>
      <c r="H727" s="371"/>
      <c r="I727" s="371"/>
      <c r="J727" s="371"/>
      <c r="K727" s="371"/>
      <c r="L727" s="371"/>
      <c r="M727" s="371"/>
      <c r="N727" s="371"/>
      <c r="O727" s="371"/>
      <c r="P727" s="371"/>
      <c r="Q727" s="371"/>
      <c r="R727" s="371"/>
      <c r="S727" s="371"/>
      <c r="T727" s="371"/>
      <c r="U727" s="371"/>
      <c r="V727" s="371"/>
      <c r="W727" s="371"/>
      <c r="X727" s="371"/>
      <c r="Y727" s="371"/>
      <c r="Z727" s="371"/>
    </row>
    <row r="728">
      <c r="A728" s="371"/>
      <c r="B728" s="371"/>
      <c r="C728" s="371"/>
      <c r="D728" s="372"/>
      <c r="E728" s="371"/>
      <c r="F728" s="371"/>
      <c r="G728" s="371"/>
      <c r="H728" s="371"/>
      <c r="I728" s="371"/>
      <c r="J728" s="371"/>
      <c r="K728" s="371"/>
      <c r="L728" s="371"/>
      <c r="M728" s="371"/>
      <c r="N728" s="371"/>
      <c r="O728" s="371"/>
      <c r="P728" s="371"/>
      <c r="Q728" s="371"/>
      <c r="R728" s="371"/>
      <c r="S728" s="371"/>
      <c r="T728" s="371"/>
      <c r="U728" s="371"/>
      <c r="V728" s="371"/>
      <c r="W728" s="371"/>
      <c r="X728" s="371"/>
      <c r="Y728" s="371"/>
      <c r="Z728" s="371"/>
    </row>
    <row r="729">
      <c r="A729" s="371"/>
      <c r="B729" s="371"/>
      <c r="C729" s="371"/>
      <c r="D729" s="372"/>
      <c r="E729" s="371"/>
      <c r="F729" s="371"/>
      <c r="G729" s="371"/>
      <c r="H729" s="371"/>
      <c r="I729" s="371"/>
      <c r="J729" s="371"/>
      <c r="K729" s="371"/>
      <c r="L729" s="371"/>
      <c r="M729" s="371"/>
      <c r="N729" s="371"/>
      <c r="O729" s="371"/>
      <c r="P729" s="371"/>
      <c r="Q729" s="371"/>
      <c r="R729" s="371"/>
      <c r="S729" s="371"/>
      <c r="T729" s="371"/>
      <c r="U729" s="371"/>
      <c r="V729" s="371"/>
      <c r="W729" s="371"/>
      <c r="X729" s="371"/>
      <c r="Y729" s="371"/>
      <c r="Z729" s="371"/>
    </row>
    <row r="730">
      <c r="A730" s="371"/>
      <c r="B730" s="371"/>
      <c r="C730" s="371"/>
      <c r="D730" s="372"/>
      <c r="E730" s="371"/>
      <c r="F730" s="371"/>
      <c r="G730" s="371"/>
      <c r="H730" s="371"/>
      <c r="I730" s="371"/>
      <c r="J730" s="371"/>
      <c r="K730" s="371"/>
      <c r="L730" s="371"/>
      <c r="M730" s="371"/>
      <c r="N730" s="371"/>
      <c r="O730" s="371"/>
      <c r="P730" s="371"/>
      <c r="Q730" s="371"/>
      <c r="R730" s="371"/>
      <c r="S730" s="371"/>
      <c r="T730" s="371"/>
      <c r="U730" s="371"/>
      <c r="V730" s="371"/>
      <c r="W730" s="371"/>
      <c r="X730" s="371"/>
      <c r="Y730" s="371"/>
      <c r="Z730" s="371"/>
    </row>
    <row r="731">
      <c r="A731" s="371"/>
      <c r="B731" s="371"/>
      <c r="C731" s="371"/>
      <c r="D731" s="372"/>
      <c r="E731" s="371"/>
      <c r="F731" s="371"/>
      <c r="G731" s="371"/>
      <c r="H731" s="371"/>
      <c r="I731" s="371"/>
      <c r="J731" s="371"/>
      <c r="K731" s="371"/>
      <c r="L731" s="371"/>
      <c r="M731" s="371"/>
      <c r="N731" s="371"/>
      <c r="O731" s="371"/>
      <c r="P731" s="371"/>
      <c r="Q731" s="371"/>
      <c r="R731" s="371"/>
      <c r="S731" s="371"/>
      <c r="T731" s="371"/>
      <c r="U731" s="371"/>
      <c r="V731" s="371"/>
      <c r="W731" s="371"/>
      <c r="X731" s="371"/>
      <c r="Y731" s="371"/>
      <c r="Z731" s="371"/>
    </row>
    <row r="732">
      <c r="A732" s="371"/>
      <c r="B732" s="371"/>
      <c r="C732" s="371"/>
      <c r="D732" s="372"/>
      <c r="E732" s="371"/>
      <c r="F732" s="371"/>
      <c r="G732" s="371"/>
      <c r="H732" s="371"/>
      <c r="I732" s="371"/>
      <c r="J732" s="371"/>
      <c r="K732" s="371"/>
      <c r="L732" s="371"/>
      <c r="M732" s="371"/>
      <c r="N732" s="371"/>
      <c r="O732" s="371"/>
      <c r="P732" s="371"/>
      <c r="Q732" s="371"/>
      <c r="R732" s="371"/>
      <c r="S732" s="371"/>
      <c r="T732" s="371"/>
      <c r="U732" s="371"/>
      <c r="V732" s="371"/>
      <c r="W732" s="371"/>
      <c r="X732" s="371"/>
      <c r="Y732" s="371"/>
      <c r="Z732" s="371"/>
    </row>
    <row r="733">
      <c r="A733" s="371"/>
      <c r="B733" s="371"/>
      <c r="C733" s="371"/>
      <c r="D733" s="372"/>
      <c r="E733" s="371"/>
      <c r="F733" s="371"/>
      <c r="G733" s="371"/>
      <c r="H733" s="371"/>
      <c r="I733" s="371"/>
      <c r="J733" s="371"/>
      <c r="K733" s="371"/>
      <c r="L733" s="371"/>
      <c r="M733" s="371"/>
      <c r="N733" s="371"/>
      <c r="O733" s="371"/>
      <c r="P733" s="371"/>
      <c r="Q733" s="371"/>
      <c r="R733" s="371"/>
      <c r="S733" s="371"/>
      <c r="T733" s="371"/>
      <c r="U733" s="371"/>
      <c r="V733" s="371"/>
      <c r="W733" s="371"/>
      <c r="X733" s="371"/>
      <c r="Y733" s="371"/>
      <c r="Z733" s="371"/>
    </row>
    <row r="734">
      <c r="A734" s="371"/>
      <c r="B734" s="371"/>
      <c r="C734" s="371"/>
      <c r="D734" s="372"/>
      <c r="E734" s="371"/>
      <c r="F734" s="371"/>
      <c r="G734" s="371"/>
      <c r="H734" s="371"/>
      <c r="I734" s="371"/>
      <c r="J734" s="371"/>
      <c r="K734" s="371"/>
      <c r="L734" s="371"/>
      <c r="M734" s="371"/>
      <c r="N734" s="371"/>
      <c r="O734" s="371"/>
      <c r="P734" s="371"/>
      <c r="Q734" s="371"/>
      <c r="R734" s="371"/>
      <c r="S734" s="371"/>
      <c r="T734" s="371"/>
      <c r="U734" s="371"/>
      <c r="V734" s="371"/>
      <c r="W734" s="371"/>
      <c r="X734" s="371"/>
      <c r="Y734" s="371"/>
      <c r="Z734" s="371"/>
    </row>
    <row r="735">
      <c r="A735" s="371"/>
      <c r="B735" s="371"/>
      <c r="C735" s="371"/>
      <c r="D735" s="372"/>
      <c r="E735" s="371"/>
      <c r="F735" s="371"/>
      <c r="G735" s="371"/>
      <c r="H735" s="371"/>
      <c r="I735" s="371"/>
      <c r="J735" s="371"/>
      <c r="K735" s="371"/>
      <c r="L735" s="371"/>
      <c r="M735" s="371"/>
      <c r="N735" s="371"/>
      <c r="O735" s="371"/>
      <c r="P735" s="371"/>
      <c r="Q735" s="371"/>
      <c r="R735" s="371"/>
      <c r="S735" s="371"/>
      <c r="T735" s="371"/>
      <c r="U735" s="371"/>
      <c r="V735" s="371"/>
      <c r="W735" s="371"/>
      <c r="X735" s="371"/>
      <c r="Y735" s="371"/>
      <c r="Z735" s="371"/>
    </row>
    <row r="736">
      <c r="A736" s="371"/>
      <c r="B736" s="371"/>
      <c r="C736" s="371"/>
      <c r="D736" s="372"/>
      <c r="E736" s="371"/>
      <c r="F736" s="371"/>
      <c r="G736" s="371"/>
      <c r="H736" s="371"/>
      <c r="I736" s="371"/>
      <c r="J736" s="371"/>
      <c r="K736" s="371"/>
      <c r="L736" s="371"/>
      <c r="M736" s="371"/>
      <c r="N736" s="371"/>
      <c r="O736" s="371"/>
      <c r="P736" s="371"/>
      <c r="Q736" s="371"/>
      <c r="R736" s="371"/>
      <c r="S736" s="371"/>
      <c r="T736" s="371"/>
      <c r="U736" s="371"/>
      <c r="V736" s="371"/>
      <c r="W736" s="371"/>
      <c r="X736" s="371"/>
      <c r="Y736" s="371"/>
      <c r="Z736" s="371"/>
    </row>
    <row r="737">
      <c r="A737" s="371"/>
      <c r="B737" s="371"/>
      <c r="C737" s="371"/>
      <c r="D737" s="372"/>
      <c r="E737" s="371"/>
      <c r="F737" s="371"/>
      <c r="G737" s="371"/>
      <c r="H737" s="371"/>
      <c r="I737" s="371"/>
      <c r="J737" s="371"/>
      <c r="K737" s="371"/>
      <c r="L737" s="371"/>
      <c r="M737" s="371"/>
      <c r="N737" s="371"/>
      <c r="O737" s="371"/>
      <c r="P737" s="371"/>
      <c r="Q737" s="371"/>
      <c r="R737" s="371"/>
      <c r="S737" s="371"/>
      <c r="T737" s="371"/>
      <c r="U737" s="371"/>
      <c r="V737" s="371"/>
      <c r="W737" s="371"/>
      <c r="X737" s="371"/>
      <c r="Y737" s="371"/>
      <c r="Z737" s="371"/>
    </row>
    <row r="738">
      <c r="A738" s="371"/>
      <c r="B738" s="371"/>
      <c r="C738" s="371"/>
      <c r="D738" s="372"/>
      <c r="E738" s="371"/>
      <c r="F738" s="371"/>
      <c r="G738" s="371"/>
      <c r="H738" s="371"/>
      <c r="I738" s="371"/>
      <c r="J738" s="371"/>
      <c r="K738" s="371"/>
      <c r="L738" s="371"/>
      <c r="M738" s="371"/>
      <c r="N738" s="371"/>
      <c r="O738" s="371"/>
      <c r="P738" s="371"/>
      <c r="Q738" s="371"/>
      <c r="R738" s="371"/>
      <c r="S738" s="371"/>
      <c r="T738" s="371"/>
      <c r="U738" s="371"/>
      <c r="V738" s="371"/>
      <c r="W738" s="371"/>
      <c r="X738" s="371"/>
      <c r="Y738" s="371"/>
      <c r="Z738" s="371"/>
    </row>
    <row r="739">
      <c r="A739" s="371"/>
      <c r="B739" s="371"/>
      <c r="C739" s="371"/>
      <c r="D739" s="372"/>
      <c r="E739" s="371"/>
      <c r="F739" s="371"/>
      <c r="G739" s="371"/>
      <c r="H739" s="371"/>
      <c r="I739" s="371"/>
      <c r="J739" s="371"/>
      <c r="K739" s="371"/>
      <c r="L739" s="371"/>
      <c r="M739" s="371"/>
      <c r="N739" s="371"/>
      <c r="O739" s="371"/>
      <c r="P739" s="371"/>
      <c r="Q739" s="371"/>
      <c r="R739" s="371"/>
      <c r="S739" s="371"/>
      <c r="T739" s="371"/>
      <c r="U739" s="371"/>
      <c r="V739" s="371"/>
      <c r="W739" s="371"/>
      <c r="X739" s="371"/>
      <c r="Y739" s="371"/>
      <c r="Z739" s="371"/>
    </row>
    <row r="740">
      <c r="A740" s="371"/>
      <c r="B740" s="371"/>
      <c r="C740" s="371"/>
      <c r="D740" s="372"/>
      <c r="E740" s="371"/>
      <c r="F740" s="371"/>
      <c r="G740" s="371"/>
      <c r="H740" s="371"/>
      <c r="I740" s="371"/>
      <c r="J740" s="371"/>
      <c r="K740" s="371"/>
      <c r="L740" s="371"/>
      <c r="M740" s="371"/>
      <c r="N740" s="371"/>
      <c r="O740" s="371"/>
      <c r="P740" s="371"/>
      <c r="Q740" s="371"/>
      <c r="R740" s="371"/>
      <c r="S740" s="371"/>
      <c r="T740" s="371"/>
      <c r="U740" s="371"/>
      <c r="V740" s="371"/>
      <c r="W740" s="371"/>
      <c r="X740" s="371"/>
      <c r="Y740" s="371"/>
      <c r="Z740" s="371"/>
    </row>
    <row r="741">
      <c r="A741" s="371"/>
      <c r="B741" s="371"/>
      <c r="C741" s="371"/>
      <c r="D741" s="372"/>
      <c r="E741" s="371"/>
      <c r="F741" s="371"/>
      <c r="G741" s="371"/>
      <c r="H741" s="371"/>
      <c r="I741" s="371"/>
      <c r="J741" s="371"/>
      <c r="K741" s="371"/>
      <c r="L741" s="371"/>
      <c r="M741" s="371"/>
      <c r="N741" s="371"/>
      <c r="O741" s="371"/>
      <c r="P741" s="371"/>
      <c r="Q741" s="371"/>
      <c r="R741" s="371"/>
      <c r="S741" s="371"/>
      <c r="T741" s="371"/>
      <c r="U741" s="371"/>
      <c r="V741" s="371"/>
      <c r="W741" s="371"/>
      <c r="X741" s="371"/>
      <c r="Y741" s="371"/>
      <c r="Z741" s="371"/>
    </row>
    <row r="742">
      <c r="A742" s="371"/>
      <c r="B742" s="371"/>
      <c r="C742" s="371"/>
      <c r="D742" s="372"/>
      <c r="E742" s="371"/>
      <c r="F742" s="371"/>
      <c r="G742" s="371"/>
      <c r="H742" s="371"/>
      <c r="I742" s="371"/>
      <c r="J742" s="371"/>
      <c r="K742" s="371"/>
      <c r="L742" s="371"/>
      <c r="M742" s="371"/>
      <c r="N742" s="371"/>
      <c r="O742" s="371"/>
      <c r="P742" s="371"/>
      <c r="Q742" s="371"/>
      <c r="R742" s="371"/>
      <c r="S742" s="371"/>
      <c r="T742" s="371"/>
      <c r="U742" s="371"/>
      <c r="V742" s="371"/>
      <c r="W742" s="371"/>
      <c r="X742" s="371"/>
      <c r="Y742" s="371"/>
      <c r="Z742" s="371"/>
    </row>
    <row r="743">
      <c r="A743" s="371"/>
      <c r="B743" s="371"/>
      <c r="C743" s="371"/>
      <c r="D743" s="372"/>
      <c r="E743" s="371"/>
      <c r="F743" s="371"/>
      <c r="G743" s="371"/>
      <c r="H743" s="371"/>
      <c r="I743" s="371"/>
      <c r="J743" s="371"/>
      <c r="K743" s="371"/>
      <c r="L743" s="371"/>
      <c r="M743" s="371"/>
      <c r="N743" s="371"/>
      <c r="O743" s="371"/>
      <c r="P743" s="371"/>
      <c r="Q743" s="371"/>
      <c r="R743" s="371"/>
      <c r="S743" s="371"/>
      <c r="T743" s="371"/>
      <c r="U743" s="371"/>
      <c r="V743" s="371"/>
      <c r="W743" s="371"/>
      <c r="X743" s="371"/>
      <c r="Y743" s="371"/>
      <c r="Z743" s="371"/>
    </row>
    <row r="744">
      <c r="A744" s="371"/>
      <c r="B744" s="371"/>
      <c r="C744" s="371"/>
      <c r="D744" s="372"/>
      <c r="E744" s="371"/>
      <c r="F744" s="371"/>
      <c r="G744" s="371"/>
      <c r="H744" s="371"/>
      <c r="I744" s="371"/>
      <c r="J744" s="371"/>
      <c r="K744" s="371"/>
      <c r="L744" s="371"/>
      <c r="M744" s="371"/>
      <c r="N744" s="371"/>
      <c r="O744" s="371"/>
      <c r="P744" s="371"/>
      <c r="Q744" s="371"/>
      <c r="R744" s="371"/>
      <c r="S744" s="371"/>
      <c r="T744" s="371"/>
      <c r="U744" s="371"/>
      <c r="V744" s="371"/>
      <c r="W744" s="371"/>
      <c r="X744" s="371"/>
      <c r="Y744" s="371"/>
      <c r="Z744" s="371"/>
    </row>
    <row r="745">
      <c r="A745" s="371"/>
      <c r="B745" s="371"/>
      <c r="C745" s="371"/>
      <c r="D745" s="372"/>
      <c r="E745" s="371"/>
      <c r="F745" s="371"/>
      <c r="G745" s="371"/>
      <c r="H745" s="371"/>
      <c r="I745" s="371"/>
      <c r="J745" s="371"/>
      <c r="K745" s="371"/>
      <c r="L745" s="371"/>
      <c r="M745" s="371"/>
      <c r="N745" s="371"/>
      <c r="O745" s="371"/>
      <c r="P745" s="371"/>
      <c r="Q745" s="371"/>
      <c r="R745" s="371"/>
      <c r="S745" s="371"/>
      <c r="T745" s="371"/>
      <c r="U745" s="371"/>
      <c r="V745" s="371"/>
      <c r="W745" s="371"/>
      <c r="X745" s="371"/>
      <c r="Y745" s="371"/>
      <c r="Z745" s="371"/>
    </row>
    <row r="746">
      <c r="A746" s="371"/>
      <c r="B746" s="371"/>
      <c r="C746" s="371"/>
      <c r="D746" s="372"/>
      <c r="E746" s="371"/>
      <c r="F746" s="371"/>
      <c r="G746" s="371"/>
      <c r="H746" s="371"/>
      <c r="I746" s="371"/>
      <c r="J746" s="371"/>
      <c r="K746" s="371"/>
      <c r="L746" s="371"/>
      <c r="M746" s="371"/>
      <c r="N746" s="371"/>
      <c r="O746" s="371"/>
      <c r="P746" s="371"/>
      <c r="Q746" s="371"/>
      <c r="R746" s="371"/>
      <c r="S746" s="371"/>
      <c r="T746" s="371"/>
      <c r="U746" s="371"/>
      <c r="V746" s="371"/>
      <c r="W746" s="371"/>
      <c r="X746" s="371"/>
      <c r="Y746" s="371"/>
      <c r="Z746" s="371"/>
    </row>
    <row r="747">
      <c r="A747" s="371"/>
      <c r="B747" s="371"/>
      <c r="C747" s="371"/>
      <c r="D747" s="372"/>
      <c r="E747" s="371"/>
      <c r="F747" s="371"/>
      <c r="G747" s="371"/>
      <c r="H747" s="371"/>
      <c r="I747" s="371"/>
      <c r="J747" s="371"/>
      <c r="K747" s="371"/>
      <c r="L747" s="371"/>
      <c r="M747" s="371"/>
      <c r="N747" s="371"/>
      <c r="O747" s="371"/>
      <c r="P747" s="371"/>
      <c r="Q747" s="371"/>
      <c r="R747" s="371"/>
      <c r="S747" s="371"/>
      <c r="T747" s="371"/>
      <c r="U747" s="371"/>
      <c r="V747" s="371"/>
      <c r="W747" s="371"/>
      <c r="X747" s="371"/>
      <c r="Y747" s="371"/>
      <c r="Z747" s="371"/>
    </row>
    <row r="748">
      <c r="A748" s="371"/>
      <c r="B748" s="371"/>
      <c r="C748" s="371"/>
      <c r="D748" s="372"/>
      <c r="E748" s="371"/>
      <c r="F748" s="371"/>
      <c r="G748" s="371"/>
      <c r="H748" s="371"/>
      <c r="I748" s="371"/>
      <c r="J748" s="371"/>
      <c r="K748" s="371"/>
      <c r="L748" s="371"/>
      <c r="M748" s="371"/>
      <c r="N748" s="371"/>
      <c r="O748" s="371"/>
      <c r="P748" s="371"/>
      <c r="Q748" s="371"/>
      <c r="R748" s="371"/>
      <c r="S748" s="371"/>
      <c r="T748" s="371"/>
      <c r="U748" s="371"/>
      <c r="V748" s="371"/>
      <c r="W748" s="371"/>
      <c r="X748" s="371"/>
      <c r="Y748" s="371"/>
      <c r="Z748" s="371"/>
    </row>
    <row r="749">
      <c r="A749" s="371"/>
      <c r="B749" s="371"/>
      <c r="C749" s="371"/>
      <c r="D749" s="372"/>
      <c r="E749" s="371"/>
      <c r="F749" s="371"/>
      <c r="G749" s="371"/>
      <c r="H749" s="371"/>
      <c r="I749" s="371"/>
      <c r="J749" s="371"/>
      <c r="K749" s="371"/>
      <c r="L749" s="371"/>
      <c r="M749" s="371"/>
      <c r="N749" s="371"/>
      <c r="O749" s="371"/>
      <c r="P749" s="371"/>
      <c r="Q749" s="371"/>
      <c r="R749" s="371"/>
      <c r="S749" s="371"/>
      <c r="T749" s="371"/>
      <c r="U749" s="371"/>
      <c r="V749" s="371"/>
      <c r="W749" s="371"/>
      <c r="X749" s="371"/>
      <c r="Y749" s="371"/>
      <c r="Z749" s="371"/>
    </row>
    <row r="750">
      <c r="A750" s="371"/>
      <c r="B750" s="371"/>
      <c r="C750" s="371"/>
      <c r="D750" s="372"/>
      <c r="E750" s="371"/>
      <c r="F750" s="371"/>
      <c r="G750" s="371"/>
      <c r="H750" s="371"/>
      <c r="I750" s="371"/>
      <c r="J750" s="371"/>
      <c r="K750" s="371"/>
      <c r="L750" s="371"/>
      <c r="M750" s="371"/>
      <c r="N750" s="371"/>
      <c r="O750" s="371"/>
      <c r="P750" s="371"/>
      <c r="Q750" s="371"/>
      <c r="R750" s="371"/>
      <c r="S750" s="371"/>
      <c r="T750" s="371"/>
      <c r="U750" s="371"/>
      <c r="V750" s="371"/>
      <c r="W750" s="371"/>
      <c r="X750" s="371"/>
      <c r="Y750" s="371"/>
      <c r="Z750" s="371"/>
    </row>
    <row r="751">
      <c r="A751" s="371"/>
      <c r="B751" s="371"/>
      <c r="C751" s="371"/>
      <c r="D751" s="372"/>
      <c r="E751" s="371"/>
      <c r="F751" s="371"/>
      <c r="G751" s="371"/>
      <c r="H751" s="371"/>
      <c r="I751" s="371"/>
      <c r="J751" s="371"/>
      <c r="K751" s="371"/>
      <c r="L751" s="371"/>
      <c r="M751" s="371"/>
      <c r="N751" s="371"/>
      <c r="O751" s="371"/>
      <c r="P751" s="371"/>
      <c r="Q751" s="371"/>
      <c r="R751" s="371"/>
      <c r="S751" s="371"/>
      <c r="T751" s="371"/>
      <c r="U751" s="371"/>
      <c r="V751" s="371"/>
      <c r="W751" s="371"/>
      <c r="X751" s="371"/>
      <c r="Y751" s="371"/>
      <c r="Z751" s="371"/>
    </row>
    <row r="752">
      <c r="A752" s="371"/>
      <c r="B752" s="371"/>
      <c r="C752" s="371"/>
      <c r="D752" s="372"/>
      <c r="E752" s="371"/>
      <c r="F752" s="371"/>
      <c r="G752" s="371"/>
      <c r="H752" s="371"/>
      <c r="I752" s="371"/>
      <c r="J752" s="371"/>
      <c r="K752" s="371"/>
      <c r="L752" s="371"/>
      <c r="M752" s="371"/>
      <c r="N752" s="371"/>
      <c r="O752" s="371"/>
      <c r="P752" s="371"/>
      <c r="Q752" s="371"/>
      <c r="R752" s="371"/>
      <c r="S752" s="371"/>
      <c r="T752" s="371"/>
      <c r="U752" s="371"/>
      <c r="V752" s="371"/>
      <c r="W752" s="371"/>
      <c r="X752" s="371"/>
      <c r="Y752" s="371"/>
      <c r="Z752" s="371"/>
    </row>
    <row r="753">
      <c r="A753" s="371"/>
      <c r="B753" s="371"/>
      <c r="C753" s="371"/>
      <c r="D753" s="372"/>
      <c r="E753" s="371"/>
      <c r="F753" s="371"/>
      <c r="G753" s="371"/>
      <c r="H753" s="371"/>
      <c r="I753" s="371"/>
      <c r="J753" s="371"/>
      <c r="K753" s="371"/>
      <c r="L753" s="371"/>
      <c r="M753" s="371"/>
      <c r="N753" s="371"/>
      <c r="O753" s="371"/>
      <c r="P753" s="371"/>
      <c r="Q753" s="371"/>
      <c r="R753" s="371"/>
      <c r="S753" s="371"/>
      <c r="T753" s="371"/>
      <c r="U753" s="371"/>
      <c r="V753" s="371"/>
      <c r="W753" s="371"/>
      <c r="X753" s="371"/>
      <c r="Y753" s="371"/>
      <c r="Z753" s="371"/>
    </row>
    <row r="754">
      <c r="A754" s="371"/>
      <c r="B754" s="371"/>
      <c r="C754" s="371"/>
      <c r="D754" s="372"/>
      <c r="E754" s="371"/>
      <c r="F754" s="371"/>
      <c r="G754" s="371"/>
      <c r="H754" s="371"/>
      <c r="I754" s="371"/>
      <c r="J754" s="371"/>
      <c r="K754" s="371"/>
      <c r="L754" s="371"/>
      <c r="M754" s="371"/>
      <c r="N754" s="371"/>
      <c r="O754" s="371"/>
      <c r="P754" s="371"/>
      <c r="Q754" s="371"/>
      <c r="R754" s="371"/>
      <c r="S754" s="371"/>
      <c r="T754" s="371"/>
      <c r="U754" s="371"/>
      <c r="V754" s="371"/>
      <c r="W754" s="371"/>
      <c r="X754" s="371"/>
      <c r="Y754" s="371"/>
      <c r="Z754" s="371"/>
    </row>
    <row r="755">
      <c r="A755" s="371"/>
      <c r="B755" s="371"/>
      <c r="C755" s="371"/>
      <c r="D755" s="372"/>
      <c r="E755" s="371"/>
      <c r="F755" s="371"/>
      <c r="G755" s="371"/>
      <c r="H755" s="371"/>
      <c r="I755" s="371"/>
      <c r="J755" s="371"/>
      <c r="K755" s="371"/>
      <c r="L755" s="371"/>
      <c r="M755" s="371"/>
      <c r="N755" s="371"/>
      <c r="O755" s="371"/>
      <c r="P755" s="371"/>
      <c r="Q755" s="371"/>
      <c r="R755" s="371"/>
      <c r="S755" s="371"/>
      <c r="T755" s="371"/>
      <c r="U755" s="371"/>
      <c r="V755" s="371"/>
      <c r="W755" s="371"/>
      <c r="X755" s="371"/>
      <c r="Y755" s="371"/>
      <c r="Z755" s="371"/>
    </row>
    <row r="756">
      <c r="A756" s="371"/>
      <c r="B756" s="371"/>
      <c r="C756" s="371"/>
      <c r="D756" s="372"/>
      <c r="E756" s="371"/>
      <c r="F756" s="371"/>
      <c r="G756" s="371"/>
      <c r="H756" s="371"/>
      <c r="I756" s="371"/>
      <c r="J756" s="371"/>
      <c r="K756" s="371"/>
      <c r="L756" s="371"/>
      <c r="M756" s="371"/>
      <c r="N756" s="371"/>
      <c r="O756" s="371"/>
      <c r="P756" s="371"/>
      <c r="Q756" s="371"/>
      <c r="R756" s="371"/>
      <c r="S756" s="371"/>
      <c r="T756" s="371"/>
      <c r="U756" s="371"/>
      <c r="V756" s="371"/>
      <c r="W756" s="371"/>
      <c r="X756" s="371"/>
      <c r="Y756" s="371"/>
      <c r="Z756" s="371"/>
    </row>
    <row r="757">
      <c r="A757" s="371"/>
      <c r="B757" s="371"/>
      <c r="C757" s="371"/>
      <c r="D757" s="372"/>
      <c r="E757" s="371"/>
      <c r="F757" s="371"/>
      <c r="G757" s="371"/>
      <c r="H757" s="371"/>
      <c r="I757" s="371"/>
      <c r="J757" s="371"/>
      <c r="K757" s="371"/>
      <c r="L757" s="371"/>
      <c r="M757" s="371"/>
      <c r="N757" s="371"/>
      <c r="O757" s="371"/>
      <c r="P757" s="371"/>
      <c r="Q757" s="371"/>
      <c r="R757" s="371"/>
      <c r="S757" s="371"/>
      <c r="T757" s="371"/>
      <c r="U757" s="371"/>
      <c r="V757" s="371"/>
      <c r="W757" s="371"/>
      <c r="X757" s="371"/>
      <c r="Y757" s="371"/>
      <c r="Z757" s="371"/>
    </row>
    <row r="758">
      <c r="A758" s="371"/>
      <c r="B758" s="371"/>
      <c r="C758" s="371"/>
      <c r="D758" s="372"/>
      <c r="E758" s="371"/>
      <c r="F758" s="371"/>
      <c r="G758" s="371"/>
      <c r="H758" s="371"/>
      <c r="I758" s="371"/>
      <c r="J758" s="371"/>
      <c r="K758" s="371"/>
      <c r="L758" s="371"/>
      <c r="M758" s="371"/>
      <c r="N758" s="371"/>
      <c r="O758" s="371"/>
      <c r="P758" s="371"/>
      <c r="Q758" s="371"/>
      <c r="R758" s="371"/>
      <c r="S758" s="371"/>
      <c r="T758" s="371"/>
      <c r="U758" s="371"/>
      <c r="V758" s="371"/>
      <c r="W758" s="371"/>
      <c r="X758" s="371"/>
      <c r="Y758" s="371"/>
      <c r="Z758" s="371"/>
    </row>
    <row r="759">
      <c r="A759" s="371"/>
      <c r="B759" s="371"/>
      <c r="C759" s="371"/>
      <c r="D759" s="372"/>
      <c r="E759" s="371"/>
      <c r="F759" s="371"/>
      <c r="G759" s="371"/>
      <c r="H759" s="371"/>
      <c r="I759" s="371"/>
      <c r="J759" s="371"/>
      <c r="K759" s="371"/>
      <c r="L759" s="371"/>
      <c r="M759" s="371"/>
      <c r="N759" s="371"/>
      <c r="O759" s="371"/>
      <c r="P759" s="371"/>
      <c r="Q759" s="371"/>
      <c r="R759" s="371"/>
      <c r="S759" s="371"/>
      <c r="T759" s="371"/>
      <c r="U759" s="371"/>
      <c r="V759" s="371"/>
      <c r="W759" s="371"/>
      <c r="X759" s="371"/>
      <c r="Y759" s="371"/>
      <c r="Z759" s="371"/>
    </row>
    <row r="760">
      <c r="A760" s="371"/>
      <c r="B760" s="371"/>
      <c r="C760" s="371"/>
      <c r="D760" s="372"/>
      <c r="E760" s="371"/>
      <c r="F760" s="371"/>
      <c r="G760" s="371"/>
      <c r="H760" s="371"/>
      <c r="I760" s="371"/>
      <c r="J760" s="371"/>
      <c r="K760" s="371"/>
      <c r="L760" s="371"/>
      <c r="M760" s="371"/>
      <c r="N760" s="371"/>
      <c r="O760" s="371"/>
      <c r="P760" s="371"/>
      <c r="Q760" s="371"/>
      <c r="R760" s="371"/>
      <c r="S760" s="371"/>
      <c r="T760" s="371"/>
      <c r="U760" s="371"/>
      <c r="V760" s="371"/>
      <c r="W760" s="371"/>
      <c r="X760" s="371"/>
      <c r="Y760" s="371"/>
      <c r="Z760" s="371"/>
    </row>
    <row r="761">
      <c r="A761" s="371"/>
      <c r="B761" s="371"/>
      <c r="C761" s="371"/>
      <c r="D761" s="372"/>
      <c r="E761" s="371"/>
      <c r="F761" s="371"/>
      <c r="G761" s="371"/>
      <c r="H761" s="371"/>
      <c r="I761" s="371"/>
      <c r="J761" s="371"/>
      <c r="K761" s="371"/>
      <c r="L761" s="371"/>
      <c r="M761" s="371"/>
      <c r="N761" s="371"/>
      <c r="O761" s="371"/>
      <c r="P761" s="371"/>
      <c r="Q761" s="371"/>
      <c r="R761" s="371"/>
      <c r="S761" s="371"/>
      <c r="T761" s="371"/>
      <c r="U761" s="371"/>
      <c r="V761" s="371"/>
      <c r="W761" s="371"/>
      <c r="X761" s="371"/>
      <c r="Y761" s="371"/>
      <c r="Z761" s="371"/>
    </row>
    <row r="762">
      <c r="A762" s="371"/>
      <c r="B762" s="371"/>
      <c r="C762" s="371"/>
      <c r="D762" s="372"/>
      <c r="E762" s="371"/>
      <c r="F762" s="371"/>
      <c r="G762" s="371"/>
      <c r="H762" s="371"/>
      <c r="I762" s="371"/>
      <c r="J762" s="371"/>
      <c r="K762" s="371"/>
      <c r="L762" s="371"/>
      <c r="M762" s="371"/>
      <c r="N762" s="371"/>
      <c r="O762" s="371"/>
      <c r="P762" s="371"/>
      <c r="Q762" s="371"/>
      <c r="R762" s="371"/>
      <c r="S762" s="371"/>
      <c r="T762" s="371"/>
      <c r="U762" s="371"/>
      <c r="V762" s="371"/>
      <c r="W762" s="371"/>
      <c r="X762" s="371"/>
      <c r="Y762" s="371"/>
      <c r="Z762" s="371"/>
    </row>
    <row r="763">
      <c r="A763" s="371"/>
      <c r="B763" s="371"/>
      <c r="C763" s="371"/>
      <c r="D763" s="372"/>
      <c r="E763" s="371"/>
      <c r="F763" s="371"/>
      <c r="G763" s="371"/>
      <c r="H763" s="371"/>
      <c r="I763" s="371"/>
      <c r="J763" s="371"/>
      <c r="K763" s="371"/>
      <c r="L763" s="371"/>
      <c r="M763" s="371"/>
      <c r="N763" s="371"/>
      <c r="O763" s="371"/>
      <c r="P763" s="371"/>
      <c r="Q763" s="371"/>
      <c r="R763" s="371"/>
      <c r="S763" s="371"/>
      <c r="T763" s="371"/>
      <c r="U763" s="371"/>
      <c r="V763" s="371"/>
      <c r="W763" s="371"/>
      <c r="X763" s="371"/>
      <c r="Y763" s="371"/>
      <c r="Z763" s="371"/>
    </row>
    <row r="764">
      <c r="A764" s="371"/>
      <c r="B764" s="371"/>
      <c r="C764" s="371"/>
      <c r="D764" s="372"/>
      <c r="E764" s="371"/>
      <c r="F764" s="371"/>
      <c r="G764" s="371"/>
      <c r="H764" s="371"/>
      <c r="I764" s="371"/>
      <c r="J764" s="371"/>
      <c r="K764" s="371"/>
      <c r="L764" s="371"/>
      <c r="M764" s="371"/>
      <c r="N764" s="371"/>
      <c r="O764" s="371"/>
      <c r="P764" s="371"/>
      <c r="Q764" s="371"/>
      <c r="R764" s="371"/>
      <c r="S764" s="371"/>
      <c r="T764" s="371"/>
      <c r="U764" s="371"/>
      <c r="V764" s="371"/>
      <c r="W764" s="371"/>
      <c r="X764" s="371"/>
      <c r="Y764" s="371"/>
      <c r="Z764" s="371"/>
    </row>
    <row r="765">
      <c r="A765" s="371"/>
      <c r="B765" s="371"/>
      <c r="C765" s="371"/>
      <c r="D765" s="372"/>
      <c r="E765" s="371"/>
      <c r="F765" s="371"/>
      <c r="G765" s="371"/>
      <c r="H765" s="371"/>
      <c r="I765" s="371"/>
      <c r="J765" s="371"/>
      <c r="K765" s="371"/>
      <c r="L765" s="371"/>
      <c r="M765" s="371"/>
      <c r="N765" s="371"/>
      <c r="O765" s="371"/>
      <c r="P765" s="371"/>
      <c r="Q765" s="371"/>
      <c r="R765" s="371"/>
      <c r="S765" s="371"/>
      <c r="T765" s="371"/>
      <c r="U765" s="371"/>
      <c r="V765" s="371"/>
      <c r="W765" s="371"/>
      <c r="X765" s="371"/>
      <c r="Y765" s="371"/>
      <c r="Z765" s="371"/>
    </row>
    <row r="766">
      <c r="A766" s="371"/>
      <c r="B766" s="371"/>
      <c r="C766" s="371"/>
      <c r="D766" s="372"/>
      <c r="E766" s="371"/>
      <c r="F766" s="371"/>
      <c r="G766" s="371"/>
      <c r="H766" s="371"/>
      <c r="I766" s="371"/>
      <c r="J766" s="371"/>
      <c r="K766" s="371"/>
      <c r="L766" s="371"/>
      <c r="M766" s="371"/>
      <c r="N766" s="371"/>
      <c r="O766" s="371"/>
      <c r="P766" s="371"/>
      <c r="Q766" s="371"/>
      <c r="R766" s="371"/>
      <c r="S766" s="371"/>
      <c r="T766" s="371"/>
      <c r="U766" s="371"/>
      <c r="V766" s="371"/>
      <c r="W766" s="371"/>
      <c r="X766" s="371"/>
      <c r="Y766" s="371"/>
      <c r="Z766" s="371"/>
    </row>
    <row r="767">
      <c r="A767" s="371"/>
      <c r="B767" s="371"/>
      <c r="C767" s="371"/>
      <c r="D767" s="372"/>
      <c r="E767" s="371"/>
      <c r="F767" s="371"/>
      <c r="G767" s="371"/>
      <c r="H767" s="371"/>
      <c r="I767" s="371"/>
      <c r="J767" s="371"/>
      <c r="K767" s="371"/>
      <c r="L767" s="371"/>
      <c r="M767" s="371"/>
      <c r="N767" s="371"/>
      <c r="O767" s="371"/>
      <c r="P767" s="371"/>
      <c r="Q767" s="371"/>
      <c r="R767" s="371"/>
      <c r="S767" s="371"/>
      <c r="T767" s="371"/>
      <c r="U767" s="371"/>
      <c r="V767" s="371"/>
      <c r="W767" s="371"/>
      <c r="X767" s="371"/>
      <c r="Y767" s="371"/>
      <c r="Z767" s="371"/>
    </row>
    <row r="768">
      <c r="A768" s="371"/>
      <c r="B768" s="371"/>
      <c r="C768" s="371"/>
      <c r="D768" s="372"/>
      <c r="E768" s="371"/>
      <c r="F768" s="371"/>
      <c r="G768" s="371"/>
      <c r="H768" s="371"/>
      <c r="I768" s="371"/>
      <c r="J768" s="371"/>
      <c r="K768" s="371"/>
      <c r="L768" s="371"/>
      <c r="M768" s="371"/>
      <c r="N768" s="371"/>
      <c r="O768" s="371"/>
      <c r="P768" s="371"/>
      <c r="Q768" s="371"/>
      <c r="R768" s="371"/>
      <c r="S768" s="371"/>
      <c r="T768" s="371"/>
      <c r="U768" s="371"/>
      <c r="V768" s="371"/>
      <c r="W768" s="371"/>
      <c r="X768" s="371"/>
      <c r="Y768" s="371"/>
      <c r="Z768" s="371"/>
    </row>
    <row r="769">
      <c r="A769" s="371"/>
      <c r="B769" s="371"/>
      <c r="C769" s="371"/>
      <c r="D769" s="372"/>
      <c r="E769" s="371"/>
      <c r="F769" s="371"/>
      <c r="G769" s="371"/>
      <c r="H769" s="371"/>
      <c r="I769" s="371"/>
      <c r="J769" s="371"/>
      <c r="K769" s="371"/>
      <c r="L769" s="371"/>
      <c r="M769" s="371"/>
      <c r="N769" s="371"/>
      <c r="O769" s="371"/>
      <c r="P769" s="371"/>
      <c r="Q769" s="371"/>
      <c r="R769" s="371"/>
      <c r="S769" s="371"/>
      <c r="T769" s="371"/>
      <c r="U769" s="371"/>
      <c r="V769" s="371"/>
      <c r="W769" s="371"/>
      <c r="X769" s="371"/>
      <c r="Y769" s="371"/>
      <c r="Z769" s="371"/>
    </row>
    <row r="770">
      <c r="A770" s="371"/>
      <c r="B770" s="371"/>
      <c r="C770" s="371"/>
      <c r="D770" s="372"/>
      <c r="E770" s="371"/>
      <c r="F770" s="371"/>
      <c r="G770" s="371"/>
      <c r="H770" s="371"/>
      <c r="I770" s="371"/>
      <c r="J770" s="371"/>
      <c r="K770" s="371"/>
      <c r="L770" s="371"/>
      <c r="M770" s="371"/>
      <c r="N770" s="371"/>
      <c r="O770" s="371"/>
      <c r="P770" s="371"/>
      <c r="Q770" s="371"/>
      <c r="R770" s="371"/>
      <c r="S770" s="371"/>
      <c r="T770" s="371"/>
      <c r="U770" s="371"/>
      <c r="V770" s="371"/>
      <c r="W770" s="371"/>
      <c r="X770" s="371"/>
      <c r="Y770" s="371"/>
      <c r="Z770" s="371"/>
    </row>
    <row r="771">
      <c r="A771" s="371"/>
      <c r="B771" s="371"/>
      <c r="C771" s="371"/>
      <c r="D771" s="372"/>
      <c r="E771" s="371"/>
      <c r="F771" s="371"/>
      <c r="G771" s="371"/>
      <c r="H771" s="371"/>
      <c r="I771" s="371"/>
      <c r="J771" s="371"/>
      <c r="K771" s="371"/>
      <c r="L771" s="371"/>
      <c r="M771" s="371"/>
      <c r="N771" s="371"/>
      <c r="O771" s="371"/>
      <c r="P771" s="371"/>
      <c r="Q771" s="371"/>
      <c r="R771" s="371"/>
      <c r="S771" s="371"/>
      <c r="T771" s="371"/>
      <c r="U771" s="371"/>
      <c r="V771" s="371"/>
      <c r="W771" s="371"/>
      <c r="X771" s="371"/>
      <c r="Y771" s="371"/>
      <c r="Z771" s="371"/>
    </row>
    <row r="772">
      <c r="A772" s="371"/>
      <c r="B772" s="371"/>
      <c r="C772" s="371"/>
      <c r="D772" s="372"/>
      <c r="E772" s="371"/>
      <c r="F772" s="371"/>
      <c r="G772" s="371"/>
      <c r="H772" s="371"/>
      <c r="I772" s="371"/>
      <c r="J772" s="371"/>
      <c r="K772" s="371"/>
      <c r="L772" s="371"/>
      <c r="M772" s="371"/>
      <c r="N772" s="371"/>
      <c r="O772" s="371"/>
      <c r="P772" s="371"/>
      <c r="Q772" s="371"/>
      <c r="R772" s="371"/>
      <c r="S772" s="371"/>
      <c r="T772" s="371"/>
      <c r="U772" s="371"/>
      <c r="V772" s="371"/>
      <c r="W772" s="371"/>
      <c r="X772" s="371"/>
      <c r="Y772" s="371"/>
      <c r="Z772" s="371"/>
    </row>
    <row r="773">
      <c r="A773" s="371"/>
      <c r="B773" s="371"/>
      <c r="C773" s="371"/>
      <c r="D773" s="372"/>
      <c r="E773" s="371"/>
      <c r="F773" s="371"/>
      <c r="G773" s="371"/>
      <c r="H773" s="371"/>
      <c r="I773" s="371"/>
      <c r="J773" s="371"/>
      <c r="K773" s="371"/>
      <c r="L773" s="371"/>
      <c r="M773" s="371"/>
      <c r="N773" s="371"/>
      <c r="O773" s="371"/>
      <c r="P773" s="371"/>
      <c r="Q773" s="371"/>
      <c r="R773" s="371"/>
      <c r="S773" s="371"/>
      <c r="T773" s="371"/>
      <c r="U773" s="371"/>
      <c r="V773" s="371"/>
      <c r="W773" s="371"/>
      <c r="X773" s="371"/>
      <c r="Y773" s="371"/>
      <c r="Z773" s="371"/>
    </row>
    <row r="774">
      <c r="A774" s="371"/>
      <c r="B774" s="371"/>
      <c r="C774" s="371"/>
      <c r="D774" s="372"/>
      <c r="E774" s="371"/>
      <c r="F774" s="371"/>
      <c r="G774" s="371"/>
      <c r="H774" s="371"/>
      <c r="I774" s="371"/>
      <c r="J774" s="371"/>
      <c r="K774" s="371"/>
      <c r="L774" s="371"/>
      <c r="M774" s="371"/>
      <c r="N774" s="371"/>
      <c r="O774" s="371"/>
      <c r="P774" s="371"/>
      <c r="Q774" s="371"/>
      <c r="R774" s="371"/>
      <c r="S774" s="371"/>
      <c r="T774" s="371"/>
      <c r="U774" s="371"/>
      <c r="V774" s="371"/>
      <c r="W774" s="371"/>
      <c r="X774" s="371"/>
      <c r="Y774" s="371"/>
      <c r="Z774" s="371"/>
    </row>
    <row r="775">
      <c r="A775" s="371"/>
      <c r="B775" s="371"/>
      <c r="C775" s="371"/>
      <c r="D775" s="372"/>
      <c r="E775" s="371"/>
      <c r="F775" s="371"/>
      <c r="G775" s="371"/>
      <c r="H775" s="371"/>
      <c r="I775" s="371"/>
      <c r="J775" s="371"/>
      <c r="K775" s="371"/>
      <c r="L775" s="371"/>
      <c r="M775" s="371"/>
      <c r="N775" s="371"/>
      <c r="O775" s="371"/>
      <c r="P775" s="371"/>
      <c r="Q775" s="371"/>
      <c r="R775" s="371"/>
      <c r="S775" s="371"/>
      <c r="T775" s="371"/>
      <c r="U775" s="371"/>
      <c r="V775" s="371"/>
      <c r="W775" s="371"/>
      <c r="X775" s="371"/>
      <c r="Y775" s="371"/>
      <c r="Z775" s="371"/>
    </row>
    <row r="776">
      <c r="A776" s="371"/>
      <c r="B776" s="371"/>
      <c r="C776" s="371"/>
      <c r="D776" s="372"/>
      <c r="E776" s="371"/>
      <c r="F776" s="371"/>
      <c r="G776" s="371"/>
      <c r="H776" s="371"/>
      <c r="I776" s="371"/>
      <c r="J776" s="371"/>
      <c r="K776" s="371"/>
      <c r="L776" s="371"/>
      <c r="M776" s="371"/>
      <c r="N776" s="371"/>
      <c r="O776" s="371"/>
      <c r="P776" s="371"/>
      <c r="Q776" s="371"/>
      <c r="R776" s="371"/>
      <c r="S776" s="371"/>
      <c r="T776" s="371"/>
      <c r="U776" s="371"/>
      <c r="V776" s="371"/>
      <c r="W776" s="371"/>
      <c r="X776" s="371"/>
      <c r="Y776" s="371"/>
      <c r="Z776" s="371"/>
    </row>
    <row r="777">
      <c r="A777" s="371"/>
      <c r="B777" s="371"/>
      <c r="C777" s="371"/>
      <c r="D777" s="372"/>
      <c r="E777" s="371"/>
      <c r="F777" s="371"/>
      <c r="G777" s="371"/>
      <c r="H777" s="371"/>
      <c r="I777" s="371"/>
      <c r="J777" s="371"/>
      <c r="K777" s="371"/>
      <c r="L777" s="371"/>
      <c r="M777" s="371"/>
      <c r="N777" s="371"/>
      <c r="O777" s="371"/>
      <c r="P777" s="371"/>
      <c r="Q777" s="371"/>
      <c r="R777" s="371"/>
      <c r="S777" s="371"/>
      <c r="T777" s="371"/>
      <c r="U777" s="371"/>
      <c r="V777" s="371"/>
      <c r="W777" s="371"/>
      <c r="X777" s="371"/>
      <c r="Y777" s="371"/>
      <c r="Z777" s="371"/>
    </row>
    <row r="778">
      <c r="A778" s="371"/>
      <c r="B778" s="371"/>
      <c r="C778" s="371"/>
      <c r="D778" s="372"/>
      <c r="E778" s="371"/>
      <c r="F778" s="371"/>
      <c r="G778" s="371"/>
      <c r="H778" s="371"/>
      <c r="I778" s="371"/>
      <c r="J778" s="371"/>
      <c r="K778" s="371"/>
      <c r="L778" s="371"/>
      <c r="M778" s="371"/>
      <c r="N778" s="371"/>
      <c r="O778" s="371"/>
      <c r="P778" s="371"/>
      <c r="Q778" s="371"/>
      <c r="R778" s="371"/>
      <c r="S778" s="371"/>
      <c r="T778" s="371"/>
      <c r="U778" s="371"/>
      <c r="V778" s="371"/>
      <c r="W778" s="371"/>
      <c r="X778" s="371"/>
      <c r="Y778" s="371"/>
      <c r="Z778" s="371"/>
    </row>
    <row r="779">
      <c r="A779" s="371"/>
      <c r="B779" s="371"/>
      <c r="C779" s="371"/>
      <c r="D779" s="372"/>
      <c r="E779" s="371"/>
      <c r="F779" s="371"/>
      <c r="G779" s="371"/>
      <c r="H779" s="371"/>
      <c r="I779" s="371"/>
      <c r="J779" s="371"/>
      <c r="K779" s="371"/>
      <c r="L779" s="371"/>
      <c r="M779" s="371"/>
      <c r="N779" s="371"/>
      <c r="O779" s="371"/>
      <c r="P779" s="371"/>
      <c r="Q779" s="371"/>
      <c r="R779" s="371"/>
      <c r="S779" s="371"/>
      <c r="T779" s="371"/>
      <c r="U779" s="371"/>
      <c r="V779" s="371"/>
      <c r="W779" s="371"/>
      <c r="X779" s="371"/>
      <c r="Y779" s="371"/>
      <c r="Z779" s="371"/>
    </row>
    <row r="780">
      <c r="A780" s="371"/>
      <c r="B780" s="371"/>
      <c r="C780" s="371"/>
      <c r="D780" s="372"/>
      <c r="E780" s="371"/>
      <c r="F780" s="371"/>
      <c r="G780" s="371"/>
      <c r="H780" s="371"/>
      <c r="I780" s="371"/>
      <c r="J780" s="371"/>
      <c r="K780" s="371"/>
      <c r="L780" s="371"/>
      <c r="M780" s="371"/>
      <c r="N780" s="371"/>
      <c r="O780" s="371"/>
      <c r="P780" s="371"/>
      <c r="Q780" s="371"/>
      <c r="R780" s="371"/>
      <c r="S780" s="371"/>
      <c r="T780" s="371"/>
      <c r="U780" s="371"/>
      <c r="V780" s="371"/>
      <c r="W780" s="371"/>
      <c r="X780" s="371"/>
      <c r="Y780" s="371"/>
      <c r="Z780" s="371"/>
    </row>
    <row r="781">
      <c r="A781" s="371"/>
      <c r="B781" s="371"/>
      <c r="C781" s="371"/>
      <c r="D781" s="372"/>
      <c r="E781" s="371"/>
      <c r="F781" s="371"/>
      <c r="G781" s="371"/>
      <c r="H781" s="371"/>
      <c r="I781" s="371"/>
      <c r="J781" s="371"/>
      <c r="K781" s="371"/>
      <c r="L781" s="371"/>
      <c r="M781" s="371"/>
      <c r="N781" s="371"/>
      <c r="O781" s="371"/>
      <c r="P781" s="371"/>
      <c r="Q781" s="371"/>
      <c r="R781" s="371"/>
      <c r="S781" s="371"/>
      <c r="T781" s="371"/>
      <c r="U781" s="371"/>
      <c r="V781" s="371"/>
      <c r="W781" s="371"/>
      <c r="X781" s="371"/>
      <c r="Y781" s="371"/>
      <c r="Z781" s="371"/>
    </row>
    <row r="782">
      <c r="A782" s="371"/>
      <c r="B782" s="371"/>
      <c r="C782" s="371"/>
      <c r="D782" s="372"/>
      <c r="E782" s="371"/>
      <c r="F782" s="371"/>
      <c r="G782" s="371"/>
      <c r="H782" s="371"/>
      <c r="I782" s="371"/>
      <c r="J782" s="371"/>
      <c r="K782" s="371"/>
      <c r="L782" s="371"/>
      <c r="M782" s="371"/>
      <c r="N782" s="371"/>
      <c r="O782" s="371"/>
      <c r="P782" s="371"/>
      <c r="Q782" s="371"/>
      <c r="R782" s="371"/>
      <c r="S782" s="371"/>
      <c r="T782" s="371"/>
      <c r="U782" s="371"/>
      <c r="V782" s="371"/>
      <c r="W782" s="371"/>
      <c r="X782" s="371"/>
      <c r="Y782" s="371"/>
      <c r="Z782" s="371"/>
    </row>
    <row r="783">
      <c r="A783" s="371"/>
      <c r="B783" s="371"/>
      <c r="C783" s="371"/>
      <c r="D783" s="372"/>
      <c r="E783" s="371"/>
      <c r="F783" s="371"/>
      <c r="G783" s="371"/>
      <c r="H783" s="371"/>
      <c r="I783" s="371"/>
      <c r="J783" s="371"/>
      <c r="K783" s="371"/>
      <c r="L783" s="371"/>
      <c r="M783" s="371"/>
      <c r="N783" s="371"/>
      <c r="O783" s="371"/>
      <c r="P783" s="371"/>
      <c r="Q783" s="371"/>
      <c r="R783" s="371"/>
      <c r="S783" s="371"/>
      <c r="T783" s="371"/>
      <c r="U783" s="371"/>
      <c r="V783" s="371"/>
      <c r="W783" s="371"/>
      <c r="X783" s="371"/>
      <c r="Y783" s="371"/>
      <c r="Z783" s="371"/>
    </row>
    <row r="784">
      <c r="A784" s="371"/>
      <c r="B784" s="371"/>
      <c r="C784" s="371"/>
      <c r="D784" s="372"/>
      <c r="E784" s="371"/>
      <c r="F784" s="371"/>
      <c r="G784" s="371"/>
      <c r="H784" s="371"/>
      <c r="I784" s="371"/>
      <c r="J784" s="371"/>
      <c r="K784" s="371"/>
      <c r="L784" s="371"/>
      <c r="M784" s="371"/>
      <c r="N784" s="371"/>
      <c r="O784" s="371"/>
      <c r="P784" s="371"/>
      <c r="Q784" s="371"/>
      <c r="R784" s="371"/>
      <c r="S784" s="371"/>
      <c r="T784" s="371"/>
      <c r="U784" s="371"/>
      <c r="V784" s="371"/>
      <c r="W784" s="371"/>
      <c r="X784" s="371"/>
      <c r="Y784" s="371"/>
      <c r="Z784" s="371"/>
    </row>
    <row r="785">
      <c r="A785" s="371"/>
      <c r="B785" s="371"/>
      <c r="C785" s="371"/>
      <c r="D785" s="372"/>
      <c r="E785" s="371"/>
      <c r="F785" s="371"/>
      <c r="G785" s="371"/>
      <c r="H785" s="371"/>
      <c r="I785" s="371"/>
      <c r="J785" s="371"/>
      <c r="K785" s="371"/>
      <c r="L785" s="371"/>
      <c r="M785" s="371"/>
      <c r="N785" s="371"/>
      <c r="O785" s="371"/>
      <c r="P785" s="371"/>
      <c r="Q785" s="371"/>
      <c r="R785" s="371"/>
      <c r="S785" s="371"/>
      <c r="T785" s="371"/>
      <c r="U785" s="371"/>
      <c r="V785" s="371"/>
      <c r="W785" s="371"/>
      <c r="X785" s="371"/>
      <c r="Y785" s="371"/>
      <c r="Z785" s="371"/>
    </row>
    <row r="786">
      <c r="A786" s="371"/>
      <c r="B786" s="371"/>
      <c r="C786" s="371"/>
      <c r="D786" s="372"/>
      <c r="E786" s="371"/>
      <c r="F786" s="371"/>
      <c r="G786" s="371"/>
      <c r="H786" s="371"/>
      <c r="I786" s="371"/>
      <c r="J786" s="371"/>
      <c r="K786" s="371"/>
      <c r="L786" s="371"/>
      <c r="M786" s="371"/>
      <c r="N786" s="371"/>
      <c r="O786" s="371"/>
      <c r="P786" s="371"/>
      <c r="Q786" s="371"/>
      <c r="R786" s="371"/>
      <c r="S786" s="371"/>
      <c r="T786" s="371"/>
      <c r="U786" s="371"/>
      <c r="V786" s="371"/>
      <c r="W786" s="371"/>
      <c r="X786" s="371"/>
      <c r="Y786" s="371"/>
      <c r="Z786" s="371"/>
    </row>
    <row r="787">
      <c r="A787" s="371"/>
      <c r="B787" s="371"/>
      <c r="C787" s="371"/>
      <c r="D787" s="372"/>
      <c r="E787" s="371"/>
      <c r="F787" s="371"/>
      <c r="G787" s="371"/>
      <c r="H787" s="371"/>
      <c r="I787" s="371"/>
      <c r="J787" s="371"/>
      <c r="K787" s="371"/>
      <c r="L787" s="371"/>
      <c r="M787" s="371"/>
      <c r="N787" s="371"/>
      <c r="O787" s="371"/>
      <c r="P787" s="371"/>
      <c r="Q787" s="371"/>
      <c r="R787" s="371"/>
      <c r="S787" s="371"/>
      <c r="T787" s="371"/>
      <c r="U787" s="371"/>
      <c r="V787" s="371"/>
      <c r="W787" s="371"/>
      <c r="X787" s="371"/>
      <c r="Y787" s="371"/>
      <c r="Z787" s="371"/>
    </row>
    <row r="788">
      <c r="A788" s="371"/>
      <c r="B788" s="371"/>
      <c r="C788" s="371"/>
      <c r="D788" s="372"/>
      <c r="E788" s="371"/>
      <c r="F788" s="371"/>
      <c r="G788" s="371"/>
      <c r="H788" s="371"/>
      <c r="I788" s="371"/>
      <c r="J788" s="371"/>
      <c r="K788" s="371"/>
      <c r="L788" s="371"/>
      <c r="M788" s="371"/>
      <c r="N788" s="371"/>
      <c r="O788" s="371"/>
      <c r="P788" s="371"/>
      <c r="Q788" s="371"/>
      <c r="R788" s="371"/>
      <c r="S788" s="371"/>
      <c r="T788" s="371"/>
      <c r="U788" s="371"/>
      <c r="V788" s="371"/>
      <c r="W788" s="371"/>
      <c r="X788" s="371"/>
      <c r="Y788" s="371"/>
      <c r="Z788" s="371"/>
    </row>
    <row r="789">
      <c r="A789" s="371"/>
      <c r="B789" s="371"/>
      <c r="C789" s="371"/>
      <c r="D789" s="372"/>
      <c r="E789" s="371"/>
      <c r="F789" s="371"/>
      <c r="G789" s="371"/>
      <c r="H789" s="371"/>
      <c r="I789" s="371"/>
      <c r="J789" s="371"/>
      <c r="K789" s="371"/>
      <c r="L789" s="371"/>
      <c r="M789" s="371"/>
      <c r="N789" s="371"/>
      <c r="O789" s="371"/>
      <c r="P789" s="371"/>
      <c r="Q789" s="371"/>
      <c r="R789" s="371"/>
      <c r="S789" s="371"/>
      <c r="T789" s="371"/>
      <c r="U789" s="371"/>
      <c r="V789" s="371"/>
      <c r="W789" s="371"/>
      <c r="X789" s="371"/>
      <c r="Y789" s="371"/>
      <c r="Z789" s="371"/>
    </row>
    <row r="790">
      <c r="A790" s="371"/>
      <c r="B790" s="371"/>
      <c r="C790" s="371"/>
      <c r="D790" s="372"/>
      <c r="E790" s="371"/>
      <c r="F790" s="371"/>
      <c r="G790" s="371"/>
      <c r="H790" s="371"/>
      <c r="I790" s="371"/>
      <c r="J790" s="371"/>
      <c r="K790" s="371"/>
      <c r="L790" s="371"/>
      <c r="M790" s="371"/>
      <c r="N790" s="371"/>
      <c r="O790" s="371"/>
      <c r="P790" s="371"/>
      <c r="Q790" s="371"/>
      <c r="R790" s="371"/>
      <c r="S790" s="371"/>
      <c r="T790" s="371"/>
      <c r="U790" s="371"/>
      <c r="V790" s="371"/>
      <c r="W790" s="371"/>
      <c r="X790" s="371"/>
      <c r="Y790" s="371"/>
      <c r="Z790" s="371"/>
    </row>
    <row r="791">
      <c r="A791" s="371"/>
      <c r="B791" s="371"/>
      <c r="C791" s="371"/>
      <c r="D791" s="372"/>
      <c r="E791" s="371"/>
      <c r="F791" s="371"/>
      <c r="G791" s="371"/>
      <c r="H791" s="371"/>
      <c r="I791" s="371"/>
      <c r="J791" s="371"/>
      <c r="K791" s="371"/>
      <c r="L791" s="371"/>
      <c r="M791" s="371"/>
      <c r="N791" s="371"/>
      <c r="O791" s="371"/>
      <c r="P791" s="371"/>
      <c r="Q791" s="371"/>
      <c r="R791" s="371"/>
      <c r="S791" s="371"/>
      <c r="T791" s="371"/>
      <c r="U791" s="371"/>
      <c r="V791" s="371"/>
      <c r="W791" s="371"/>
      <c r="X791" s="371"/>
      <c r="Y791" s="371"/>
      <c r="Z791" s="371"/>
    </row>
    <row r="792">
      <c r="A792" s="371"/>
      <c r="B792" s="371"/>
      <c r="C792" s="371"/>
      <c r="D792" s="372"/>
      <c r="E792" s="371"/>
      <c r="F792" s="371"/>
      <c r="G792" s="371"/>
      <c r="H792" s="371"/>
      <c r="I792" s="371"/>
      <c r="J792" s="371"/>
      <c r="K792" s="371"/>
      <c r="L792" s="371"/>
      <c r="M792" s="371"/>
      <c r="N792" s="371"/>
      <c r="O792" s="371"/>
      <c r="P792" s="371"/>
      <c r="Q792" s="371"/>
      <c r="R792" s="371"/>
      <c r="S792" s="371"/>
      <c r="T792" s="371"/>
      <c r="U792" s="371"/>
      <c r="V792" s="371"/>
      <c r="W792" s="371"/>
      <c r="X792" s="371"/>
      <c r="Y792" s="371"/>
      <c r="Z792" s="371"/>
    </row>
    <row r="793">
      <c r="A793" s="371"/>
      <c r="B793" s="371"/>
      <c r="C793" s="371"/>
      <c r="D793" s="372"/>
      <c r="E793" s="371"/>
      <c r="F793" s="371"/>
      <c r="G793" s="371"/>
      <c r="H793" s="371"/>
      <c r="I793" s="371"/>
      <c r="J793" s="371"/>
      <c r="K793" s="371"/>
      <c r="L793" s="371"/>
      <c r="M793" s="371"/>
      <c r="N793" s="371"/>
      <c r="O793" s="371"/>
      <c r="P793" s="371"/>
      <c r="Q793" s="371"/>
      <c r="R793" s="371"/>
      <c r="S793" s="371"/>
      <c r="T793" s="371"/>
      <c r="U793" s="371"/>
      <c r="V793" s="371"/>
      <c r="W793" s="371"/>
      <c r="X793" s="371"/>
      <c r="Y793" s="371"/>
      <c r="Z793" s="371"/>
    </row>
    <row r="794">
      <c r="A794" s="371"/>
      <c r="B794" s="371"/>
      <c r="C794" s="371"/>
      <c r="D794" s="372"/>
      <c r="E794" s="371"/>
      <c r="F794" s="371"/>
      <c r="G794" s="371"/>
      <c r="H794" s="371"/>
      <c r="I794" s="371"/>
      <c r="J794" s="371"/>
      <c r="K794" s="371"/>
      <c r="L794" s="371"/>
      <c r="M794" s="371"/>
      <c r="N794" s="371"/>
      <c r="O794" s="371"/>
      <c r="P794" s="371"/>
      <c r="Q794" s="371"/>
      <c r="R794" s="371"/>
      <c r="S794" s="371"/>
      <c r="T794" s="371"/>
      <c r="U794" s="371"/>
      <c r="V794" s="371"/>
      <c r="W794" s="371"/>
      <c r="X794" s="371"/>
      <c r="Y794" s="371"/>
      <c r="Z794" s="371"/>
    </row>
    <row r="795">
      <c r="A795" s="371"/>
      <c r="B795" s="371"/>
      <c r="C795" s="371"/>
      <c r="D795" s="372"/>
      <c r="E795" s="371"/>
      <c r="F795" s="371"/>
      <c r="G795" s="371"/>
      <c r="H795" s="371"/>
      <c r="I795" s="371"/>
      <c r="J795" s="371"/>
      <c r="K795" s="371"/>
      <c r="L795" s="371"/>
      <c r="M795" s="371"/>
      <c r="N795" s="371"/>
      <c r="O795" s="371"/>
      <c r="P795" s="371"/>
      <c r="Q795" s="371"/>
      <c r="R795" s="371"/>
      <c r="S795" s="371"/>
      <c r="T795" s="371"/>
      <c r="U795" s="371"/>
      <c r="V795" s="371"/>
      <c r="W795" s="371"/>
      <c r="X795" s="371"/>
      <c r="Y795" s="371"/>
      <c r="Z795" s="371"/>
    </row>
    <row r="796">
      <c r="A796" s="371"/>
      <c r="B796" s="371"/>
      <c r="C796" s="371"/>
      <c r="D796" s="372"/>
      <c r="E796" s="371"/>
      <c r="F796" s="371"/>
      <c r="G796" s="371"/>
      <c r="H796" s="371"/>
      <c r="I796" s="371"/>
      <c r="J796" s="371"/>
      <c r="K796" s="371"/>
      <c r="L796" s="371"/>
      <c r="M796" s="371"/>
      <c r="N796" s="371"/>
      <c r="O796" s="371"/>
      <c r="P796" s="371"/>
      <c r="Q796" s="371"/>
      <c r="R796" s="371"/>
      <c r="S796" s="371"/>
      <c r="T796" s="371"/>
      <c r="U796" s="371"/>
      <c r="V796" s="371"/>
      <c r="W796" s="371"/>
      <c r="X796" s="371"/>
      <c r="Y796" s="371"/>
      <c r="Z796" s="371"/>
    </row>
    <row r="797">
      <c r="A797" s="371"/>
      <c r="B797" s="371"/>
      <c r="C797" s="371"/>
      <c r="D797" s="372"/>
      <c r="E797" s="371"/>
      <c r="F797" s="371"/>
      <c r="G797" s="371"/>
      <c r="H797" s="371"/>
      <c r="I797" s="371"/>
      <c r="J797" s="371"/>
      <c r="K797" s="371"/>
      <c r="L797" s="371"/>
      <c r="M797" s="371"/>
      <c r="N797" s="371"/>
      <c r="O797" s="371"/>
      <c r="P797" s="371"/>
      <c r="Q797" s="371"/>
      <c r="R797" s="371"/>
      <c r="S797" s="371"/>
      <c r="T797" s="371"/>
      <c r="U797" s="371"/>
      <c r="V797" s="371"/>
      <c r="W797" s="371"/>
      <c r="X797" s="371"/>
      <c r="Y797" s="371"/>
      <c r="Z797" s="371"/>
    </row>
    <row r="798">
      <c r="A798" s="371"/>
      <c r="B798" s="371"/>
      <c r="C798" s="371"/>
      <c r="D798" s="372"/>
      <c r="E798" s="371"/>
      <c r="F798" s="371"/>
      <c r="G798" s="371"/>
      <c r="H798" s="371"/>
      <c r="I798" s="371"/>
      <c r="J798" s="371"/>
      <c r="K798" s="371"/>
      <c r="L798" s="371"/>
      <c r="M798" s="371"/>
      <c r="N798" s="371"/>
      <c r="O798" s="371"/>
      <c r="P798" s="371"/>
      <c r="Q798" s="371"/>
      <c r="R798" s="371"/>
      <c r="S798" s="371"/>
      <c r="T798" s="371"/>
      <c r="U798" s="371"/>
      <c r="V798" s="371"/>
      <c r="W798" s="371"/>
      <c r="X798" s="371"/>
      <c r="Y798" s="371"/>
      <c r="Z798" s="371"/>
    </row>
    <row r="799">
      <c r="A799" s="371"/>
      <c r="B799" s="371"/>
      <c r="C799" s="371"/>
      <c r="D799" s="372"/>
      <c r="E799" s="371"/>
      <c r="F799" s="371"/>
      <c r="G799" s="371"/>
      <c r="H799" s="371"/>
      <c r="I799" s="371"/>
      <c r="J799" s="371"/>
      <c r="K799" s="371"/>
      <c r="L799" s="371"/>
      <c r="M799" s="371"/>
      <c r="N799" s="371"/>
      <c r="O799" s="371"/>
      <c r="P799" s="371"/>
      <c r="Q799" s="371"/>
      <c r="R799" s="371"/>
      <c r="S799" s="371"/>
      <c r="T799" s="371"/>
      <c r="U799" s="371"/>
      <c r="V799" s="371"/>
      <c r="W799" s="371"/>
      <c r="X799" s="371"/>
      <c r="Y799" s="371"/>
      <c r="Z799" s="371"/>
    </row>
    <row r="800">
      <c r="A800" s="371"/>
      <c r="B800" s="371"/>
      <c r="C800" s="371"/>
      <c r="D800" s="372"/>
      <c r="E800" s="371"/>
      <c r="F800" s="371"/>
      <c r="G800" s="371"/>
      <c r="H800" s="371"/>
      <c r="I800" s="371"/>
      <c r="J800" s="371"/>
      <c r="K800" s="371"/>
      <c r="L800" s="371"/>
      <c r="M800" s="371"/>
      <c r="N800" s="371"/>
      <c r="O800" s="371"/>
      <c r="P800" s="371"/>
      <c r="Q800" s="371"/>
      <c r="R800" s="371"/>
      <c r="S800" s="371"/>
      <c r="T800" s="371"/>
      <c r="U800" s="371"/>
      <c r="V800" s="371"/>
      <c r="W800" s="371"/>
      <c r="X800" s="371"/>
      <c r="Y800" s="371"/>
      <c r="Z800" s="371"/>
    </row>
    <row r="801">
      <c r="A801" s="371"/>
      <c r="B801" s="371"/>
      <c r="C801" s="371"/>
      <c r="D801" s="372"/>
      <c r="E801" s="371"/>
      <c r="F801" s="371"/>
      <c r="G801" s="371"/>
      <c r="H801" s="371"/>
      <c r="I801" s="371"/>
      <c r="J801" s="371"/>
      <c r="K801" s="371"/>
      <c r="L801" s="371"/>
      <c r="M801" s="371"/>
      <c r="N801" s="371"/>
      <c r="O801" s="371"/>
      <c r="P801" s="371"/>
      <c r="Q801" s="371"/>
      <c r="R801" s="371"/>
      <c r="S801" s="371"/>
      <c r="T801" s="371"/>
      <c r="U801" s="371"/>
      <c r="V801" s="371"/>
      <c r="W801" s="371"/>
      <c r="X801" s="371"/>
      <c r="Y801" s="371"/>
      <c r="Z801" s="371"/>
    </row>
    <row r="802">
      <c r="A802" s="371"/>
      <c r="B802" s="371"/>
      <c r="C802" s="371"/>
      <c r="D802" s="372"/>
      <c r="E802" s="371"/>
      <c r="F802" s="371"/>
      <c r="G802" s="371"/>
      <c r="H802" s="371"/>
      <c r="I802" s="371"/>
      <c r="J802" s="371"/>
      <c r="K802" s="371"/>
      <c r="L802" s="371"/>
      <c r="M802" s="371"/>
      <c r="N802" s="371"/>
      <c r="O802" s="371"/>
      <c r="P802" s="371"/>
      <c r="Q802" s="371"/>
      <c r="R802" s="371"/>
      <c r="S802" s="371"/>
      <c r="T802" s="371"/>
      <c r="U802" s="371"/>
      <c r="V802" s="371"/>
      <c r="W802" s="371"/>
      <c r="X802" s="371"/>
      <c r="Y802" s="371"/>
      <c r="Z802" s="371"/>
    </row>
    <row r="803">
      <c r="A803" s="371"/>
      <c r="B803" s="371"/>
      <c r="C803" s="371"/>
      <c r="D803" s="372"/>
      <c r="E803" s="371"/>
      <c r="F803" s="371"/>
      <c r="G803" s="371"/>
      <c r="H803" s="371"/>
      <c r="I803" s="371"/>
      <c r="J803" s="371"/>
      <c r="K803" s="371"/>
      <c r="L803" s="371"/>
      <c r="M803" s="371"/>
      <c r="N803" s="371"/>
      <c r="O803" s="371"/>
      <c r="P803" s="371"/>
      <c r="Q803" s="371"/>
      <c r="R803" s="371"/>
      <c r="S803" s="371"/>
      <c r="T803" s="371"/>
      <c r="U803" s="371"/>
      <c r="V803" s="371"/>
      <c r="W803" s="371"/>
      <c r="X803" s="371"/>
      <c r="Y803" s="371"/>
      <c r="Z803" s="371"/>
    </row>
    <row r="804">
      <c r="A804" s="371"/>
      <c r="B804" s="371"/>
      <c r="C804" s="371"/>
      <c r="D804" s="372"/>
      <c r="E804" s="371"/>
      <c r="F804" s="371"/>
      <c r="G804" s="371"/>
      <c r="H804" s="371"/>
      <c r="I804" s="371"/>
      <c r="J804" s="371"/>
      <c r="K804" s="371"/>
      <c r="L804" s="371"/>
      <c r="M804" s="371"/>
      <c r="N804" s="371"/>
      <c r="O804" s="371"/>
      <c r="P804" s="371"/>
      <c r="Q804" s="371"/>
      <c r="R804" s="371"/>
      <c r="S804" s="371"/>
      <c r="T804" s="371"/>
      <c r="U804" s="371"/>
      <c r="V804" s="371"/>
      <c r="W804" s="371"/>
      <c r="X804" s="371"/>
      <c r="Y804" s="371"/>
      <c r="Z804" s="371"/>
    </row>
    <row r="805">
      <c r="A805" s="371"/>
      <c r="B805" s="371"/>
      <c r="C805" s="371"/>
      <c r="D805" s="372"/>
      <c r="E805" s="371"/>
      <c r="F805" s="371"/>
      <c r="G805" s="371"/>
      <c r="H805" s="371"/>
      <c r="I805" s="371"/>
      <c r="J805" s="371"/>
      <c r="K805" s="371"/>
      <c r="L805" s="371"/>
      <c r="M805" s="371"/>
      <c r="N805" s="371"/>
      <c r="O805" s="371"/>
      <c r="P805" s="371"/>
      <c r="Q805" s="371"/>
      <c r="R805" s="371"/>
      <c r="S805" s="371"/>
      <c r="T805" s="371"/>
      <c r="U805" s="371"/>
      <c r="V805" s="371"/>
      <c r="W805" s="371"/>
      <c r="X805" s="371"/>
      <c r="Y805" s="371"/>
      <c r="Z805" s="371"/>
    </row>
    <row r="806">
      <c r="A806" s="371"/>
      <c r="B806" s="371"/>
      <c r="C806" s="371"/>
      <c r="D806" s="372"/>
      <c r="E806" s="371"/>
      <c r="F806" s="371"/>
      <c r="G806" s="371"/>
      <c r="H806" s="371"/>
      <c r="I806" s="371"/>
      <c r="J806" s="371"/>
      <c r="K806" s="371"/>
      <c r="L806" s="371"/>
      <c r="M806" s="371"/>
      <c r="N806" s="371"/>
      <c r="O806" s="371"/>
      <c r="P806" s="371"/>
      <c r="Q806" s="371"/>
      <c r="R806" s="371"/>
      <c r="S806" s="371"/>
      <c r="T806" s="371"/>
      <c r="U806" s="371"/>
      <c r="V806" s="371"/>
      <c r="W806" s="371"/>
      <c r="X806" s="371"/>
      <c r="Y806" s="371"/>
      <c r="Z806" s="371"/>
    </row>
    <row r="807">
      <c r="A807" s="371"/>
      <c r="B807" s="371"/>
      <c r="C807" s="371"/>
      <c r="D807" s="372"/>
      <c r="E807" s="371"/>
      <c r="F807" s="371"/>
      <c r="G807" s="371"/>
      <c r="H807" s="371"/>
      <c r="I807" s="371"/>
      <c r="J807" s="371"/>
      <c r="K807" s="371"/>
      <c r="L807" s="371"/>
      <c r="M807" s="371"/>
      <c r="N807" s="371"/>
      <c r="O807" s="371"/>
      <c r="P807" s="371"/>
      <c r="Q807" s="371"/>
      <c r="R807" s="371"/>
      <c r="S807" s="371"/>
      <c r="T807" s="371"/>
      <c r="U807" s="371"/>
      <c r="V807" s="371"/>
      <c r="W807" s="371"/>
      <c r="X807" s="371"/>
      <c r="Y807" s="371"/>
      <c r="Z807" s="371"/>
    </row>
    <row r="808">
      <c r="A808" s="371"/>
      <c r="B808" s="371"/>
      <c r="C808" s="371"/>
      <c r="D808" s="372"/>
      <c r="E808" s="371"/>
      <c r="F808" s="371"/>
      <c r="G808" s="371"/>
      <c r="H808" s="371"/>
      <c r="I808" s="371"/>
      <c r="J808" s="371"/>
      <c r="K808" s="371"/>
      <c r="L808" s="371"/>
      <c r="M808" s="371"/>
      <c r="N808" s="371"/>
      <c r="O808" s="371"/>
      <c r="P808" s="371"/>
      <c r="Q808" s="371"/>
      <c r="R808" s="371"/>
      <c r="S808" s="371"/>
      <c r="T808" s="371"/>
      <c r="U808" s="371"/>
      <c r="V808" s="371"/>
      <c r="W808" s="371"/>
      <c r="X808" s="371"/>
      <c r="Y808" s="371"/>
      <c r="Z808" s="371"/>
    </row>
    <row r="809">
      <c r="A809" s="371"/>
      <c r="B809" s="371"/>
      <c r="C809" s="371"/>
      <c r="D809" s="372"/>
      <c r="E809" s="371"/>
      <c r="F809" s="371"/>
      <c r="G809" s="371"/>
      <c r="H809" s="371"/>
      <c r="I809" s="371"/>
      <c r="J809" s="371"/>
      <c r="K809" s="371"/>
      <c r="L809" s="371"/>
      <c r="M809" s="371"/>
      <c r="N809" s="371"/>
      <c r="O809" s="371"/>
      <c r="P809" s="371"/>
      <c r="Q809" s="371"/>
      <c r="R809" s="371"/>
      <c r="S809" s="371"/>
      <c r="T809" s="371"/>
      <c r="U809" s="371"/>
      <c r="V809" s="371"/>
      <c r="W809" s="371"/>
      <c r="X809" s="371"/>
      <c r="Y809" s="371"/>
      <c r="Z809" s="371"/>
    </row>
    <row r="810">
      <c r="A810" s="371"/>
      <c r="B810" s="371"/>
      <c r="C810" s="371"/>
      <c r="D810" s="372"/>
      <c r="E810" s="371"/>
      <c r="F810" s="371"/>
      <c r="G810" s="371"/>
      <c r="H810" s="371"/>
      <c r="I810" s="371"/>
      <c r="J810" s="371"/>
      <c r="K810" s="371"/>
      <c r="L810" s="371"/>
      <c r="M810" s="371"/>
      <c r="N810" s="371"/>
      <c r="O810" s="371"/>
      <c r="P810" s="371"/>
      <c r="Q810" s="371"/>
      <c r="R810" s="371"/>
      <c r="S810" s="371"/>
      <c r="T810" s="371"/>
      <c r="U810" s="371"/>
      <c r="V810" s="371"/>
      <c r="W810" s="371"/>
      <c r="X810" s="371"/>
      <c r="Y810" s="371"/>
      <c r="Z810" s="371"/>
    </row>
    <row r="811">
      <c r="A811" s="371"/>
      <c r="B811" s="371"/>
      <c r="C811" s="371"/>
      <c r="D811" s="372"/>
      <c r="E811" s="371"/>
      <c r="F811" s="371"/>
      <c r="G811" s="371"/>
      <c r="H811" s="371"/>
      <c r="I811" s="371"/>
      <c r="J811" s="371"/>
      <c r="K811" s="371"/>
      <c r="L811" s="371"/>
      <c r="M811" s="371"/>
      <c r="N811" s="371"/>
      <c r="O811" s="371"/>
      <c r="P811" s="371"/>
      <c r="Q811" s="371"/>
      <c r="R811" s="371"/>
      <c r="S811" s="371"/>
      <c r="T811" s="371"/>
      <c r="U811" s="371"/>
      <c r="V811" s="371"/>
      <c r="W811" s="371"/>
      <c r="X811" s="371"/>
      <c r="Y811" s="371"/>
      <c r="Z811" s="371"/>
    </row>
    <row r="812">
      <c r="A812" s="371"/>
      <c r="B812" s="371"/>
      <c r="C812" s="371"/>
      <c r="D812" s="372"/>
      <c r="E812" s="371"/>
      <c r="F812" s="371"/>
      <c r="G812" s="371"/>
      <c r="H812" s="371"/>
      <c r="I812" s="371"/>
      <c r="J812" s="371"/>
      <c r="K812" s="371"/>
      <c r="L812" s="371"/>
      <c r="M812" s="371"/>
      <c r="N812" s="371"/>
      <c r="O812" s="371"/>
      <c r="P812" s="371"/>
      <c r="Q812" s="371"/>
      <c r="R812" s="371"/>
      <c r="S812" s="371"/>
      <c r="T812" s="371"/>
      <c r="U812" s="371"/>
      <c r="V812" s="371"/>
      <c r="W812" s="371"/>
      <c r="X812" s="371"/>
      <c r="Y812" s="371"/>
      <c r="Z812" s="371"/>
    </row>
    <row r="813">
      <c r="A813" s="371"/>
      <c r="B813" s="371"/>
      <c r="C813" s="371"/>
      <c r="D813" s="372"/>
      <c r="E813" s="371"/>
      <c r="F813" s="371"/>
      <c r="G813" s="371"/>
      <c r="H813" s="371"/>
      <c r="I813" s="371"/>
      <c r="J813" s="371"/>
      <c r="K813" s="371"/>
      <c r="L813" s="371"/>
      <c r="M813" s="371"/>
      <c r="N813" s="371"/>
      <c r="O813" s="371"/>
      <c r="P813" s="371"/>
      <c r="Q813" s="371"/>
      <c r="R813" s="371"/>
      <c r="S813" s="371"/>
      <c r="T813" s="371"/>
      <c r="U813" s="371"/>
      <c r="V813" s="371"/>
      <c r="W813" s="371"/>
      <c r="X813" s="371"/>
      <c r="Y813" s="371"/>
      <c r="Z813" s="371"/>
    </row>
    <row r="814">
      <c r="A814" s="371"/>
      <c r="B814" s="371"/>
      <c r="C814" s="371"/>
      <c r="D814" s="372"/>
      <c r="E814" s="371"/>
      <c r="F814" s="371"/>
      <c r="G814" s="371"/>
      <c r="H814" s="371"/>
      <c r="I814" s="371"/>
      <c r="J814" s="371"/>
      <c r="K814" s="371"/>
      <c r="L814" s="371"/>
      <c r="M814" s="371"/>
      <c r="N814" s="371"/>
      <c r="O814" s="371"/>
      <c r="P814" s="371"/>
      <c r="Q814" s="371"/>
      <c r="R814" s="371"/>
      <c r="S814" s="371"/>
      <c r="T814" s="371"/>
      <c r="U814" s="371"/>
      <c r="V814" s="371"/>
      <c r="W814" s="371"/>
      <c r="X814" s="371"/>
      <c r="Y814" s="371"/>
      <c r="Z814" s="371"/>
    </row>
    <row r="815">
      <c r="A815" s="371"/>
      <c r="B815" s="371"/>
      <c r="C815" s="371"/>
      <c r="D815" s="372"/>
      <c r="E815" s="371"/>
      <c r="F815" s="371"/>
      <c r="G815" s="371"/>
      <c r="H815" s="371"/>
      <c r="I815" s="371"/>
      <c r="J815" s="371"/>
      <c r="K815" s="371"/>
      <c r="L815" s="371"/>
      <c r="M815" s="371"/>
      <c r="N815" s="371"/>
      <c r="O815" s="371"/>
      <c r="P815" s="371"/>
      <c r="Q815" s="371"/>
      <c r="R815" s="371"/>
      <c r="S815" s="371"/>
      <c r="T815" s="371"/>
      <c r="U815" s="371"/>
      <c r="V815" s="371"/>
      <c r="W815" s="371"/>
      <c r="X815" s="371"/>
      <c r="Y815" s="371"/>
      <c r="Z815" s="371"/>
    </row>
    <row r="816">
      <c r="A816" s="371"/>
      <c r="B816" s="371"/>
      <c r="C816" s="371"/>
      <c r="D816" s="372"/>
      <c r="E816" s="371"/>
      <c r="F816" s="371"/>
      <c r="G816" s="371"/>
      <c r="H816" s="371"/>
      <c r="I816" s="371"/>
      <c r="J816" s="371"/>
      <c r="K816" s="371"/>
      <c r="L816" s="371"/>
      <c r="M816" s="371"/>
      <c r="N816" s="371"/>
      <c r="O816" s="371"/>
      <c r="P816" s="371"/>
      <c r="Q816" s="371"/>
      <c r="R816" s="371"/>
      <c r="S816" s="371"/>
      <c r="T816" s="371"/>
      <c r="U816" s="371"/>
      <c r="V816" s="371"/>
      <c r="W816" s="371"/>
      <c r="X816" s="371"/>
      <c r="Y816" s="371"/>
      <c r="Z816" s="371"/>
    </row>
    <row r="817">
      <c r="A817" s="371"/>
      <c r="B817" s="371"/>
      <c r="C817" s="371"/>
      <c r="D817" s="372"/>
      <c r="E817" s="371"/>
      <c r="F817" s="371"/>
      <c r="G817" s="371"/>
      <c r="H817" s="371"/>
      <c r="I817" s="371"/>
      <c r="J817" s="371"/>
      <c r="K817" s="371"/>
      <c r="L817" s="371"/>
      <c r="M817" s="371"/>
      <c r="N817" s="371"/>
      <c r="O817" s="371"/>
      <c r="P817" s="371"/>
      <c r="Q817" s="371"/>
      <c r="R817" s="371"/>
      <c r="S817" s="371"/>
      <c r="T817" s="371"/>
      <c r="U817" s="371"/>
      <c r="V817" s="371"/>
      <c r="W817" s="371"/>
      <c r="X817" s="371"/>
      <c r="Y817" s="371"/>
      <c r="Z817" s="371"/>
    </row>
    <row r="818">
      <c r="A818" s="371"/>
      <c r="B818" s="371"/>
      <c r="C818" s="371"/>
      <c r="D818" s="372"/>
      <c r="E818" s="371"/>
      <c r="F818" s="371"/>
      <c r="G818" s="371"/>
      <c r="H818" s="371"/>
      <c r="I818" s="371"/>
      <c r="J818" s="371"/>
      <c r="K818" s="371"/>
      <c r="L818" s="371"/>
      <c r="M818" s="371"/>
      <c r="N818" s="371"/>
      <c r="O818" s="371"/>
      <c r="P818" s="371"/>
      <c r="Q818" s="371"/>
      <c r="R818" s="371"/>
      <c r="S818" s="371"/>
      <c r="T818" s="371"/>
      <c r="U818" s="371"/>
      <c r="V818" s="371"/>
      <c r="W818" s="371"/>
      <c r="X818" s="371"/>
      <c r="Y818" s="371"/>
      <c r="Z818" s="371"/>
    </row>
    <row r="819">
      <c r="A819" s="371"/>
      <c r="B819" s="371"/>
      <c r="C819" s="371"/>
      <c r="D819" s="372"/>
      <c r="E819" s="371"/>
      <c r="F819" s="371"/>
      <c r="G819" s="371"/>
      <c r="H819" s="371"/>
      <c r="I819" s="371"/>
      <c r="J819" s="371"/>
      <c r="K819" s="371"/>
      <c r="L819" s="371"/>
      <c r="M819" s="371"/>
      <c r="N819" s="371"/>
      <c r="O819" s="371"/>
      <c r="P819" s="371"/>
      <c r="Q819" s="371"/>
      <c r="R819" s="371"/>
      <c r="S819" s="371"/>
      <c r="T819" s="371"/>
      <c r="U819" s="371"/>
      <c r="V819" s="371"/>
      <c r="W819" s="371"/>
      <c r="X819" s="371"/>
      <c r="Y819" s="371"/>
      <c r="Z819" s="371"/>
    </row>
    <row r="820">
      <c r="A820" s="371"/>
      <c r="B820" s="371"/>
      <c r="C820" s="371"/>
      <c r="D820" s="372"/>
      <c r="E820" s="371"/>
      <c r="F820" s="371"/>
      <c r="G820" s="371"/>
      <c r="H820" s="371"/>
      <c r="I820" s="371"/>
      <c r="J820" s="371"/>
      <c r="K820" s="371"/>
      <c r="L820" s="371"/>
      <c r="M820" s="371"/>
      <c r="N820" s="371"/>
      <c r="O820" s="371"/>
      <c r="P820" s="371"/>
      <c r="Q820" s="371"/>
      <c r="R820" s="371"/>
      <c r="S820" s="371"/>
      <c r="T820" s="371"/>
      <c r="U820" s="371"/>
      <c r="V820" s="371"/>
      <c r="W820" s="371"/>
      <c r="X820" s="371"/>
      <c r="Y820" s="371"/>
      <c r="Z820" s="371"/>
    </row>
    <row r="821">
      <c r="A821" s="371"/>
      <c r="B821" s="371"/>
      <c r="C821" s="371"/>
      <c r="D821" s="372"/>
      <c r="E821" s="371"/>
      <c r="F821" s="371"/>
      <c r="G821" s="371"/>
      <c r="H821" s="371"/>
      <c r="I821" s="371"/>
      <c r="J821" s="371"/>
      <c r="K821" s="371"/>
      <c r="L821" s="371"/>
      <c r="M821" s="371"/>
      <c r="N821" s="371"/>
      <c r="O821" s="371"/>
      <c r="P821" s="371"/>
      <c r="Q821" s="371"/>
      <c r="R821" s="371"/>
      <c r="S821" s="371"/>
      <c r="T821" s="371"/>
      <c r="U821" s="371"/>
      <c r="V821" s="371"/>
      <c r="W821" s="371"/>
      <c r="X821" s="371"/>
      <c r="Y821" s="371"/>
      <c r="Z821" s="371"/>
    </row>
    <row r="822">
      <c r="A822" s="371"/>
      <c r="B822" s="371"/>
      <c r="C822" s="371"/>
      <c r="D822" s="372"/>
      <c r="E822" s="371"/>
      <c r="F822" s="371"/>
      <c r="G822" s="371"/>
      <c r="H822" s="371"/>
      <c r="I822" s="371"/>
      <c r="J822" s="371"/>
      <c r="K822" s="371"/>
      <c r="L822" s="371"/>
      <c r="M822" s="371"/>
      <c r="N822" s="371"/>
      <c r="O822" s="371"/>
      <c r="P822" s="371"/>
      <c r="Q822" s="371"/>
      <c r="R822" s="371"/>
      <c r="S822" s="371"/>
      <c r="T822" s="371"/>
      <c r="U822" s="371"/>
      <c r="V822" s="371"/>
      <c r="W822" s="371"/>
      <c r="X822" s="371"/>
      <c r="Y822" s="371"/>
      <c r="Z822" s="371"/>
    </row>
    <row r="823">
      <c r="A823" s="371"/>
      <c r="B823" s="371"/>
      <c r="C823" s="371"/>
      <c r="D823" s="372"/>
      <c r="E823" s="371"/>
      <c r="F823" s="371"/>
      <c r="G823" s="371"/>
      <c r="H823" s="371"/>
      <c r="I823" s="371"/>
      <c r="J823" s="371"/>
      <c r="K823" s="371"/>
      <c r="L823" s="371"/>
      <c r="M823" s="371"/>
      <c r="N823" s="371"/>
      <c r="O823" s="371"/>
      <c r="P823" s="371"/>
      <c r="Q823" s="371"/>
      <c r="R823" s="371"/>
      <c r="S823" s="371"/>
      <c r="T823" s="371"/>
      <c r="U823" s="371"/>
      <c r="V823" s="371"/>
      <c r="W823" s="371"/>
      <c r="X823" s="371"/>
      <c r="Y823" s="371"/>
      <c r="Z823" s="371"/>
    </row>
    <row r="824">
      <c r="A824" s="371"/>
      <c r="B824" s="371"/>
      <c r="C824" s="371"/>
      <c r="D824" s="372"/>
      <c r="E824" s="371"/>
      <c r="F824" s="371"/>
      <c r="G824" s="371"/>
      <c r="H824" s="371"/>
      <c r="I824" s="371"/>
      <c r="J824" s="371"/>
      <c r="K824" s="371"/>
      <c r="L824" s="371"/>
      <c r="M824" s="371"/>
      <c r="N824" s="371"/>
      <c r="O824" s="371"/>
      <c r="P824" s="371"/>
      <c r="Q824" s="371"/>
      <c r="R824" s="371"/>
      <c r="S824" s="371"/>
      <c r="T824" s="371"/>
      <c r="U824" s="371"/>
      <c r="V824" s="371"/>
      <c r="W824" s="371"/>
      <c r="X824" s="371"/>
      <c r="Y824" s="371"/>
      <c r="Z824" s="371"/>
    </row>
    <row r="825">
      <c r="A825" s="371"/>
      <c r="B825" s="371"/>
      <c r="C825" s="371"/>
      <c r="D825" s="372"/>
      <c r="E825" s="371"/>
      <c r="F825" s="371"/>
      <c r="G825" s="371"/>
      <c r="H825" s="371"/>
      <c r="I825" s="371"/>
      <c r="J825" s="371"/>
      <c r="K825" s="371"/>
      <c r="L825" s="371"/>
      <c r="M825" s="371"/>
      <c r="N825" s="371"/>
      <c r="O825" s="371"/>
      <c r="P825" s="371"/>
      <c r="Q825" s="371"/>
      <c r="R825" s="371"/>
      <c r="S825" s="371"/>
      <c r="T825" s="371"/>
      <c r="U825" s="371"/>
      <c r="V825" s="371"/>
      <c r="W825" s="371"/>
      <c r="X825" s="371"/>
      <c r="Y825" s="371"/>
      <c r="Z825" s="371"/>
    </row>
    <row r="826">
      <c r="A826" s="371"/>
      <c r="B826" s="371"/>
      <c r="C826" s="371"/>
      <c r="D826" s="372"/>
      <c r="E826" s="371"/>
      <c r="F826" s="371"/>
      <c r="G826" s="371"/>
      <c r="H826" s="371"/>
      <c r="I826" s="371"/>
      <c r="J826" s="371"/>
      <c r="K826" s="371"/>
      <c r="L826" s="371"/>
      <c r="M826" s="371"/>
      <c r="N826" s="371"/>
      <c r="O826" s="371"/>
      <c r="P826" s="371"/>
      <c r="Q826" s="371"/>
      <c r="R826" s="371"/>
      <c r="S826" s="371"/>
      <c r="T826" s="371"/>
      <c r="U826" s="371"/>
      <c r="V826" s="371"/>
      <c r="W826" s="371"/>
      <c r="X826" s="371"/>
      <c r="Y826" s="371"/>
      <c r="Z826" s="371"/>
    </row>
    <row r="827">
      <c r="A827" s="371"/>
      <c r="B827" s="371"/>
      <c r="C827" s="371"/>
      <c r="D827" s="372"/>
      <c r="E827" s="371"/>
      <c r="F827" s="371"/>
      <c r="G827" s="371"/>
      <c r="H827" s="371"/>
      <c r="I827" s="371"/>
      <c r="J827" s="371"/>
      <c r="K827" s="371"/>
      <c r="L827" s="371"/>
      <c r="M827" s="371"/>
      <c r="N827" s="371"/>
      <c r="O827" s="371"/>
      <c r="P827" s="371"/>
      <c r="Q827" s="371"/>
      <c r="R827" s="371"/>
      <c r="S827" s="371"/>
      <c r="T827" s="371"/>
      <c r="U827" s="371"/>
      <c r="V827" s="371"/>
      <c r="W827" s="371"/>
      <c r="X827" s="371"/>
      <c r="Y827" s="371"/>
      <c r="Z827" s="371"/>
    </row>
    <row r="828">
      <c r="A828" s="371"/>
      <c r="B828" s="371"/>
      <c r="C828" s="371"/>
      <c r="D828" s="372"/>
      <c r="E828" s="371"/>
      <c r="F828" s="371"/>
      <c r="G828" s="371"/>
      <c r="H828" s="371"/>
      <c r="I828" s="371"/>
      <c r="J828" s="371"/>
      <c r="K828" s="371"/>
      <c r="L828" s="371"/>
      <c r="M828" s="371"/>
      <c r="N828" s="371"/>
      <c r="O828" s="371"/>
      <c r="P828" s="371"/>
      <c r="Q828" s="371"/>
      <c r="R828" s="371"/>
      <c r="S828" s="371"/>
      <c r="T828" s="371"/>
      <c r="U828" s="371"/>
      <c r="V828" s="371"/>
      <c r="W828" s="371"/>
      <c r="X828" s="371"/>
      <c r="Y828" s="371"/>
      <c r="Z828" s="371"/>
    </row>
    <row r="829">
      <c r="A829" s="371"/>
      <c r="B829" s="371"/>
      <c r="C829" s="371"/>
      <c r="D829" s="372"/>
      <c r="E829" s="371"/>
      <c r="F829" s="371"/>
      <c r="G829" s="371"/>
      <c r="H829" s="371"/>
      <c r="I829" s="371"/>
      <c r="J829" s="371"/>
      <c r="K829" s="371"/>
      <c r="L829" s="371"/>
      <c r="M829" s="371"/>
      <c r="N829" s="371"/>
      <c r="O829" s="371"/>
      <c r="P829" s="371"/>
      <c r="Q829" s="371"/>
      <c r="R829" s="371"/>
      <c r="S829" s="371"/>
      <c r="T829" s="371"/>
      <c r="U829" s="371"/>
      <c r="V829" s="371"/>
      <c r="W829" s="371"/>
      <c r="X829" s="371"/>
      <c r="Y829" s="371"/>
      <c r="Z829" s="371"/>
    </row>
    <row r="830">
      <c r="A830" s="371"/>
      <c r="B830" s="371"/>
      <c r="C830" s="371"/>
      <c r="D830" s="372"/>
      <c r="E830" s="371"/>
      <c r="F830" s="371"/>
      <c r="G830" s="371"/>
      <c r="H830" s="371"/>
      <c r="I830" s="371"/>
      <c r="J830" s="371"/>
      <c r="K830" s="371"/>
      <c r="L830" s="371"/>
      <c r="M830" s="371"/>
      <c r="N830" s="371"/>
      <c r="O830" s="371"/>
      <c r="P830" s="371"/>
      <c r="Q830" s="371"/>
      <c r="R830" s="371"/>
      <c r="S830" s="371"/>
      <c r="T830" s="371"/>
      <c r="U830" s="371"/>
      <c r="V830" s="371"/>
      <c r="W830" s="371"/>
      <c r="X830" s="371"/>
      <c r="Y830" s="371"/>
      <c r="Z830" s="371"/>
    </row>
    <row r="831">
      <c r="A831" s="371"/>
      <c r="B831" s="371"/>
      <c r="C831" s="371"/>
      <c r="D831" s="372"/>
      <c r="E831" s="371"/>
      <c r="F831" s="371"/>
      <c r="G831" s="371"/>
      <c r="H831" s="371"/>
      <c r="I831" s="371"/>
      <c r="J831" s="371"/>
      <c r="K831" s="371"/>
      <c r="L831" s="371"/>
      <c r="M831" s="371"/>
      <c r="N831" s="371"/>
      <c r="O831" s="371"/>
      <c r="P831" s="371"/>
      <c r="Q831" s="371"/>
      <c r="R831" s="371"/>
      <c r="S831" s="371"/>
      <c r="T831" s="371"/>
      <c r="U831" s="371"/>
      <c r="V831" s="371"/>
      <c r="W831" s="371"/>
      <c r="X831" s="371"/>
      <c r="Y831" s="371"/>
      <c r="Z831" s="371"/>
    </row>
    <row r="832">
      <c r="A832" s="371"/>
      <c r="B832" s="371"/>
      <c r="C832" s="371"/>
      <c r="D832" s="372"/>
      <c r="E832" s="371"/>
      <c r="F832" s="371"/>
      <c r="G832" s="371"/>
      <c r="H832" s="371"/>
      <c r="I832" s="371"/>
      <c r="J832" s="371"/>
      <c r="K832" s="371"/>
      <c r="L832" s="371"/>
      <c r="M832" s="371"/>
      <c r="N832" s="371"/>
      <c r="O832" s="371"/>
      <c r="P832" s="371"/>
      <c r="Q832" s="371"/>
      <c r="R832" s="371"/>
      <c r="S832" s="371"/>
      <c r="T832" s="371"/>
      <c r="U832" s="371"/>
      <c r="V832" s="371"/>
      <c r="W832" s="371"/>
      <c r="X832" s="371"/>
      <c r="Y832" s="371"/>
      <c r="Z832" s="371"/>
    </row>
    <row r="833">
      <c r="A833" s="371"/>
      <c r="B833" s="371"/>
      <c r="C833" s="371"/>
      <c r="D833" s="372"/>
      <c r="E833" s="371"/>
      <c r="F833" s="371"/>
      <c r="G833" s="371"/>
      <c r="H833" s="371"/>
      <c r="I833" s="371"/>
      <c r="J833" s="371"/>
      <c r="K833" s="371"/>
      <c r="L833" s="371"/>
      <c r="M833" s="371"/>
      <c r="N833" s="371"/>
      <c r="O833" s="371"/>
      <c r="P833" s="371"/>
      <c r="Q833" s="371"/>
      <c r="R833" s="371"/>
      <c r="S833" s="371"/>
      <c r="T833" s="371"/>
      <c r="U833" s="371"/>
      <c r="V833" s="371"/>
      <c r="W833" s="371"/>
      <c r="X833" s="371"/>
      <c r="Y833" s="371"/>
      <c r="Z833" s="371"/>
    </row>
    <row r="834">
      <c r="A834" s="371"/>
      <c r="B834" s="371"/>
      <c r="C834" s="371"/>
      <c r="D834" s="372"/>
      <c r="E834" s="371"/>
      <c r="F834" s="371"/>
      <c r="G834" s="371"/>
      <c r="H834" s="371"/>
      <c r="I834" s="371"/>
      <c r="J834" s="371"/>
      <c r="K834" s="371"/>
      <c r="L834" s="371"/>
      <c r="M834" s="371"/>
      <c r="N834" s="371"/>
      <c r="O834" s="371"/>
      <c r="P834" s="371"/>
      <c r="Q834" s="371"/>
      <c r="R834" s="371"/>
      <c r="S834" s="371"/>
      <c r="T834" s="371"/>
      <c r="U834" s="371"/>
      <c r="V834" s="371"/>
      <c r="W834" s="371"/>
      <c r="X834" s="371"/>
      <c r="Y834" s="371"/>
      <c r="Z834" s="371"/>
    </row>
    <row r="835">
      <c r="A835" s="371"/>
      <c r="B835" s="371"/>
      <c r="C835" s="371"/>
      <c r="D835" s="372"/>
      <c r="E835" s="371"/>
      <c r="F835" s="371"/>
      <c r="G835" s="371"/>
      <c r="H835" s="371"/>
      <c r="I835" s="371"/>
      <c r="J835" s="371"/>
      <c r="K835" s="371"/>
      <c r="L835" s="371"/>
      <c r="M835" s="371"/>
      <c r="N835" s="371"/>
      <c r="O835" s="371"/>
      <c r="P835" s="371"/>
      <c r="Q835" s="371"/>
      <c r="R835" s="371"/>
      <c r="S835" s="371"/>
      <c r="T835" s="371"/>
      <c r="U835" s="371"/>
      <c r="V835" s="371"/>
      <c r="W835" s="371"/>
      <c r="X835" s="371"/>
      <c r="Y835" s="371"/>
      <c r="Z835" s="371"/>
    </row>
    <row r="836">
      <c r="A836" s="371"/>
      <c r="B836" s="371"/>
      <c r="C836" s="371"/>
      <c r="D836" s="372"/>
      <c r="E836" s="371"/>
      <c r="F836" s="371"/>
      <c r="G836" s="371"/>
      <c r="H836" s="371"/>
      <c r="I836" s="371"/>
      <c r="J836" s="371"/>
      <c r="K836" s="371"/>
      <c r="L836" s="371"/>
      <c r="M836" s="371"/>
      <c r="N836" s="371"/>
      <c r="O836" s="371"/>
      <c r="P836" s="371"/>
      <c r="Q836" s="371"/>
      <c r="R836" s="371"/>
      <c r="S836" s="371"/>
      <c r="T836" s="371"/>
      <c r="U836" s="371"/>
      <c r="V836" s="371"/>
      <c r="W836" s="371"/>
      <c r="X836" s="371"/>
      <c r="Y836" s="371"/>
      <c r="Z836" s="371"/>
    </row>
    <row r="837">
      <c r="A837" s="371"/>
      <c r="B837" s="371"/>
      <c r="C837" s="371"/>
      <c r="D837" s="372"/>
      <c r="E837" s="371"/>
      <c r="F837" s="371"/>
      <c r="G837" s="371"/>
      <c r="H837" s="371"/>
      <c r="I837" s="371"/>
      <c r="J837" s="371"/>
      <c r="K837" s="371"/>
      <c r="L837" s="371"/>
      <c r="M837" s="371"/>
      <c r="N837" s="371"/>
      <c r="O837" s="371"/>
      <c r="P837" s="371"/>
      <c r="Q837" s="371"/>
      <c r="R837" s="371"/>
      <c r="S837" s="371"/>
      <c r="T837" s="371"/>
      <c r="U837" s="371"/>
      <c r="V837" s="371"/>
      <c r="W837" s="371"/>
      <c r="X837" s="371"/>
      <c r="Y837" s="371"/>
      <c r="Z837" s="371"/>
    </row>
    <row r="838">
      <c r="A838" s="371"/>
      <c r="B838" s="371"/>
      <c r="C838" s="371"/>
      <c r="D838" s="372"/>
      <c r="E838" s="371"/>
      <c r="F838" s="371"/>
      <c r="G838" s="371"/>
      <c r="H838" s="371"/>
      <c r="I838" s="371"/>
      <c r="J838" s="371"/>
      <c r="K838" s="371"/>
      <c r="L838" s="371"/>
      <c r="M838" s="371"/>
      <c r="N838" s="371"/>
      <c r="O838" s="371"/>
      <c r="P838" s="371"/>
      <c r="Q838" s="371"/>
      <c r="R838" s="371"/>
      <c r="S838" s="371"/>
      <c r="T838" s="371"/>
      <c r="U838" s="371"/>
      <c r="V838" s="371"/>
      <c r="W838" s="371"/>
      <c r="X838" s="371"/>
      <c r="Y838" s="371"/>
      <c r="Z838" s="371"/>
    </row>
    <row r="839">
      <c r="A839" s="371"/>
      <c r="B839" s="371"/>
      <c r="C839" s="371"/>
      <c r="D839" s="372"/>
      <c r="E839" s="371"/>
      <c r="F839" s="371"/>
      <c r="G839" s="371"/>
      <c r="H839" s="371"/>
      <c r="I839" s="371"/>
      <c r="J839" s="371"/>
      <c r="K839" s="371"/>
      <c r="L839" s="371"/>
      <c r="M839" s="371"/>
      <c r="N839" s="371"/>
      <c r="O839" s="371"/>
      <c r="P839" s="371"/>
      <c r="Q839" s="371"/>
      <c r="R839" s="371"/>
      <c r="S839" s="371"/>
      <c r="T839" s="371"/>
      <c r="U839" s="371"/>
      <c r="V839" s="371"/>
      <c r="W839" s="371"/>
      <c r="X839" s="371"/>
      <c r="Y839" s="371"/>
      <c r="Z839" s="371"/>
    </row>
    <row r="840">
      <c r="A840" s="371"/>
      <c r="B840" s="371"/>
      <c r="C840" s="371"/>
      <c r="D840" s="372"/>
      <c r="E840" s="371"/>
      <c r="F840" s="371"/>
      <c r="G840" s="371"/>
      <c r="H840" s="371"/>
      <c r="I840" s="371"/>
      <c r="J840" s="371"/>
      <c r="K840" s="371"/>
      <c r="L840" s="371"/>
      <c r="M840" s="371"/>
      <c r="N840" s="371"/>
      <c r="O840" s="371"/>
      <c r="P840" s="371"/>
      <c r="Q840" s="371"/>
      <c r="R840" s="371"/>
      <c r="S840" s="371"/>
      <c r="T840" s="371"/>
      <c r="U840" s="371"/>
      <c r="V840" s="371"/>
      <c r="W840" s="371"/>
      <c r="X840" s="371"/>
      <c r="Y840" s="371"/>
      <c r="Z840" s="371"/>
    </row>
    <row r="841">
      <c r="A841" s="371"/>
      <c r="B841" s="371"/>
      <c r="C841" s="371"/>
      <c r="D841" s="372"/>
      <c r="E841" s="371"/>
      <c r="F841" s="371"/>
      <c r="G841" s="371"/>
      <c r="H841" s="371"/>
      <c r="I841" s="371"/>
      <c r="J841" s="371"/>
      <c r="K841" s="371"/>
      <c r="L841" s="371"/>
      <c r="M841" s="371"/>
      <c r="N841" s="371"/>
      <c r="O841" s="371"/>
      <c r="P841" s="371"/>
      <c r="Q841" s="371"/>
      <c r="R841" s="371"/>
      <c r="S841" s="371"/>
      <c r="T841" s="371"/>
      <c r="U841" s="371"/>
      <c r="V841" s="371"/>
      <c r="W841" s="371"/>
      <c r="X841" s="371"/>
      <c r="Y841" s="371"/>
      <c r="Z841" s="371"/>
    </row>
    <row r="842">
      <c r="A842" s="371"/>
      <c r="B842" s="371"/>
      <c r="C842" s="371"/>
      <c r="D842" s="372"/>
      <c r="E842" s="371"/>
      <c r="F842" s="371"/>
      <c r="G842" s="371"/>
      <c r="H842" s="371"/>
      <c r="I842" s="371"/>
      <c r="J842" s="371"/>
      <c r="K842" s="371"/>
      <c r="L842" s="371"/>
      <c r="M842" s="371"/>
      <c r="N842" s="371"/>
      <c r="O842" s="371"/>
      <c r="P842" s="371"/>
      <c r="Q842" s="371"/>
      <c r="R842" s="371"/>
      <c r="S842" s="371"/>
      <c r="T842" s="371"/>
      <c r="U842" s="371"/>
      <c r="V842" s="371"/>
      <c r="W842" s="371"/>
      <c r="X842" s="371"/>
      <c r="Y842" s="371"/>
      <c r="Z842" s="371"/>
    </row>
    <row r="843">
      <c r="A843" s="371"/>
      <c r="B843" s="371"/>
      <c r="C843" s="371"/>
      <c r="D843" s="372"/>
      <c r="E843" s="371"/>
      <c r="F843" s="371"/>
      <c r="G843" s="371"/>
      <c r="H843" s="371"/>
      <c r="I843" s="371"/>
      <c r="J843" s="371"/>
      <c r="K843" s="371"/>
      <c r="L843" s="371"/>
      <c r="M843" s="371"/>
      <c r="N843" s="371"/>
      <c r="O843" s="371"/>
      <c r="P843" s="371"/>
      <c r="Q843" s="371"/>
      <c r="R843" s="371"/>
      <c r="S843" s="371"/>
      <c r="T843" s="371"/>
      <c r="U843" s="371"/>
      <c r="V843" s="371"/>
      <c r="W843" s="371"/>
      <c r="X843" s="371"/>
      <c r="Y843" s="371"/>
      <c r="Z843" s="371"/>
    </row>
    <row r="844">
      <c r="A844" s="371"/>
      <c r="B844" s="371"/>
      <c r="C844" s="371"/>
      <c r="D844" s="372"/>
      <c r="E844" s="371"/>
      <c r="F844" s="371"/>
      <c r="G844" s="371"/>
      <c r="H844" s="371"/>
      <c r="I844" s="371"/>
      <c r="J844" s="371"/>
      <c r="K844" s="371"/>
      <c r="L844" s="371"/>
      <c r="M844" s="371"/>
      <c r="N844" s="371"/>
      <c r="O844" s="371"/>
      <c r="P844" s="371"/>
      <c r="Q844" s="371"/>
      <c r="R844" s="371"/>
      <c r="S844" s="371"/>
      <c r="T844" s="371"/>
      <c r="U844" s="371"/>
      <c r="V844" s="371"/>
      <c r="W844" s="371"/>
      <c r="X844" s="371"/>
      <c r="Y844" s="371"/>
      <c r="Z844" s="371"/>
    </row>
    <row r="845">
      <c r="A845" s="371"/>
      <c r="B845" s="371"/>
      <c r="C845" s="371"/>
      <c r="D845" s="372"/>
      <c r="E845" s="371"/>
      <c r="F845" s="371"/>
      <c r="G845" s="371"/>
      <c r="H845" s="371"/>
      <c r="I845" s="371"/>
      <c r="J845" s="371"/>
      <c r="K845" s="371"/>
      <c r="L845" s="371"/>
      <c r="M845" s="371"/>
      <c r="N845" s="371"/>
      <c r="O845" s="371"/>
      <c r="P845" s="371"/>
      <c r="Q845" s="371"/>
      <c r="R845" s="371"/>
      <c r="S845" s="371"/>
      <c r="T845" s="371"/>
      <c r="U845" s="371"/>
      <c r="V845" s="371"/>
      <c r="W845" s="371"/>
      <c r="X845" s="371"/>
      <c r="Y845" s="371"/>
      <c r="Z845" s="371"/>
    </row>
    <row r="846">
      <c r="A846" s="371"/>
      <c r="B846" s="371"/>
      <c r="C846" s="371"/>
      <c r="D846" s="372"/>
      <c r="E846" s="371"/>
      <c r="F846" s="371"/>
      <c r="G846" s="371"/>
      <c r="H846" s="371"/>
      <c r="I846" s="371"/>
      <c r="J846" s="371"/>
      <c r="K846" s="371"/>
      <c r="L846" s="371"/>
      <c r="M846" s="371"/>
      <c r="N846" s="371"/>
      <c r="O846" s="371"/>
      <c r="P846" s="371"/>
      <c r="Q846" s="371"/>
      <c r="R846" s="371"/>
      <c r="S846" s="371"/>
      <c r="T846" s="371"/>
      <c r="U846" s="371"/>
      <c r="V846" s="371"/>
      <c r="W846" s="371"/>
      <c r="X846" s="371"/>
      <c r="Y846" s="371"/>
      <c r="Z846" s="371"/>
    </row>
    <row r="847">
      <c r="A847" s="371"/>
      <c r="B847" s="371"/>
      <c r="C847" s="371"/>
      <c r="D847" s="372"/>
      <c r="E847" s="371"/>
      <c r="F847" s="371"/>
      <c r="G847" s="371"/>
      <c r="H847" s="371"/>
      <c r="I847" s="371"/>
      <c r="J847" s="371"/>
      <c r="K847" s="371"/>
      <c r="L847" s="371"/>
      <c r="M847" s="371"/>
      <c r="N847" s="371"/>
      <c r="O847" s="371"/>
      <c r="P847" s="371"/>
      <c r="Q847" s="371"/>
      <c r="R847" s="371"/>
      <c r="S847" s="371"/>
      <c r="T847" s="371"/>
      <c r="U847" s="371"/>
      <c r="V847" s="371"/>
      <c r="W847" s="371"/>
      <c r="X847" s="371"/>
      <c r="Y847" s="371"/>
      <c r="Z847" s="371"/>
    </row>
    <row r="848">
      <c r="A848" s="371"/>
      <c r="B848" s="371"/>
      <c r="C848" s="371"/>
      <c r="D848" s="372"/>
      <c r="E848" s="371"/>
      <c r="F848" s="371"/>
      <c r="G848" s="371"/>
      <c r="H848" s="371"/>
      <c r="I848" s="371"/>
      <c r="J848" s="371"/>
      <c r="K848" s="371"/>
      <c r="L848" s="371"/>
      <c r="M848" s="371"/>
      <c r="N848" s="371"/>
      <c r="O848" s="371"/>
      <c r="P848" s="371"/>
      <c r="Q848" s="371"/>
      <c r="R848" s="371"/>
      <c r="S848" s="371"/>
      <c r="T848" s="371"/>
      <c r="U848" s="371"/>
      <c r="V848" s="371"/>
      <c r="W848" s="371"/>
      <c r="X848" s="371"/>
      <c r="Y848" s="371"/>
      <c r="Z848" s="371"/>
    </row>
    <row r="849">
      <c r="A849" s="371"/>
      <c r="B849" s="371"/>
      <c r="C849" s="371"/>
      <c r="D849" s="372"/>
      <c r="E849" s="371"/>
      <c r="F849" s="371"/>
      <c r="G849" s="371"/>
      <c r="H849" s="371"/>
      <c r="I849" s="371"/>
      <c r="J849" s="371"/>
      <c r="K849" s="371"/>
      <c r="L849" s="371"/>
      <c r="M849" s="371"/>
      <c r="N849" s="371"/>
      <c r="O849" s="371"/>
      <c r="P849" s="371"/>
      <c r="Q849" s="371"/>
      <c r="R849" s="371"/>
      <c r="S849" s="371"/>
      <c r="T849" s="371"/>
      <c r="U849" s="371"/>
      <c r="V849" s="371"/>
      <c r="W849" s="371"/>
      <c r="X849" s="371"/>
      <c r="Y849" s="371"/>
      <c r="Z849" s="371"/>
    </row>
    <row r="850">
      <c r="A850" s="371"/>
      <c r="B850" s="371"/>
      <c r="C850" s="371"/>
      <c r="D850" s="372"/>
      <c r="E850" s="371"/>
      <c r="F850" s="371"/>
      <c r="G850" s="371"/>
      <c r="H850" s="371"/>
      <c r="I850" s="371"/>
      <c r="J850" s="371"/>
      <c r="K850" s="371"/>
      <c r="L850" s="371"/>
      <c r="M850" s="371"/>
      <c r="N850" s="371"/>
      <c r="O850" s="371"/>
      <c r="P850" s="371"/>
      <c r="Q850" s="371"/>
      <c r="R850" s="371"/>
      <c r="S850" s="371"/>
      <c r="T850" s="371"/>
      <c r="U850" s="371"/>
      <c r="V850" s="371"/>
      <c r="W850" s="371"/>
      <c r="X850" s="371"/>
      <c r="Y850" s="371"/>
      <c r="Z850" s="371"/>
    </row>
    <row r="851">
      <c r="A851" s="371"/>
      <c r="B851" s="371"/>
      <c r="C851" s="371"/>
      <c r="D851" s="372"/>
      <c r="E851" s="371"/>
      <c r="F851" s="371"/>
      <c r="G851" s="371"/>
      <c r="H851" s="371"/>
      <c r="I851" s="371"/>
      <c r="J851" s="371"/>
      <c r="K851" s="371"/>
      <c r="L851" s="371"/>
      <c r="M851" s="371"/>
      <c r="N851" s="371"/>
      <c r="O851" s="371"/>
      <c r="P851" s="371"/>
      <c r="Q851" s="371"/>
      <c r="R851" s="371"/>
      <c r="S851" s="371"/>
      <c r="T851" s="371"/>
      <c r="U851" s="371"/>
      <c r="V851" s="371"/>
      <c r="W851" s="371"/>
      <c r="X851" s="371"/>
      <c r="Y851" s="371"/>
      <c r="Z851" s="371"/>
    </row>
    <row r="852">
      <c r="A852" s="371"/>
      <c r="B852" s="371"/>
      <c r="C852" s="371"/>
      <c r="D852" s="372"/>
      <c r="E852" s="371"/>
      <c r="F852" s="371"/>
      <c r="G852" s="371"/>
      <c r="H852" s="371"/>
      <c r="I852" s="371"/>
      <c r="J852" s="371"/>
      <c r="K852" s="371"/>
      <c r="L852" s="371"/>
      <c r="M852" s="371"/>
      <c r="N852" s="371"/>
      <c r="O852" s="371"/>
      <c r="P852" s="371"/>
      <c r="Q852" s="371"/>
      <c r="R852" s="371"/>
      <c r="S852" s="371"/>
      <c r="T852" s="371"/>
      <c r="U852" s="371"/>
      <c r="V852" s="371"/>
      <c r="W852" s="371"/>
      <c r="X852" s="371"/>
      <c r="Y852" s="371"/>
      <c r="Z852" s="371"/>
    </row>
    <row r="853">
      <c r="A853" s="371"/>
      <c r="B853" s="371"/>
      <c r="C853" s="371"/>
      <c r="D853" s="372"/>
      <c r="E853" s="371"/>
      <c r="F853" s="371"/>
      <c r="G853" s="371"/>
      <c r="H853" s="371"/>
      <c r="I853" s="371"/>
      <c r="J853" s="371"/>
      <c r="K853" s="371"/>
      <c r="L853" s="371"/>
      <c r="M853" s="371"/>
      <c r="N853" s="371"/>
      <c r="O853" s="371"/>
      <c r="P853" s="371"/>
      <c r="Q853" s="371"/>
      <c r="R853" s="371"/>
      <c r="S853" s="371"/>
      <c r="T853" s="371"/>
      <c r="U853" s="371"/>
      <c r="V853" s="371"/>
      <c r="W853" s="371"/>
      <c r="X853" s="371"/>
      <c r="Y853" s="371"/>
      <c r="Z853" s="371"/>
    </row>
    <row r="854">
      <c r="A854" s="371"/>
      <c r="B854" s="371"/>
      <c r="C854" s="371"/>
      <c r="D854" s="372"/>
      <c r="E854" s="371"/>
      <c r="F854" s="371"/>
      <c r="G854" s="371"/>
      <c r="H854" s="371"/>
      <c r="I854" s="371"/>
      <c r="J854" s="371"/>
      <c r="K854" s="371"/>
      <c r="L854" s="371"/>
      <c r="M854" s="371"/>
      <c r="N854" s="371"/>
      <c r="O854" s="371"/>
      <c r="P854" s="371"/>
      <c r="Q854" s="371"/>
      <c r="R854" s="371"/>
      <c r="S854" s="371"/>
      <c r="T854" s="371"/>
      <c r="U854" s="371"/>
      <c r="V854" s="371"/>
      <c r="W854" s="371"/>
      <c r="X854" s="371"/>
      <c r="Y854" s="371"/>
      <c r="Z854" s="371"/>
    </row>
    <row r="855">
      <c r="A855" s="371"/>
      <c r="B855" s="371"/>
      <c r="C855" s="371"/>
      <c r="D855" s="372"/>
      <c r="E855" s="371"/>
      <c r="F855" s="371"/>
      <c r="G855" s="371"/>
      <c r="H855" s="371"/>
      <c r="I855" s="371"/>
      <c r="J855" s="371"/>
      <c r="K855" s="371"/>
      <c r="L855" s="371"/>
      <c r="M855" s="371"/>
      <c r="N855" s="371"/>
      <c r="O855" s="371"/>
      <c r="P855" s="371"/>
      <c r="Q855" s="371"/>
      <c r="R855" s="371"/>
      <c r="S855" s="371"/>
      <c r="T855" s="371"/>
      <c r="U855" s="371"/>
      <c r="V855" s="371"/>
      <c r="W855" s="371"/>
      <c r="X855" s="371"/>
      <c r="Y855" s="371"/>
      <c r="Z855" s="371"/>
    </row>
    <row r="856">
      <c r="A856" s="371"/>
      <c r="B856" s="371"/>
      <c r="C856" s="371"/>
      <c r="D856" s="372"/>
      <c r="E856" s="371"/>
      <c r="F856" s="371"/>
      <c r="G856" s="371"/>
      <c r="H856" s="371"/>
      <c r="I856" s="371"/>
      <c r="J856" s="371"/>
      <c r="K856" s="371"/>
      <c r="L856" s="371"/>
      <c r="M856" s="371"/>
      <c r="N856" s="371"/>
      <c r="O856" s="371"/>
      <c r="P856" s="371"/>
      <c r="Q856" s="371"/>
      <c r="R856" s="371"/>
      <c r="S856" s="371"/>
      <c r="T856" s="371"/>
      <c r="U856" s="371"/>
      <c r="V856" s="371"/>
      <c r="W856" s="371"/>
      <c r="X856" s="371"/>
      <c r="Y856" s="371"/>
      <c r="Z856" s="371"/>
    </row>
    <row r="857">
      <c r="A857" s="371"/>
      <c r="B857" s="371"/>
      <c r="C857" s="371"/>
      <c r="D857" s="372"/>
      <c r="E857" s="371"/>
      <c r="F857" s="371"/>
      <c r="G857" s="371"/>
      <c r="H857" s="371"/>
      <c r="I857" s="371"/>
      <c r="J857" s="371"/>
      <c r="K857" s="371"/>
      <c r="L857" s="371"/>
      <c r="M857" s="371"/>
      <c r="N857" s="371"/>
      <c r="O857" s="371"/>
      <c r="P857" s="371"/>
      <c r="Q857" s="371"/>
      <c r="R857" s="371"/>
      <c r="S857" s="371"/>
      <c r="T857" s="371"/>
      <c r="U857" s="371"/>
      <c r="V857" s="371"/>
      <c r="W857" s="371"/>
      <c r="X857" s="371"/>
      <c r="Y857" s="371"/>
      <c r="Z857" s="371"/>
    </row>
    <row r="858">
      <c r="A858" s="371"/>
      <c r="B858" s="371"/>
      <c r="C858" s="371"/>
      <c r="D858" s="372"/>
      <c r="E858" s="371"/>
      <c r="F858" s="371"/>
      <c r="G858" s="371"/>
      <c r="H858" s="371"/>
      <c r="I858" s="371"/>
      <c r="J858" s="371"/>
      <c r="K858" s="371"/>
      <c r="L858" s="371"/>
      <c r="M858" s="371"/>
      <c r="N858" s="371"/>
      <c r="O858" s="371"/>
      <c r="P858" s="371"/>
      <c r="Q858" s="371"/>
      <c r="R858" s="371"/>
      <c r="S858" s="371"/>
      <c r="T858" s="371"/>
      <c r="U858" s="371"/>
      <c r="V858" s="371"/>
      <c r="W858" s="371"/>
      <c r="X858" s="371"/>
      <c r="Y858" s="371"/>
      <c r="Z858" s="371"/>
    </row>
    <row r="859">
      <c r="A859" s="371"/>
      <c r="B859" s="371"/>
      <c r="C859" s="371"/>
      <c r="D859" s="372"/>
      <c r="E859" s="371"/>
      <c r="F859" s="371"/>
      <c r="G859" s="371"/>
      <c r="H859" s="371"/>
      <c r="I859" s="371"/>
      <c r="J859" s="371"/>
      <c r="K859" s="371"/>
      <c r="L859" s="371"/>
      <c r="M859" s="371"/>
      <c r="N859" s="371"/>
      <c r="O859" s="371"/>
      <c r="P859" s="371"/>
      <c r="Q859" s="371"/>
      <c r="R859" s="371"/>
      <c r="S859" s="371"/>
      <c r="T859" s="371"/>
      <c r="U859" s="371"/>
      <c r="V859" s="371"/>
      <c r="W859" s="371"/>
      <c r="X859" s="371"/>
      <c r="Y859" s="371"/>
      <c r="Z859" s="371"/>
    </row>
    <row r="860">
      <c r="A860" s="371"/>
      <c r="B860" s="371"/>
      <c r="C860" s="371"/>
      <c r="D860" s="372"/>
      <c r="E860" s="371"/>
      <c r="F860" s="371"/>
      <c r="G860" s="371"/>
      <c r="H860" s="371"/>
      <c r="I860" s="371"/>
      <c r="J860" s="371"/>
      <c r="K860" s="371"/>
      <c r="L860" s="371"/>
      <c r="M860" s="371"/>
      <c r="N860" s="371"/>
      <c r="O860" s="371"/>
      <c r="P860" s="371"/>
      <c r="Q860" s="371"/>
      <c r="R860" s="371"/>
      <c r="S860" s="371"/>
      <c r="T860" s="371"/>
      <c r="U860" s="371"/>
      <c r="V860" s="371"/>
      <c r="W860" s="371"/>
      <c r="X860" s="371"/>
      <c r="Y860" s="371"/>
      <c r="Z860" s="371"/>
    </row>
    <row r="861">
      <c r="A861" s="371"/>
      <c r="B861" s="371"/>
      <c r="C861" s="371"/>
      <c r="D861" s="372"/>
      <c r="E861" s="371"/>
      <c r="F861" s="371"/>
      <c r="G861" s="371"/>
      <c r="H861" s="371"/>
      <c r="I861" s="371"/>
      <c r="J861" s="371"/>
      <c r="K861" s="371"/>
      <c r="L861" s="371"/>
      <c r="M861" s="371"/>
      <c r="N861" s="371"/>
      <c r="O861" s="371"/>
      <c r="P861" s="371"/>
      <c r="Q861" s="371"/>
      <c r="R861" s="371"/>
      <c r="S861" s="371"/>
      <c r="T861" s="371"/>
      <c r="U861" s="371"/>
      <c r="V861" s="371"/>
      <c r="W861" s="371"/>
      <c r="X861" s="371"/>
      <c r="Y861" s="371"/>
      <c r="Z861" s="371"/>
    </row>
    <row r="862">
      <c r="A862" s="371"/>
      <c r="B862" s="371"/>
      <c r="C862" s="371"/>
      <c r="D862" s="372"/>
      <c r="E862" s="371"/>
      <c r="F862" s="371"/>
      <c r="G862" s="371"/>
      <c r="H862" s="371"/>
      <c r="I862" s="371"/>
      <c r="J862" s="371"/>
      <c r="K862" s="371"/>
      <c r="L862" s="371"/>
      <c r="M862" s="371"/>
      <c r="N862" s="371"/>
      <c r="O862" s="371"/>
      <c r="P862" s="371"/>
      <c r="Q862" s="371"/>
      <c r="R862" s="371"/>
      <c r="S862" s="371"/>
      <c r="T862" s="371"/>
      <c r="U862" s="371"/>
      <c r="V862" s="371"/>
      <c r="W862" s="371"/>
      <c r="X862" s="371"/>
      <c r="Y862" s="371"/>
      <c r="Z862" s="371"/>
    </row>
    <row r="863">
      <c r="A863" s="371"/>
      <c r="B863" s="371"/>
      <c r="C863" s="371"/>
      <c r="D863" s="372"/>
      <c r="E863" s="371"/>
      <c r="F863" s="371"/>
      <c r="G863" s="371"/>
      <c r="H863" s="371"/>
      <c r="I863" s="371"/>
      <c r="J863" s="371"/>
      <c r="K863" s="371"/>
      <c r="L863" s="371"/>
      <c r="M863" s="371"/>
      <c r="N863" s="371"/>
      <c r="O863" s="371"/>
      <c r="P863" s="371"/>
      <c r="Q863" s="371"/>
      <c r="R863" s="371"/>
      <c r="S863" s="371"/>
      <c r="T863" s="371"/>
      <c r="U863" s="371"/>
      <c r="V863" s="371"/>
      <c r="W863" s="371"/>
      <c r="X863" s="371"/>
      <c r="Y863" s="371"/>
      <c r="Z863" s="371"/>
    </row>
    <row r="864">
      <c r="A864" s="371"/>
      <c r="B864" s="371"/>
      <c r="C864" s="371"/>
      <c r="D864" s="372"/>
      <c r="E864" s="371"/>
      <c r="F864" s="371"/>
      <c r="G864" s="371"/>
      <c r="H864" s="371"/>
      <c r="I864" s="371"/>
      <c r="J864" s="371"/>
      <c r="K864" s="371"/>
      <c r="L864" s="371"/>
      <c r="M864" s="371"/>
      <c r="N864" s="371"/>
      <c r="O864" s="371"/>
      <c r="P864" s="371"/>
      <c r="Q864" s="371"/>
      <c r="R864" s="371"/>
      <c r="S864" s="371"/>
      <c r="T864" s="371"/>
      <c r="U864" s="371"/>
      <c r="V864" s="371"/>
      <c r="W864" s="371"/>
      <c r="X864" s="371"/>
      <c r="Y864" s="371"/>
      <c r="Z864" s="371"/>
    </row>
    <row r="865">
      <c r="A865" s="371"/>
      <c r="B865" s="371"/>
      <c r="C865" s="371"/>
      <c r="D865" s="372"/>
      <c r="E865" s="371"/>
      <c r="F865" s="371"/>
      <c r="G865" s="371"/>
      <c r="H865" s="371"/>
      <c r="I865" s="371"/>
      <c r="J865" s="371"/>
      <c r="K865" s="371"/>
      <c r="L865" s="371"/>
      <c r="M865" s="371"/>
      <c r="N865" s="371"/>
      <c r="O865" s="371"/>
      <c r="P865" s="371"/>
      <c r="Q865" s="371"/>
      <c r="R865" s="371"/>
      <c r="S865" s="371"/>
      <c r="T865" s="371"/>
      <c r="U865" s="371"/>
      <c r="V865" s="371"/>
      <c r="W865" s="371"/>
      <c r="X865" s="371"/>
      <c r="Y865" s="371"/>
      <c r="Z865" s="371"/>
    </row>
    <row r="866">
      <c r="A866" s="371"/>
      <c r="B866" s="371"/>
      <c r="C866" s="371"/>
      <c r="D866" s="372"/>
      <c r="E866" s="371"/>
      <c r="F866" s="371"/>
      <c r="G866" s="371"/>
      <c r="H866" s="371"/>
      <c r="I866" s="371"/>
      <c r="J866" s="371"/>
      <c r="K866" s="371"/>
      <c r="L866" s="371"/>
      <c r="M866" s="371"/>
      <c r="N866" s="371"/>
      <c r="O866" s="371"/>
      <c r="P866" s="371"/>
      <c r="Q866" s="371"/>
      <c r="R866" s="371"/>
      <c r="S866" s="371"/>
      <c r="T866" s="371"/>
      <c r="U866" s="371"/>
      <c r="V866" s="371"/>
      <c r="W866" s="371"/>
      <c r="X866" s="371"/>
      <c r="Y866" s="371"/>
      <c r="Z866" s="371"/>
    </row>
    <row r="867">
      <c r="A867" s="371"/>
      <c r="B867" s="371"/>
      <c r="C867" s="371"/>
      <c r="D867" s="372"/>
      <c r="E867" s="371"/>
      <c r="F867" s="371"/>
      <c r="G867" s="371"/>
      <c r="H867" s="371"/>
      <c r="I867" s="371"/>
      <c r="J867" s="371"/>
      <c r="K867" s="371"/>
      <c r="L867" s="371"/>
      <c r="M867" s="371"/>
      <c r="N867" s="371"/>
      <c r="O867" s="371"/>
      <c r="P867" s="371"/>
      <c r="Q867" s="371"/>
      <c r="R867" s="371"/>
      <c r="S867" s="371"/>
      <c r="T867" s="371"/>
      <c r="U867" s="371"/>
      <c r="V867" s="371"/>
      <c r="W867" s="371"/>
      <c r="X867" s="371"/>
      <c r="Y867" s="371"/>
      <c r="Z867" s="371"/>
    </row>
    <row r="868">
      <c r="A868" s="371"/>
      <c r="B868" s="371"/>
      <c r="C868" s="371"/>
      <c r="D868" s="372"/>
      <c r="E868" s="371"/>
      <c r="F868" s="371"/>
      <c r="G868" s="371"/>
      <c r="H868" s="371"/>
      <c r="I868" s="371"/>
      <c r="J868" s="371"/>
      <c r="K868" s="371"/>
      <c r="L868" s="371"/>
      <c r="M868" s="371"/>
      <c r="N868" s="371"/>
      <c r="O868" s="371"/>
      <c r="P868" s="371"/>
      <c r="Q868" s="371"/>
      <c r="R868" s="371"/>
      <c r="S868" s="371"/>
      <c r="T868" s="371"/>
      <c r="U868" s="371"/>
      <c r="V868" s="371"/>
      <c r="W868" s="371"/>
      <c r="X868" s="371"/>
      <c r="Y868" s="371"/>
      <c r="Z868" s="371"/>
    </row>
    <row r="869">
      <c r="A869" s="371"/>
      <c r="B869" s="371"/>
      <c r="C869" s="371"/>
      <c r="D869" s="372"/>
      <c r="E869" s="371"/>
      <c r="F869" s="371"/>
      <c r="G869" s="371"/>
      <c r="H869" s="371"/>
      <c r="I869" s="371"/>
      <c r="J869" s="371"/>
      <c r="K869" s="371"/>
      <c r="L869" s="371"/>
      <c r="M869" s="371"/>
      <c r="N869" s="371"/>
      <c r="O869" s="371"/>
      <c r="P869" s="371"/>
      <c r="Q869" s="371"/>
      <c r="R869" s="371"/>
      <c r="S869" s="371"/>
      <c r="T869" s="371"/>
      <c r="U869" s="371"/>
      <c r="V869" s="371"/>
      <c r="W869" s="371"/>
      <c r="X869" s="371"/>
      <c r="Y869" s="371"/>
      <c r="Z869" s="371"/>
    </row>
    <row r="870">
      <c r="A870" s="371"/>
      <c r="B870" s="371"/>
      <c r="C870" s="371"/>
      <c r="D870" s="372"/>
      <c r="E870" s="371"/>
      <c r="F870" s="371"/>
      <c r="G870" s="371"/>
      <c r="H870" s="371"/>
      <c r="I870" s="371"/>
      <c r="J870" s="371"/>
      <c r="K870" s="371"/>
      <c r="L870" s="371"/>
      <c r="M870" s="371"/>
      <c r="N870" s="371"/>
      <c r="O870" s="371"/>
      <c r="P870" s="371"/>
      <c r="Q870" s="371"/>
      <c r="R870" s="371"/>
      <c r="S870" s="371"/>
      <c r="T870" s="371"/>
      <c r="U870" s="371"/>
      <c r="V870" s="371"/>
      <c r="W870" s="371"/>
      <c r="X870" s="371"/>
      <c r="Y870" s="371"/>
      <c r="Z870" s="371"/>
    </row>
    <row r="871">
      <c r="A871" s="371"/>
      <c r="B871" s="371"/>
      <c r="C871" s="371"/>
      <c r="D871" s="372"/>
      <c r="E871" s="371"/>
      <c r="F871" s="371"/>
      <c r="G871" s="371"/>
      <c r="H871" s="371"/>
      <c r="I871" s="371"/>
      <c r="J871" s="371"/>
      <c r="K871" s="371"/>
      <c r="L871" s="371"/>
      <c r="M871" s="371"/>
      <c r="N871" s="371"/>
      <c r="O871" s="371"/>
      <c r="P871" s="371"/>
      <c r="Q871" s="371"/>
      <c r="R871" s="371"/>
      <c r="S871" s="371"/>
      <c r="T871" s="371"/>
      <c r="U871" s="371"/>
      <c r="V871" s="371"/>
      <c r="W871" s="371"/>
      <c r="X871" s="371"/>
      <c r="Y871" s="371"/>
      <c r="Z871" s="371"/>
    </row>
    <row r="872">
      <c r="A872" s="371"/>
      <c r="B872" s="371"/>
      <c r="C872" s="371"/>
      <c r="D872" s="372"/>
      <c r="E872" s="371"/>
      <c r="F872" s="371"/>
      <c r="G872" s="371"/>
      <c r="H872" s="371"/>
      <c r="I872" s="371"/>
      <c r="J872" s="371"/>
      <c r="K872" s="371"/>
      <c r="L872" s="371"/>
      <c r="M872" s="371"/>
      <c r="N872" s="371"/>
      <c r="O872" s="371"/>
      <c r="P872" s="371"/>
      <c r="Q872" s="371"/>
      <c r="R872" s="371"/>
      <c r="S872" s="371"/>
      <c r="T872" s="371"/>
      <c r="U872" s="371"/>
      <c r="V872" s="371"/>
      <c r="W872" s="371"/>
      <c r="X872" s="371"/>
      <c r="Y872" s="371"/>
      <c r="Z872" s="371"/>
    </row>
    <row r="873">
      <c r="A873" s="371"/>
      <c r="B873" s="371"/>
      <c r="C873" s="371"/>
      <c r="D873" s="372"/>
      <c r="E873" s="371"/>
      <c r="F873" s="371"/>
      <c r="G873" s="371"/>
      <c r="H873" s="371"/>
      <c r="I873" s="371"/>
      <c r="J873" s="371"/>
      <c r="K873" s="371"/>
      <c r="L873" s="371"/>
      <c r="M873" s="371"/>
      <c r="N873" s="371"/>
      <c r="O873" s="371"/>
      <c r="P873" s="371"/>
      <c r="Q873" s="371"/>
      <c r="R873" s="371"/>
      <c r="S873" s="371"/>
      <c r="T873" s="371"/>
      <c r="U873" s="371"/>
      <c r="V873" s="371"/>
      <c r="W873" s="371"/>
      <c r="X873" s="371"/>
      <c r="Y873" s="371"/>
      <c r="Z873" s="371"/>
    </row>
    <row r="874">
      <c r="A874" s="371"/>
      <c r="B874" s="371"/>
      <c r="C874" s="371"/>
      <c r="D874" s="372"/>
      <c r="E874" s="371"/>
      <c r="F874" s="371"/>
      <c r="G874" s="371"/>
      <c r="H874" s="371"/>
      <c r="I874" s="371"/>
      <c r="J874" s="371"/>
      <c r="K874" s="371"/>
      <c r="L874" s="371"/>
      <c r="M874" s="371"/>
      <c r="N874" s="371"/>
      <c r="O874" s="371"/>
      <c r="P874" s="371"/>
      <c r="Q874" s="371"/>
      <c r="R874" s="371"/>
      <c r="S874" s="371"/>
      <c r="T874" s="371"/>
      <c r="U874" s="371"/>
      <c r="V874" s="371"/>
      <c r="W874" s="371"/>
      <c r="X874" s="371"/>
      <c r="Y874" s="371"/>
      <c r="Z874" s="371"/>
    </row>
    <row r="875">
      <c r="A875" s="371"/>
      <c r="B875" s="371"/>
      <c r="C875" s="371"/>
      <c r="D875" s="372"/>
      <c r="E875" s="371"/>
      <c r="F875" s="371"/>
      <c r="G875" s="371"/>
      <c r="H875" s="371"/>
      <c r="I875" s="371"/>
      <c r="J875" s="371"/>
      <c r="K875" s="371"/>
      <c r="L875" s="371"/>
      <c r="M875" s="371"/>
      <c r="N875" s="371"/>
      <c r="O875" s="371"/>
      <c r="P875" s="371"/>
      <c r="Q875" s="371"/>
      <c r="R875" s="371"/>
      <c r="S875" s="371"/>
      <c r="T875" s="371"/>
      <c r="U875" s="371"/>
      <c r="V875" s="371"/>
      <c r="W875" s="371"/>
      <c r="X875" s="371"/>
      <c r="Y875" s="371"/>
      <c r="Z875" s="371"/>
    </row>
    <row r="876">
      <c r="A876" s="371"/>
      <c r="B876" s="371"/>
      <c r="C876" s="371"/>
      <c r="D876" s="372"/>
      <c r="E876" s="371"/>
      <c r="F876" s="371"/>
      <c r="G876" s="371"/>
      <c r="H876" s="371"/>
      <c r="I876" s="371"/>
      <c r="J876" s="371"/>
      <c r="K876" s="371"/>
      <c r="L876" s="371"/>
      <c r="M876" s="371"/>
      <c r="N876" s="371"/>
      <c r="O876" s="371"/>
      <c r="P876" s="371"/>
      <c r="Q876" s="371"/>
      <c r="R876" s="371"/>
      <c r="S876" s="371"/>
      <c r="T876" s="371"/>
      <c r="U876" s="371"/>
      <c r="V876" s="371"/>
      <c r="W876" s="371"/>
      <c r="X876" s="371"/>
      <c r="Y876" s="371"/>
      <c r="Z876" s="371"/>
    </row>
    <row r="877">
      <c r="A877" s="371"/>
      <c r="B877" s="371"/>
      <c r="C877" s="371"/>
      <c r="D877" s="372"/>
      <c r="E877" s="371"/>
      <c r="F877" s="371"/>
      <c r="G877" s="371"/>
      <c r="H877" s="371"/>
      <c r="I877" s="371"/>
      <c r="J877" s="371"/>
      <c r="K877" s="371"/>
      <c r="L877" s="371"/>
      <c r="M877" s="371"/>
      <c r="N877" s="371"/>
      <c r="O877" s="371"/>
      <c r="P877" s="371"/>
      <c r="Q877" s="371"/>
      <c r="R877" s="371"/>
      <c r="S877" s="371"/>
      <c r="T877" s="371"/>
      <c r="U877" s="371"/>
      <c r="V877" s="371"/>
      <c r="W877" s="371"/>
      <c r="X877" s="371"/>
      <c r="Y877" s="371"/>
      <c r="Z877" s="371"/>
    </row>
    <row r="878">
      <c r="A878" s="371"/>
      <c r="B878" s="371"/>
      <c r="C878" s="371"/>
      <c r="D878" s="372"/>
      <c r="E878" s="371"/>
      <c r="F878" s="371"/>
      <c r="G878" s="371"/>
      <c r="H878" s="371"/>
      <c r="I878" s="371"/>
      <c r="J878" s="371"/>
      <c r="K878" s="371"/>
      <c r="L878" s="371"/>
      <c r="M878" s="371"/>
      <c r="N878" s="371"/>
      <c r="O878" s="371"/>
      <c r="P878" s="371"/>
      <c r="Q878" s="371"/>
      <c r="R878" s="371"/>
      <c r="S878" s="371"/>
      <c r="T878" s="371"/>
      <c r="U878" s="371"/>
      <c r="V878" s="371"/>
      <c r="W878" s="371"/>
      <c r="X878" s="371"/>
      <c r="Y878" s="371"/>
      <c r="Z878" s="371"/>
    </row>
    <row r="879">
      <c r="A879" s="371"/>
      <c r="B879" s="371"/>
      <c r="C879" s="371"/>
      <c r="D879" s="372"/>
      <c r="E879" s="371"/>
      <c r="F879" s="371"/>
      <c r="G879" s="371"/>
      <c r="H879" s="371"/>
      <c r="I879" s="371"/>
      <c r="J879" s="371"/>
      <c r="K879" s="371"/>
      <c r="L879" s="371"/>
      <c r="M879" s="371"/>
      <c r="N879" s="371"/>
      <c r="O879" s="371"/>
      <c r="P879" s="371"/>
      <c r="Q879" s="371"/>
      <c r="R879" s="371"/>
      <c r="S879" s="371"/>
      <c r="T879" s="371"/>
      <c r="U879" s="371"/>
      <c r="V879" s="371"/>
      <c r="W879" s="371"/>
      <c r="X879" s="371"/>
      <c r="Y879" s="371"/>
      <c r="Z879" s="371"/>
    </row>
    <row r="880">
      <c r="A880" s="371"/>
      <c r="B880" s="371"/>
      <c r="C880" s="371"/>
      <c r="D880" s="372"/>
      <c r="E880" s="371"/>
      <c r="F880" s="371"/>
      <c r="G880" s="371"/>
      <c r="H880" s="371"/>
      <c r="I880" s="371"/>
      <c r="J880" s="371"/>
      <c r="K880" s="371"/>
      <c r="L880" s="371"/>
      <c r="M880" s="371"/>
      <c r="N880" s="371"/>
      <c r="O880" s="371"/>
      <c r="P880" s="371"/>
      <c r="Q880" s="371"/>
      <c r="R880" s="371"/>
      <c r="S880" s="371"/>
      <c r="T880" s="371"/>
      <c r="U880" s="371"/>
      <c r="V880" s="371"/>
      <c r="W880" s="371"/>
      <c r="X880" s="371"/>
      <c r="Y880" s="371"/>
      <c r="Z880" s="371"/>
    </row>
    <row r="881">
      <c r="A881" s="371"/>
      <c r="B881" s="371"/>
      <c r="C881" s="371"/>
      <c r="D881" s="372"/>
      <c r="E881" s="371"/>
      <c r="F881" s="371"/>
      <c r="G881" s="371"/>
      <c r="H881" s="371"/>
      <c r="I881" s="371"/>
      <c r="J881" s="371"/>
      <c r="K881" s="371"/>
      <c r="L881" s="371"/>
      <c r="M881" s="371"/>
      <c r="N881" s="371"/>
      <c r="O881" s="371"/>
      <c r="P881" s="371"/>
      <c r="Q881" s="371"/>
      <c r="R881" s="371"/>
      <c r="S881" s="371"/>
      <c r="T881" s="371"/>
      <c r="U881" s="371"/>
      <c r="V881" s="371"/>
      <c r="W881" s="371"/>
      <c r="X881" s="371"/>
      <c r="Y881" s="371"/>
      <c r="Z881" s="371"/>
    </row>
    <row r="882">
      <c r="A882" s="371"/>
      <c r="B882" s="371"/>
      <c r="C882" s="371"/>
      <c r="D882" s="372"/>
      <c r="E882" s="371"/>
      <c r="F882" s="371"/>
      <c r="G882" s="371"/>
      <c r="H882" s="371"/>
      <c r="I882" s="371"/>
      <c r="J882" s="371"/>
      <c r="K882" s="371"/>
      <c r="L882" s="371"/>
      <c r="M882" s="371"/>
      <c r="N882" s="371"/>
      <c r="O882" s="371"/>
      <c r="P882" s="371"/>
      <c r="Q882" s="371"/>
      <c r="R882" s="371"/>
      <c r="S882" s="371"/>
      <c r="T882" s="371"/>
      <c r="U882" s="371"/>
      <c r="V882" s="371"/>
      <c r="W882" s="371"/>
      <c r="X882" s="371"/>
      <c r="Y882" s="371"/>
      <c r="Z882" s="371"/>
    </row>
    <row r="883">
      <c r="A883" s="371"/>
      <c r="B883" s="371"/>
      <c r="C883" s="371"/>
      <c r="D883" s="372"/>
      <c r="E883" s="371"/>
      <c r="F883" s="371"/>
      <c r="G883" s="371"/>
      <c r="H883" s="371"/>
      <c r="I883" s="371"/>
      <c r="J883" s="371"/>
      <c r="K883" s="371"/>
      <c r="L883" s="371"/>
      <c r="M883" s="371"/>
      <c r="N883" s="371"/>
      <c r="O883" s="371"/>
      <c r="P883" s="371"/>
      <c r="Q883" s="371"/>
      <c r="R883" s="371"/>
      <c r="S883" s="371"/>
      <c r="T883" s="371"/>
      <c r="U883" s="371"/>
      <c r="V883" s="371"/>
      <c r="W883" s="371"/>
      <c r="X883" s="371"/>
      <c r="Y883" s="371"/>
      <c r="Z883" s="371"/>
    </row>
    <row r="884">
      <c r="A884" s="371"/>
      <c r="B884" s="371"/>
      <c r="C884" s="371"/>
      <c r="D884" s="372"/>
      <c r="E884" s="371"/>
      <c r="F884" s="371"/>
      <c r="G884" s="371"/>
      <c r="H884" s="371"/>
      <c r="I884" s="371"/>
      <c r="J884" s="371"/>
      <c r="K884" s="371"/>
      <c r="L884" s="371"/>
      <c r="M884" s="371"/>
      <c r="N884" s="371"/>
      <c r="O884" s="371"/>
      <c r="P884" s="371"/>
      <c r="Q884" s="371"/>
      <c r="R884" s="371"/>
      <c r="S884" s="371"/>
      <c r="T884" s="371"/>
      <c r="U884" s="371"/>
      <c r="V884" s="371"/>
      <c r="W884" s="371"/>
      <c r="X884" s="371"/>
      <c r="Y884" s="371"/>
      <c r="Z884" s="371"/>
    </row>
    <row r="885">
      <c r="A885" s="371"/>
      <c r="B885" s="371"/>
      <c r="C885" s="371"/>
      <c r="D885" s="372"/>
      <c r="E885" s="371"/>
      <c r="F885" s="371"/>
      <c r="G885" s="371"/>
      <c r="H885" s="371"/>
      <c r="I885" s="371"/>
      <c r="J885" s="371"/>
      <c r="K885" s="371"/>
      <c r="L885" s="371"/>
      <c r="M885" s="371"/>
      <c r="N885" s="371"/>
      <c r="O885" s="371"/>
      <c r="P885" s="371"/>
      <c r="Q885" s="371"/>
      <c r="R885" s="371"/>
      <c r="S885" s="371"/>
      <c r="T885" s="371"/>
      <c r="U885" s="371"/>
      <c r="V885" s="371"/>
      <c r="W885" s="371"/>
      <c r="X885" s="371"/>
      <c r="Y885" s="371"/>
      <c r="Z885" s="371"/>
    </row>
    <row r="886">
      <c r="A886" s="371"/>
      <c r="B886" s="371"/>
      <c r="C886" s="371"/>
      <c r="D886" s="372"/>
      <c r="E886" s="371"/>
      <c r="F886" s="371"/>
      <c r="G886" s="371"/>
      <c r="H886" s="371"/>
      <c r="I886" s="371"/>
      <c r="J886" s="371"/>
      <c r="K886" s="371"/>
      <c r="L886" s="371"/>
      <c r="M886" s="371"/>
      <c r="N886" s="371"/>
      <c r="O886" s="371"/>
      <c r="P886" s="371"/>
      <c r="Q886" s="371"/>
      <c r="R886" s="371"/>
      <c r="S886" s="371"/>
      <c r="T886" s="371"/>
      <c r="U886" s="371"/>
      <c r="V886" s="371"/>
      <c r="W886" s="371"/>
      <c r="X886" s="371"/>
      <c r="Y886" s="371"/>
      <c r="Z886" s="371"/>
    </row>
    <row r="887">
      <c r="A887" s="371"/>
      <c r="B887" s="371"/>
      <c r="C887" s="371"/>
      <c r="D887" s="372"/>
      <c r="E887" s="371"/>
      <c r="F887" s="371"/>
      <c r="G887" s="371"/>
      <c r="H887" s="371"/>
      <c r="I887" s="371"/>
      <c r="J887" s="371"/>
      <c r="K887" s="371"/>
      <c r="L887" s="371"/>
      <c r="M887" s="371"/>
      <c r="N887" s="371"/>
      <c r="O887" s="371"/>
      <c r="P887" s="371"/>
      <c r="Q887" s="371"/>
      <c r="R887" s="371"/>
      <c r="S887" s="371"/>
      <c r="T887" s="371"/>
      <c r="U887" s="371"/>
      <c r="V887" s="371"/>
      <c r="W887" s="371"/>
      <c r="X887" s="371"/>
      <c r="Y887" s="371"/>
      <c r="Z887" s="371"/>
    </row>
    <row r="888">
      <c r="A888" s="371"/>
      <c r="B888" s="371"/>
      <c r="C888" s="371"/>
      <c r="D888" s="372"/>
      <c r="E888" s="371"/>
      <c r="F888" s="371"/>
      <c r="G888" s="371"/>
      <c r="H888" s="371"/>
      <c r="I888" s="371"/>
      <c r="J888" s="371"/>
      <c r="K888" s="371"/>
      <c r="L888" s="371"/>
      <c r="M888" s="371"/>
      <c r="N888" s="371"/>
      <c r="O888" s="371"/>
      <c r="P888" s="371"/>
      <c r="Q888" s="371"/>
      <c r="R888" s="371"/>
      <c r="S888" s="371"/>
      <c r="T888" s="371"/>
      <c r="U888" s="371"/>
      <c r="V888" s="371"/>
      <c r="W888" s="371"/>
      <c r="X888" s="371"/>
      <c r="Y888" s="371"/>
      <c r="Z888" s="371"/>
    </row>
    <row r="889">
      <c r="A889" s="371"/>
      <c r="B889" s="371"/>
      <c r="C889" s="371"/>
      <c r="D889" s="372"/>
      <c r="E889" s="371"/>
      <c r="F889" s="371"/>
      <c r="G889" s="371"/>
      <c r="H889" s="371"/>
      <c r="I889" s="371"/>
      <c r="J889" s="371"/>
      <c r="K889" s="371"/>
      <c r="L889" s="371"/>
      <c r="M889" s="371"/>
      <c r="N889" s="371"/>
      <c r="O889" s="371"/>
      <c r="P889" s="371"/>
      <c r="Q889" s="371"/>
      <c r="R889" s="371"/>
      <c r="S889" s="371"/>
      <c r="T889" s="371"/>
      <c r="U889" s="371"/>
      <c r="V889" s="371"/>
      <c r="W889" s="371"/>
      <c r="X889" s="371"/>
      <c r="Y889" s="371"/>
      <c r="Z889" s="371"/>
    </row>
    <row r="890">
      <c r="A890" s="371"/>
      <c r="B890" s="371"/>
      <c r="C890" s="371"/>
      <c r="D890" s="372"/>
      <c r="E890" s="371"/>
      <c r="F890" s="371"/>
      <c r="G890" s="371"/>
      <c r="H890" s="371"/>
      <c r="I890" s="371"/>
      <c r="J890" s="371"/>
      <c r="K890" s="371"/>
      <c r="L890" s="371"/>
      <c r="M890" s="371"/>
      <c r="N890" s="371"/>
      <c r="O890" s="371"/>
      <c r="P890" s="371"/>
      <c r="Q890" s="371"/>
      <c r="R890" s="371"/>
      <c r="S890" s="371"/>
      <c r="T890" s="371"/>
      <c r="U890" s="371"/>
      <c r="V890" s="371"/>
      <c r="W890" s="371"/>
      <c r="X890" s="371"/>
      <c r="Y890" s="371"/>
      <c r="Z890" s="371"/>
    </row>
    <row r="891">
      <c r="A891" s="371"/>
      <c r="B891" s="371"/>
      <c r="C891" s="371"/>
      <c r="D891" s="372"/>
      <c r="E891" s="371"/>
      <c r="F891" s="371"/>
      <c r="G891" s="371"/>
      <c r="H891" s="371"/>
      <c r="I891" s="371"/>
      <c r="J891" s="371"/>
      <c r="K891" s="371"/>
      <c r="L891" s="371"/>
      <c r="M891" s="371"/>
      <c r="N891" s="371"/>
      <c r="O891" s="371"/>
      <c r="P891" s="371"/>
      <c r="Q891" s="371"/>
      <c r="R891" s="371"/>
      <c r="S891" s="371"/>
      <c r="T891" s="371"/>
      <c r="U891" s="371"/>
      <c r="V891" s="371"/>
      <c r="W891" s="371"/>
      <c r="X891" s="371"/>
      <c r="Y891" s="371"/>
      <c r="Z891" s="371"/>
    </row>
    <row r="892">
      <c r="A892" s="371"/>
      <c r="B892" s="371"/>
      <c r="C892" s="371"/>
      <c r="D892" s="372"/>
      <c r="E892" s="371"/>
      <c r="F892" s="371"/>
      <c r="G892" s="371"/>
      <c r="H892" s="371"/>
      <c r="I892" s="371"/>
      <c r="J892" s="371"/>
      <c r="K892" s="371"/>
      <c r="L892" s="371"/>
      <c r="M892" s="371"/>
      <c r="N892" s="371"/>
      <c r="O892" s="371"/>
      <c r="P892" s="371"/>
      <c r="Q892" s="371"/>
      <c r="R892" s="371"/>
      <c r="S892" s="371"/>
      <c r="T892" s="371"/>
      <c r="U892" s="371"/>
      <c r="V892" s="371"/>
      <c r="W892" s="371"/>
      <c r="X892" s="371"/>
      <c r="Y892" s="371"/>
      <c r="Z892" s="371"/>
    </row>
    <row r="893">
      <c r="A893" s="371"/>
      <c r="B893" s="371"/>
      <c r="C893" s="371"/>
      <c r="D893" s="372"/>
      <c r="E893" s="371"/>
      <c r="F893" s="371"/>
      <c r="G893" s="371"/>
      <c r="H893" s="371"/>
      <c r="I893" s="371"/>
      <c r="J893" s="371"/>
      <c r="K893" s="371"/>
      <c r="L893" s="371"/>
      <c r="M893" s="371"/>
      <c r="N893" s="371"/>
      <c r="O893" s="371"/>
      <c r="P893" s="371"/>
      <c r="Q893" s="371"/>
      <c r="R893" s="371"/>
      <c r="S893" s="371"/>
      <c r="T893" s="371"/>
      <c r="U893" s="371"/>
      <c r="V893" s="371"/>
      <c r="W893" s="371"/>
      <c r="X893" s="371"/>
      <c r="Y893" s="371"/>
      <c r="Z893" s="371"/>
    </row>
    <row r="894">
      <c r="A894" s="371"/>
      <c r="B894" s="371"/>
      <c r="C894" s="371"/>
      <c r="D894" s="372"/>
      <c r="E894" s="371"/>
      <c r="F894" s="371"/>
      <c r="G894" s="371"/>
      <c r="H894" s="371"/>
      <c r="I894" s="371"/>
      <c r="J894" s="371"/>
      <c r="K894" s="371"/>
      <c r="L894" s="371"/>
      <c r="M894" s="371"/>
      <c r="N894" s="371"/>
      <c r="O894" s="371"/>
      <c r="P894" s="371"/>
      <c r="Q894" s="371"/>
      <c r="R894" s="371"/>
      <c r="S894" s="371"/>
      <c r="T894" s="371"/>
      <c r="U894" s="371"/>
      <c r="V894" s="371"/>
      <c r="W894" s="371"/>
      <c r="X894" s="371"/>
      <c r="Y894" s="371"/>
      <c r="Z894" s="371"/>
    </row>
    <row r="895">
      <c r="A895" s="371"/>
      <c r="B895" s="371"/>
      <c r="C895" s="371"/>
      <c r="D895" s="372"/>
      <c r="E895" s="371"/>
      <c r="F895" s="371"/>
      <c r="G895" s="371"/>
      <c r="H895" s="371"/>
      <c r="I895" s="371"/>
      <c r="J895" s="371"/>
      <c r="K895" s="371"/>
      <c r="L895" s="371"/>
      <c r="M895" s="371"/>
      <c r="N895" s="371"/>
      <c r="O895" s="371"/>
      <c r="P895" s="371"/>
      <c r="Q895" s="371"/>
      <c r="R895" s="371"/>
      <c r="S895" s="371"/>
      <c r="T895" s="371"/>
      <c r="U895" s="371"/>
      <c r="V895" s="371"/>
      <c r="W895" s="371"/>
      <c r="X895" s="371"/>
      <c r="Y895" s="371"/>
      <c r="Z895" s="371"/>
    </row>
    <row r="896">
      <c r="A896" s="371"/>
      <c r="B896" s="371"/>
      <c r="C896" s="371"/>
      <c r="D896" s="372"/>
      <c r="E896" s="371"/>
      <c r="F896" s="371"/>
      <c r="G896" s="371"/>
      <c r="H896" s="371"/>
      <c r="I896" s="371"/>
      <c r="J896" s="371"/>
      <c r="K896" s="371"/>
      <c r="L896" s="371"/>
      <c r="M896" s="371"/>
      <c r="N896" s="371"/>
      <c r="O896" s="371"/>
      <c r="P896" s="371"/>
      <c r="Q896" s="371"/>
      <c r="R896" s="371"/>
      <c r="S896" s="371"/>
      <c r="T896" s="371"/>
      <c r="U896" s="371"/>
      <c r="V896" s="371"/>
      <c r="W896" s="371"/>
      <c r="X896" s="371"/>
      <c r="Y896" s="371"/>
      <c r="Z896" s="371"/>
    </row>
    <row r="897">
      <c r="A897" s="371"/>
      <c r="B897" s="371"/>
      <c r="C897" s="371"/>
      <c r="D897" s="372"/>
      <c r="E897" s="371"/>
      <c r="F897" s="371"/>
      <c r="G897" s="371"/>
      <c r="H897" s="371"/>
      <c r="I897" s="371"/>
      <c r="J897" s="371"/>
      <c r="K897" s="371"/>
      <c r="L897" s="371"/>
      <c r="M897" s="371"/>
      <c r="N897" s="371"/>
      <c r="O897" s="371"/>
      <c r="P897" s="371"/>
      <c r="Q897" s="371"/>
      <c r="R897" s="371"/>
      <c r="S897" s="371"/>
      <c r="T897" s="371"/>
      <c r="U897" s="371"/>
      <c r="V897" s="371"/>
      <c r="W897" s="371"/>
      <c r="X897" s="371"/>
      <c r="Y897" s="371"/>
      <c r="Z897" s="371"/>
    </row>
    <row r="898">
      <c r="A898" s="371"/>
      <c r="B898" s="371"/>
      <c r="C898" s="371"/>
      <c r="D898" s="372"/>
      <c r="E898" s="371"/>
      <c r="F898" s="371"/>
      <c r="G898" s="371"/>
      <c r="H898" s="371"/>
      <c r="I898" s="371"/>
      <c r="J898" s="371"/>
      <c r="K898" s="371"/>
      <c r="L898" s="371"/>
      <c r="M898" s="371"/>
      <c r="N898" s="371"/>
      <c r="O898" s="371"/>
      <c r="P898" s="371"/>
      <c r="Q898" s="371"/>
      <c r="R898" s="371"/>
      <c r="S898" s="371"/>
      <c r="T898" s="371"/>
      <c r="U898" s="371"/>
      <c r="V898" s="371"/>
      <c r="W898" s="371"/>
      <c r="X898" s="371"/>
      <c r="Y898" s="371"/>
      <c r="Z898" s="371"/>
    </row>
    <row r="899">
      <c r="A899" s="371"/>
      <c r="B899" s="371"/>
      <c r="C899" s="371"/>
      <c r="D899" s="372"/>
      <c r="E899" s="371"/>
      <c r="F899" s="371"/>
      <c r="G899" s="371"/>
      <c r="H899" s="371"/>
      <c r="I899" s="371"/>
      <c r="J899" s="371"/>
      <c r="K899" s="371"/>
      <c r="L899" s="371"/>
      <c r="M899" s="371"/>
      <c r="N899" s="371"/>
      <c r="O899" s="371"/>
      <c r="P899" s="371"/>
      <c r="Q899" s="371"/>
      <c r="R899" s="371"/>
      <c r="S899" s="371"/>
      <c r="T899" s="371"/>
      <c r="U899" s="371"/>
      <c r="V899" s="371"/>
      <c r="W899" s="371"/>
      <c r="X899" s="371"/>
      <c r="Y899" s="371"/>
      <c r="Z899" s="371"/>
    </row>
    <row r="900">
      <c r="A900" s="371"/>
      <c r="B900" s="371"/>
      <c r="C900" s="371"/>
      <c r="D900" s="372"/>
      <c r="E900" s="371"/>
      <c r="F900" s="371"/>
      <c r="G900" s="371"/>
      <c r="H900" s="371"/>
      <c r="I900" s="371"/>
      <c r="J900" s="371"/>
      <c r="K900" s="371"/>
      <c r="L900" s="371"/>
      <c r="M900" s="371"/>
      <c r="N900" s="371"/>
      <c r="O900" s="371"/>
      <c r="P900" s="371"/>
      <c r="Q900" s="371"/>
      <c r="R900" s="371"/>
      <c r="S900" s="371"/>
      <c r="T900" s="371"/>
      <c r="U900" s="371"/>
      <c r="V900" s="371"/>
      <c r="W900" s="371"/>
      <c r="X900" s="371"/>
      <c r="Y900" s="371"/>
      <c r="Z900" s="371"/>
    </row>
    <row r="901">
      <c r="A901" s="371"/>
      <c r="B901" s="371"/>
      <c r="C901" s="371"/>
      <c r="D901" s="372"/>
      <c r="E901" s="371"/>
      <c r="F901" s="371"/>
      <c r="G901" s="371"/>
      <c r="H901" s="371"/>
      <c r="I901" s="371"/>
      <c r="J901" s="371"/>
      <c r="K901" s="371"/>
      <c r="L901" s="371"/>
      <c r="M901" s="371"/>
      <c r="N901" s="371"/>
      <c r="O901" s="371"/>
      <c r="P901" s="371"/>
      <c r="Q901" s="371"/>
      <c r="R901" s="371"/>
      <c r="S901" s="371"/>
      <c r="T901" s="371"/>
      <c r="U901" s="371"/>
      <c r="V901" s="371"/>
      <c r="W901" s="371"/>
      <c r="X901" s="371"/>
      <c r="Y901" s="371"/>
      <c r="Z901" s="371"/>
    </row>
    <row r="902">
      <c r="A902" s="371"/>
      <c r="B902" s="371"/>
      <c r="C902" s="371"/>
      <c r="D902" s="372"/>
      <c r="E902" s="371"/>
      <c r="F902" s="371"/>
      <c r="G902" s="371"/>
      <c r="H902" s="371"/>
      <c r="I902" s="371"/>
      <c r="J902" s="371"/>
      <c r="K902" s="371"/>
      <c r="L902" s="371"/>
      <c r="M902" s="371"/>
      <c r="N902" s="371"/>
      <c r="O902" s="371"/>
      <c r="P902" s="371"/>
      <c r="Q902" s="371"/>
      <c r="R902" s="371"/>
      <c r="S902" s="371"/>
      <c r="T902" s="371"/>
      <c r="U902" s="371"/>
      <c r="V902" s="371"/>
      <c r="W902" s="371"/>
      <c r="X902" s="371"/>
      <c r="Y902" s="371"/>
      <c r="Z902" s="371"/>
    </row>
    <row r="903">
      <c r="A903" s="371"/>
      <c r="B903" s="371"/>
      <c r="C903" s="371"/>
      <c r="D903" s="372"/>
      <c r="E903" s="371"/>
      <c r="F903" s="371"/>
      <c r="G903" s="371"/>
      <c r="H903" s="371"/>
      <c r="I903" s="371"/>
      <c r="J903" s="371"/>
      <c r="K903" s="371"/>
      <c r="L903" s="371"/>
      <c r="M903" s="371"/>
      <c r="N903" s="371"/>
      <c r="O903" s="371"/>
      <c r="P903" s="371"/>
      <c r="Q903" s="371"/>
      <c r="R903" s="371"/>
      <c r="S903" s="371"/>
      <c r="T903" s="371"/>
      <c r="U903" s="371"/>
      <c r="V903" s="371"/>
      <c r="W903" s="371"/>
      <c r="X903" s="371"/>
      <c r="Y903" s="371"/>
      <c r="Z903" s="371"/>
    </row>
    <row r="904">
      <c r="A904" s="371"/>
      <c r="B904" s="371"/>
      <c r="C904" s="371"/>
      <c r="D904" s="372"/>
      <c r="E904" s="371"/>
      <c r="F904" s="371"/>
      <c r="G904" s="371"/>
      <c r="H904" s="371"/>
      <c r="I904" s="371"/>
      <c r="J904" s="371"/>
      <c r="K904" s="371"/>
      <c r="L904" s="371"/>
      <c r="M904" s="371"/>
      <c r="N904" s="371"/>
      <c r="O904" s="371"/>
      <c r="P904" s="371"/>
      <c r="Q904" s="371"/>
      <c r="R904" s="371"/>
      <c r="S904" s="371"/>
      <c r="T904" s="371"/>
      <c r="U904" s="371"/>
      <c r="V904" s="371"/>
      <c r="W904" s="371"/>
      <c r="X904" s="371"/>
      <c r="Y904" s="371"/>
      <c r="Z904" s="371"/>
    </row>
    <row r="905">
      <c r="A905" s="371"/>
      <c r="B905" s="371"/>
      <c r="C905" s="371"/>
      <c r="D905" s="372"/>
      <c r="E905" s="371"/>
      <c r="F905" s="371"/>
      <c r="G905" s="371"/>
      <c r="H905" s="371"/>
      <c r="I905" s="371"/>
      <c r="J905" s="371"/>
      <c r="K905" s="371"/>
      <c r="L905" s="371"/>
      <c r="M905" s="371"/>
      <c r="N905" s="371"/>
      <c r="O905" s="371"/>
      <c r="P905" s="371"/>
      <c r="Q905" s="371"/>
      <c r="R905" s="371"/>
      <c r="S905" s="371"/>
      <c r="T905" s="371"/>
      <c r="U905" s="371"/>
      <c r="V905" s="371"/>
      <c r="W905" s="371"/>
      <c r="X905" s="371"/>
      <c r="Y905" s="371"/>
      <c r="Z905" s="371"/>
    </row>
    <row r="906">
      <c r="A906" s="371"/>
      <c r="B906" s="371"/>
      <c r="C906" s="371"/>
      <c r="D906" s="372"/>
      <c r="E906" s="371"/>
      <c r="F906" s="371"/>
      <c r="G906" s="371"/>
      <c r="H906" s="371"/>
      <c r="I906" s="371"/>
      <c r="J906" s="371"/>
      <c r="K906" s="371"/>
      <c r="L906" s="371"/>
      <c r="M906" s="371"/>
      <c r="N906" s="371"/>
      <c r="O906" s="371"/>
      <c r="P906" s="371"/>
      <c r="Q906" s="371"/>
      <c r="R906" s="371"/>
      <c r="S906" s="371"/>
      <c r="T906" s="371"/>
      <c r="U906" s="371"/>
      <c r="V906" s="371"/>
      <c r="W906" s="371"/>
      <c r="X906" s="371"/>
      <c r="Y906" s="371"/>
      <c r="Z906" s="371"/>
    </row>
    <row r="907">
      <c r="A907" s="371"/>
      <c r="B907" s="371"/>
      <c r="C907" s="371"/>
      <c r="D907" s="372"/>
      <c r="E907" s="371"/>
      <c r="F907" s="371"/>
      <c r="G907" s="371"/>
      <c r="H907" s="371"/>
      <c r="I907" s="371"/>
      <c r="J907" s="371"/>
      <c r="K907" s="371"/>
      <c r="L907" s="371"/>
      <c r="M907" s="371"/>
      <c r="N907" s="371"/>
      <c r="O907" s="371"/>
      <c r="P907" s="371"/>
      <c r="Q907" s="371"/>
      <c r="R907" s="371"/>
      <c r="S907" s="371"/>
      <c r="T907" s="371"/>
      <c r="U907" s="371"/>
      <c r="V907" s="371"/>
      <c r="W907" s="371"/>
      <c r="X907" s="371"/>
      <c r="Y907" s="371"/>
      <c r="Z907" s="371"/>
    </row>
    <row r="908">
      <c r="A908" s="371"/>
      <c r="B908" s="371"/>
      <c r="C908" s="371"/>
      <c r="D908" s="372"/>
      <c r="E908" s="371"/>
      <c r="F908" s="371"/>
      <c r="G908" s="371"/>
      <c r="H908" s="371"/>
      <c r="I908" s="371"/>
      <c r="J908" s="371"/>
      <c r="K908" s="371"/>
      <c r="L908" s="371"/>
      <c r="M908" s="371"/>
      <c r="N908" s="371"/>
      <c r="O908" s="371"/>
      <c r="P908" s="371"/>
      <c r="Q908" s="371"/>
      <c r="R908" s="371"/>
      <c r="S908" s="371"/>
      <c r="T908" s="371"/>
      <c r="U908" s="371"/>
      <c r="V908" s="371"/>
      <c r="W908" s="371"/>
      <c r="X908" s="371"/>
      <c r="Y908" s="371"/>
      <c r="Z908" s="371"/>
    </row>
    <row r="909">
      <c r="A909" s="371"/>
      <c r="B909" s="371"/>
      <c r="C909" s="371"/>
      <c r="D909" s="372"/>
      <c r="E909" s="371"/>
      <c r="F909" s="371"/>
      <c r="G909" s="371"/>
      <c r="H909" s="371"/>
      <c r="I909" s="371"/>
      <c r="J909" s="371"/>
      <c r="K909" s="371"/>
      <c r="L909" s="371"/>
      <c r="M909" s="371"/>
      <c r="N909" s="371"/>
      <c r="O909" s="371"/>
      <c r="P909" s="371"/>
      <c r="Q909" s="371"/>
      <c r="R909" s="371"/>
      <c r="S909" s="371"/>
      <c r="T909" s="371"/>
      <c r="U909" s="371"/>
      <c r="V909" s="371"/>
      <c r="W909" s="371"/>
      <c r="X909" s="371"/>
      <c r="Y909" s="371"/>
      <c r="Z909" s="371"/>
    </row>
    <row r="910">
      <c r="A910" s="371"/>
      <c r="B910" s="371"/>
      <c r="C910" s="371"/>
      <c r="D910" s="372"/>
      <c r="E910" s="371"/>
      <c r="F910" s="371"/>
      <c r="G910" s="371"/>
      <c r="H910" s="371"/>
      <c r="I910" s="371"/>
      <c r="J910" s="371"/>
      <c r="K910" s="371"/>
      <c r="L910" s="371"/>
      <c r="M910" s="371"/>
      <c r="N910" s="371"/>
      <c r="O910" s="371"/>
      <c r="P910" s="371"/>
      <c r="Q910" s="371"/>
      <c r="R910" s="371"/>
      <c r="S910" s="371"/>
      <c r="T910" s="371"/>
      <c r="U910" s="371"/>
      <c r="V910" s="371"/>
      <c r="W910" s="371"/>
      <c r="X910" s="371"/>
      <c r="Y910" s="371"/>
      <c r="Z910" s="371"/>
    </row>
    <row r="911">
      <c r="A911" s="371"/>
      <c r="B911" s="371"/>
      <c r="C911" s="371"/>
      <c r="D911" s="372"/>
      <c r="E911" s="371"/>
      <c r="F911" s="371"/>
      <c r="G911" s="371"/>
      <c r="H911" s="371"/>
      <c r="I911" s="371"/>
      <c r="J911" s="371"/>
      <c r="K911" s="371"/>
      <c r="L911" s="371"/>
      <c r="M911" s="371"/>
      <c r="N911" s="371"/>
      <c r="O911" s="371"/>
      <c r="P911" s="371"/>
      <c r="Q911" s="371"/>
      <c r="R911" s="371"/>
      <c r="S911" s="371"/>
      <c r="T911" s="371"/>
      <c r="U911" s="371"/>
      <c r="V911" s="371"/>
      <c r="W911" s="371"/>
      <c r="X911" s="371"/>
      <c r="Y911" s="371"/>
      <c r="Z911" s="371"/>
    </row>
    <row r="912">
      <c r="A912" s="371"/>
      <c r="B912" s="371"/>
      <c r="C912" s="371"/>
      <c r="D912" s="372"/>
      <c r="E912" s="371"/>
      <c r="F912" s="371"/>
      <c r="G912" s="371"/>
      <c r="H912" s="371"/>
      <c r="I912" s="371"/>
      <c r="J912" s="371"/>
      <c r="K912" s="371"/>
      <c r="L912" s="371"/>
      <c r="M912" s="371"/>
      <c r="N912" s="371"/>
      <c r="O912" s="371"/>
      <c r="P912" s="371"/>
      <c r="Q912" s="371"/>
      <c r="R912" s="371"/>
      <c r="S912" s="371"/>
      <c r="T912" s="371"/>
      <c r="U912" s="371"/>
      <c r="V912" s="371"/>
      <c r="W912" s="371"/>
      <c r="X912" s="371"/>
      <c r="Y912" s="371"/>
      <c r="Z912" s="371"/>
    </row>
    <row r="913">
      <c r="A913" s="371"/>
      <c r="B913" s="371"/>
      <c r="C913" s="371"/>
      <c r="D913" s="372"/>
      <c r="E913" s="371"/>
      <c r="F913" s="371"/>
      <c r="G913" s="371"/>
      <c r="H913" s="371"/>
      <c r="I913" s="371"/>
      <c r="J913" s="371"/>
      <c r="K913" s="371"/>
      <c r="L913" s="371"/>
      <c r="M913" s="371"/>
      <c r="N913" s="371"/>
      <c r="O913" s="371"/>
      <c r="P913" s="371"/>
      <c r="Q913" s="371"/>
      <c r="R913" s="371"/>
      <c r="S913" s="371"/>
      <c r="T913" s="371"/>
      <c r="U913" s="371"/>
      <c r="V913" s="371"/>
      <c r="W913" s="371"/>
      <c r="X913" s="371"/>
      <c r="Y913" s="371"/>
      <c r="Z913" s="371"/>
    </row>
    <row r="914">
      <c r="A914" s="371"/>
      <c r="B914" s="371"/>
      <c r="C914" s="371"/>
      <c r="D914" s="372"/>
      <c r="E914" s="371"/>
      <c r="F914" s="371"/>
      <c r="G914" s="371"/>
      <c r="H914" s="371"/>
      <c r="I914" s="371"/>
      <c r="J914" s="371"/>
      <c r="K914" s="371"/>
      <c r="L914" s="371"/>
      <c r="M914" s="371"/>
      <c r="N914" s="371"/>
      <c r="O914" s="371"/>
      <c r="P914" s="371"/>
      <c r="Q914" s="371"/>
      <c r="R914" s="371"/>
      <c r="S914" s="371"/>
      <c r="T914" s="371"/>
      <c r="U914" s="371"/>
      <c r="V914" s="371"/>
      <c r="W914" s="371"/>
      <c r="X914" s="371"/>
      <c r="Y914" s="371"/>
      <c r="Z914" s="371"/>
    </row>
    <row r="915">
      <c r="A915" s="371"/>
      <c r="B915" s="371"/>
      <c r="C915" s="371"/>
      <c r="D915" s="372"/>
      <c r="E915" s="371"/>
      <c r="F915" s="371"/>
      <c r="G915" s="371"/>
      <c r="H915" s="371"/>
      <c r="I915" s="371"/>
      <c r="J915" s="371"/>
      <c r="K915" s="371"/>
      <c r="L915" s="371"/>
      <c r="M915" s="371"/>
      <c r="N915" s="371"/>
      <c r="O915" s="371"/>
      <c r="P915" s="371"/>
      <c r="Q915" s="371"/>
      <c r="R915" s="371"/>
      <c r="S915" s="371"/>
      <c r="T915" s="371"/>
      <c r="U915" s="371"/>
      <c r="V915" s="371"/>
      <c r="W915" s="371"/>
      <c r="X915" s="371"/>
      <c r="Y915" s="371"/>
      <c r="Z915" s="371"/>
    </row>
    <row r="916">
      <c r="A916" s="371"/>
      <c r="B916" s="371"/>
      <c r="C916" s="371"/>
      <c r="D916" s="372"/>
      <c r="E916" s="371"/>
      <c r="F916" s="371"/>
      <c r="G916" s="371"/>
      <c r="H916" s="371"/>
      <c r="I916" s="371"/>
      <c r="J916" s="371"/>
      <c r="K916" s="371"/>
      <c r="L916" s="371"/>
      <c r="M916" s="371"/>
      <c r="N916" s="371"/>
      <c r="O916" s="371"/>
      <c r="P916" s="371"/>
      <c r="Q916" s="371"/>
      <c r="R916" s="371"/>
      <c r="S916" s="371"/>
      <c r="T916" s="371"/>
      <c r="U916" s="371"/>
      <c r="V916" s="371"/>
      <c r="W916" s="371"/>
      <c r="X916" s="371"/>
      <c r="Y916" s="371"/>
      <c r="Z916" s="371"/>
    </row>
    <row r="917">
      <c r="A917" s="371"/>
      <c r="B917" s="371"/>
      <c r="C917" s="371"/>
      <c r="D917" s="372"/>
      <c r="E917" s="371"/>
      <c r="F917" s="371"/>
      <c r="G917" s="371"/>
      <c r="H917" s="371"/>
      <c r="I917" s="371"/>
      <c r="J917" s="371"/>
      <c r="K917" s="371"/>
      <c r="L917" s="371"/>
      <c r="M917" s="371"/>
      <c r="N917" s="371"/>
      <c r="O917" s="371"/>
      <c r="P917" s="371"/>
      <c r="Q917" s="371"/>
      <c r="R917" s="371"/>
      <c r="S917" s="371"/>
      <c r="T917" s="371"/>
      <c r="U917" s="371"/>
      <c r="V917" s="371"/>
      <c r="W917" s="371"/>
      <c r="X917" s="371"/>
      <c r="Y917" s="371"/>
      <c r="Z917" s="371"/>
    </row>
    <row r="918">
      <c r="A918" s="371"/>
      <c r="B918" s="371"/>
      <c r="C918" s="371"/>
      <c r="D918" s="372"/>
      <c r="E918" s="371"/>
      <c r="F918" s="371"/>
      <c r="G918" s="371"/>
      <c r="H918" s="371"/>
      <c r="I918" s="371"/>
      <c r="J918" s="371"/>
      <c r="K918" s="371"/>
      <c r="L918" s="371"/>
      <c r="M918" s="371"/>
      <c r="N918" s="371"/>
      <c r="O918" s="371"/>
      <c r="P918" s="371"/>
      <c r="Q918" s="371"/>
      <c r="R918" s="371"/>
      <c r="S918" s="371"/>
      <c r="T918" s="371"/>
      <c r="U918" s="371"/>
      <c r="V918" s="371"/>
      <c r="W918" s="371"/>
      <c r="X918" s="371"/>
      <c r="Y918" s="371"/>
      <c r="Z918" s="371"/>
    </row>
    <row r="919">
      <c r="A919" s="371"/>
      <c r="B919" s="371"/>
      <c r="C919" s="371"/>
      <c r="D919" s="372"/>
      <c r="E919" s="371"/>
      <c r="F919" s="371"/>
      <c r="G919" s="371"/>
      <c r="H919" s="371"/>
      <c r="I919" s="371"/>
      <c r="J919" s="371"/>
      <c r="K919" s="371"/>
      <c r="L919" s="371"/>
      <c r="M919" s="371"/>
      <c r="N919" s="371"/>
      <c r="O919" s="371"/>
      <c r="P919" s="371"/>
      <c r="Q919" s="371"/>
      <c r="R919" s="371"/>
      <c r="S919" s="371"/>
      <c r="T919" s="371"/>
      <c r="U919" s="371"/>
      <c r="V919" s="371"/>
      <c r="W919" s="371"/>
      <c r="X919" s="371"/>
      <c r="Y919" s="371"/>
      <c r="Z919" s="371"/>
    </row>
    <row r="920">
      <c r="A920" s="371"/>
      <c r="B920" s="371"/>
      <c r="C920" s="371"/>
      <c r="D920" s="372"/>
      <c r="E920" s="371"/>
      <c r="F920" s="371"/>
      <c r="G920" s="371"/>
      <c r="H920" s="371"/>
      <c r="I920" s="371"/>
      <c r="J920" s="371"/>
      <c r="K920" s="371"/>
      <c r="L920" s="371"/>
      <c r="M920" s="371"/>
      <c r="N920" s="371"/>
      <c r="O920" s="371"/>
      <c r="P920" s="371"/>
      <c r="Q920" s="371"/>
      <c r="R920" s="371"/>
      <c r="S920" s="371"/>
      <c r="T920" s="371"/>
      <c r="U920" s="371"/>
      <c r="V920" s="371"/>
      <c r="W920" s="371"/>
      <c r="X920" s="371"/>
      <c r="Y920" s="371"/>
      <c r="Z920" s="371"/>
    </row>
    <row r="921">
      <c r="A921" s="371"/>
      <c r="B921" s="371"/>
      <c r="C921" s="371"/>
      <c r="D921" s="372"/>
      <c r="E921" s="371"/>
      <c r="F921" s="371"/>
      <c r="G921" s="371"/>
      <c r="H921" s="371"/>
      <c r="I921" s="371"/>
      <c r="J921" s="371"/>
      <c r="K921" s="371"/>
      <c r="L921" s="371"/>
      <c r="M921" s="371"/>
      <c r="N921" s="371"/>
      <c r="O921" s="371"/>
      <c r="P921" s="371"/>
      <c r="Q921" s="371"/>
      <c r="R921" s="371"/>
      <c r="S921" s="371"/>
      <c r="T921" s="371"/>
      <c r="U921" s="371"/>
      <c r="V921" s="371"/>
      <c r="W921" s="371"/>
      <c r="X921" s="371"/>
      <c r="Y921" s="371"/>
      <c r="Z921" s="371"/>
    </row>
    <row r="922">
      <c r="A922" s="371"/>
      <c r="B922" s="371"/>
      <c r="C922" s="371"/>
      <c r="D922" s="372"/>
      <c r="E922" s="371"/>
      <c r="F922" s="371"/>
      <c r="G922" s="371"/>
      <c r="H922" s="371"/>
      <c r="I922" s="371"/>
      <c r="J922" s="371"/>
      <c r="K922" s="371"/>
      <c r="L922" s="371"/>
      <c r="M922" s="371"/>
      <c r="N922" s="371"/>
      <c r="O922" s="371"/>
      <c r="P922" s="371"/>
      <c r="Q922" s="371"/>
      <c r="R922" s="371"/>
      <c r="S922" s="371"/>
      <c r="T922" s="371"/>
      <c r="U922" s="371"/>
      <c r="V922" s="371"/>
      <c r="W922" s="371"/>
      <c r="X922" s="371"/>
      <c r="Y922" s="371"/>
      <c r="Z922" s="371"/>
    </row>
    <row r="923">
      <c r="A923" s="371"/>
      <c r="B923" s="371"/>
      <c r="C923" s="371"/>
      <c r="D923" s="372"/>
      <c r="E923" s="371"/>
      <c r="F923" s="371"/>
      <c r="G923" s="371"/>
      <c r="H923" s="371"/>
      <c r="I923" s="371"/>
      <c r="J923" s="371"/>
      <c r="K923" s="371"/>
      <c r="L923" s="371"/>
      <c r="M923" s="371"/>
      <c r="N923" s="371"/>
      <c r="O923" s="371"/>
      <c r="P923" s="371"/>
      <c r="Q923" s="371"/>
      <c r="R923" s="371"/>
      <c r="S923" s="371"/>
      <c r="T923" s="371"/>
      <c r="U923" s="371"/>
      <c r="V923" s="371"/>
      <c r="W923" s="371"/>
      <c r="X923" s="371"/>
      <c r="Y923" s="371"/>
      <c r="Z923" s="371"/>
    </row>
    <row r="924">
      <c r="A924" s="371"/>
      <c r="B924" s="371"/>
      <c r="C924" s="371"/>
      <c r="D924" s="372"/>
      <c r="E924" s="371"/>
      <c r="F924" s="371"/>
      <c r="G924" s="371"/>
      <c r="H924" s="371"/>
      <c r="I924" s="371"/>
      <c r="J924" s="371"/>
      <c r="K924" s="371"/>
      <c r="L924" s="371"/>
      <c r="M924" s="371"/>
      <c r="N924" s="371"/>
      <c r="O924" s="371"/>
      <c r="P924" s="371"/>
      <c r="Q924" s="371"/>
      <c r="R924" s="371"/>
      <c r="S924" s="371"/>
      <c r="T924" s="371"/>
      <c r="U924" s="371"/>
      <c r="V924" s="371"/>
      <c r="W924" s="371"/>
      <c r="X924" s="371"/>
      <c r="Y924" s="371"/>
      <c r="Z924" s="371"/>
    </row>
    <row r="925">
      <c r="A925" s="371"/>
      <c r="B925" s="371"/>
      <c r="C925" s="371"/>
      <c r="D925" s="372"/>
      <c r="E925" s="371"/>
      <c r="F925" s="371"/>
      <c r="G925" s="371"/>
      <c r="H925" s="371"/>
      <c r="I925" s="371"/>
      <c r="J925" s="371"/>
      <c r="K925" s="371"/>
      <c r="L925" s="371"/>
      <c r="M925" s="371"/>
      <c r="N925" s="371"/>
      <c r="O925" s="371"/>
      <c r="P925" s="371"/>
      <c r="Q925" s="371"/>
      <c r="R925" s="371"/>
      <c r="S925" s="371"/>
      <c r="T925" s="371"/>
      <c r="U925" s="371"/>
      <c r="V925" s="371"/>
      <c r="W925" s="371"/>
      <c r="X925" s="371"/>
      <c r="Y925" s="371"/>
      <c r="Z925" s="371"/>
    </row>
    <row r="926">
      <c r="A926" s="371"/>
      <c r="B926" s="371"/>
      <c r="C926" s="371"/>
      <c r="D926" s="372"/>
      <c r="E926" s="371"/>
      <c r="F926" s="371"/>
      <c r="G926" s="371"/>
      <c r="H926" s="371"/>
      <c r="I926" s="371"/>
      <c r="J926" s="371"/>
      <c r="K926" s="371"/>
      <c r="L926" s="371"/>
      <c r="M926" s="371"/>
      <c r="N926" s="371"/>
      <c r="O926" s="371"/>
      <c r="P926" s="371"/>
      <c r="Q926" s="371"/>
      <c r="R926" s="371"/>
      <c r="S926" s="371"/>
      <c r="T926" s="371"/>
      <c r="U926" s="371"/>
      <c r="V926" s="371"/>
      <c r="W926" s="371"/>
      <c r="X926" s="371"/>
      <c r="Y926" s="371"/>
      <c r="Z926" s="371"/>
    </row>
    <row r="927">
      <c r="A927" s="371"/>
      <c r="B927" s="371"/>
      <c r="C927" s="371"/>
      <c r="D927" s="372"/>
      <c r="E927" s="371"/>
      <c r="F927" s="371"/>
      <c r="G927" s="371"/>
      <c r="H927" s="371"/>
      <c r="I927" s="371"/>
      <c r="J927" s="371"/>
      <c r="K927" s="371"/>
      <c r="L927" s="371"/>
      <c r="M927" s="371"/>
      <c r="N927" s="371"/>
      <c r="O927" s="371"/>
      <c r="P927" s="371"/>
      <c r="Q927" s="371"/>
      <c r="R927" s="371"/>
      <c r="S927" s="371"/>
      <c r="T927" s="371"/>
      <c r="U927" s="371"/>
      <c r="V927" s="371"/>
      <c r="W927" s="371"/>
      <c r="X927" s="371"/>
      <c r="Y927" s="371"/>
      <c r="Z927" s="371"/>
    </row>
    <row r="928">
      <c r="A928" s="371"/>
      <c r="B928" s="371"/>
      <c r="C928" s="371"/>
      <c r="D928" s="372"/>
      <c r="E928" s="371"/>
      <c r="F928" s="371"/>
      <c r="G928" s="371"/>
      <c r="H928" s="371"/>
      <c r="I928" s="371"/>
      <c r="J928" s="371"/>
      <c r="K928" s="371"/>
      <c r="L928" s="371"/>
      <c r="M928" s="371"/>
      <c r="N928" s="371"/>
      <c r="O928" s="371"/>
      <c r="P928" s="371"/>
      <c r="Q928" s="371"/>
      <c r="R928" s="371"/>
      <c r="S928" s="371"/>
      <c r="T928" s="371"/>
      <c r="U928" s="371"/>
      <c r="V928" s="371"/>
      <c r="W928" s="371"/>
      <c r="X928" s="371"/>
      <c r="Y928" s="371"/>
      <c r="Z928" s="371"/>
    </row>
    <row r="929">
      <c r="A929" s="371"/>
      <c r="B929" s="371"/>
      <c r="C929" s="371"/>
      <c r="D929" s="372"/>
      <c r="E929" s="371"/>
      <c r="F929" s="371"/>
      <c r="G929" s="371"/>
      <c r="H929" s="371"/>
      <c r="I929" s="371"/>
      <c r="J929" s="371"/>
      <c r="K929" s="371"/>
      <c r="L929" s="371"/>
      <c r="M929" s="371"/>
      <c r="N929" s="371"/>
      <c r="O929" s="371"/>
      <c r="P929" s="371"/>
      <c r="Q929" s="371"/>
      <c r="R929" s="371"/>
      <c r="S929" s="371"/>
      <c r="T929" s="371"/>
      <c r="U929" s="371"/>
      <c r="V929" s="371"/>
      <c r="W929" s="371"/>
      <c r="X929" s="371"/>
      <c r="Y929" s="371"/>
      <c r="Z929" s="371"/>
    </row>
    <row r="930">
      <c r="A930" s="371"/>
      <c r="B930" s="371"/>
      <c r="C930" s="371"/>
      <c r="D930" s="372"/>
      <c r="E930" s="371"/>
      <c r="F930" s="371"/>
      <c r="G930" s="371"/>
      <c r="H930" s="371"/>
      <c r="I930" s="371"/>
      <c r="J930" s="371"/>
      <c r="K930" s="371"/>
      <c r="L930" s="371"/>
      <c r="M930" s="371"/>
      <c r="N930" s="371"/>
      <c r="O930" s="371"/>
      <c r="P930" s="371"/>
      <c r="Q930" s="371"/>
      <c r="R930" s="371"/>
      <c r="S930" s="371"/>
      <c r="T930" s="371"/>
      <c r="U930" s="371"/>
      <c r="V930" s="371"/>
      <c r="W930" s="371"/>
      <c r="X930" s="371"/>
      <c r="Y930" s="371"/>
      <c r="Z930" s="371"/>
    </row>
    <row r="931">
      <c r="A931" s="371"/>
      <c r="B931" s="371"/>
      <c r="C931" s="371"/>
      <c r="D931" s="372"/>
      <c r="E931" s="371"/>
      <c r="F931" s="371"/>
      <c r="G931" s="371"/>
      <c r="H931" s="371"/>
      <c r="I931" s="371"/>
      <c r="J931" s="371"/>
      <c r="K931" s="371"/>
      <c r="L931" s="371"/>
      <c r="M931" s="371"/>
      <c r="N931" s="371"/>
      <c r="O931" s="371"/>
      <c r="P931" s="371"/>
      <c r="Q931" s="371"/>
      <c r="R931" s="371"/>
      <c r="S931" s="371"/>
      <c r="T931" s="371"/>
      <c r="U931" s="371"/>
      <c r="V931" s="371"/>
      <c r="W931" s="371"/>
      <c r="X931" s="371"/>
      <c r="Y931" s="371"/>
      <c r="Z931" s="371"/>
    </row>
    <row r="932">
      <c r="A932" s="371"/>
      <c r="B932" s="371"/>
      <c r="C932" s="371"/>
      <c r="D932" s="372"/>
      <c r="E932" s="371"/>
      <c r="F932" s="371"/>
      <c r="G932" s="371"/>
      <c r="H932" s="371"/>
      <c r="I932" s="371"/>
      <c r="J932" s="371"/>
      <c r="K932" s="371"/>
      <c r="L932" s="371"/>
      <c r="M932" s="371"/>
      <c r="N932" s="371"/>
      <c r="O932" s="371"/>
      <c r="P932" s="371"/>
      <c r="Q932" s="371"/>
      <c r="R932" s="371"/>
      <c r="S932" s="371"/>
      <c r="T932" s="371"/>
      <c r="U932" s="371"/>
      <c r="V932" s="371"/>
      <c r="W932" s="371"/>
      <c r="X932" s="371"/>
      <c r="Y932" s="371"/>
      <c r="Z932" s="371"/>
    </row>
    <row r="933">
      <c r="A933" s="371"/>
      <c r="B933" s="371"/>
      <c r="C933" s="371"/>
      <c r="D933" s="372"/>
      <c r="E933" s="371"/>
      <c r="F933" s="371"/>
      <c r="G933" s="371"/>
      <c r="H933" s="371"/>
      <c r="I933" s="371"/>
      <c r="J933" s="371"/>
      <c r="K933" s="371"/>
      <c r="L933" s="371"/>
      <c r="M933" s="371"/>
      <c r="N933" s="371"/>
      <c r="O933" s="371"/>
      <c r="P933" s="371"/>
      <c r="Q933" s="371"/>
      <c r="R933" s="371"/>
      <c r="S933" s="371"/>
      <c r="T933" s="371"/>
      <c r="U933" s="371"/>
      <c r="V933" s="371"/>
      <c r="W933" s="371"/>
      <c r="X933" s="371"/>
      <c r="Y933" s="371"/>
      <c r="Z933" s="371"/>
    </row>
    <row r="934">
      <c r="A934" s="371"/>
      <c r="B934" s="371"/>
      <c r="C934" s="371"/>
      <c r="D934" s="372"/>
      <c r="E934" s="371"/>
      <c r="F934" s="371"/>
      <c r="G934" s="371"/>
      <c r="H934" s="371"/>
      <c r="I934" s="371"/>
      <c r="J934" s="371"/>
      <c r="K934" s="371"/>
      <c r="L934" s="371"/>
      <c r="M934" s="371"/>
      <c r="N934" s="371"/>
      <c r="O934" s="371"/>
      <c r="P934" s="371"/>
      <c r="Q934" s="371"/>
      <c r="R934" s="371"/>
      <c r="S934" s="371"/>
      <c r="T934" s="371"/>
      <c r="U934" s="371"/>
      <c r="V934" s="371"/>
      <c r="W934" s="371"/>
      <c r="X934" s="371"/>
      <c r="Y934" s="371"/>
      <c r="Z934" s="371"/>
    </row>
    <row r="935">
      <c r="A935" s="371"/>
      <c r="B935" s="371"/>
      <c r="C935" s="371"/>
      <c r="D935" s="372"/>
      <c r="E935" s="371"/>
      <c r="F935" s="371"/>
      <c r="G935" s="371"/>
      <c r="H935" s="371"/>
      <c r="I935" s="371"/>
      <c r="J935" s="371"/>
      <c r="K935" s="371"/>
      <c r="L935" s="371"/>
      <c r="M935" s="371"/>
      <c r="N935" s="371"/>
      <c r="O935" s="371"/>
      <c r="P935" s="371"/>
      <c r="Q935" s="371"/>
      <c r="R935" s="371"/>
      <c r="S935" s="371"/>
      <c r="T935" s="371"/>
      <c r="U935" s="371"/>
      <c r="V935" s="371"/>
      <c r="W935" s="371"/>
      <c r="X935" s="371"/>
      <c r="Y935" s="371"/>
      <c r="Z935" s="371"/>
    </row>
    <row r="936">
      <c r="A936" s="371"/>
      <c r="B936" s="371"/>
      <c r="C936" s="371"/>
      <c r="D936" s="372"/>
      <c r="E936" s="371"/>
      <c r="F936" s="371"/>
      <c r="G936" s="371"/>
      <c r="H936" s="371"/>
      <c r="I936" s="371"/>
      <c r="J936" s="371"/>
      <c r="K936" s="371"/>
      <c r="L936" s="371"/>
      <c r="M936" s="371"/>
      <c r="N936" s="371"/>
      <c r="O936" s="371"/>
      <c r="P936" s="371"/>
      <c r="Q936" s="371"/>
      <c r="R936" s="371"/>
      <c r="S936" s="371"/>
      <c r="T936" s="371"/>
      <c r="U936" s="371"/>
      <c r="V936" s="371"/>
      <c r="W936" s="371"/>
      <c r="X936" s="371"/>
      <c r="Y936" s="371"/>
      <c r="Z936" s="371"/>
    </row>
    <row r="937">
      <c r="A937" s="371"/>
      <c r="B937" s="371"/>
      <c r="C937" s="371"/>
      <c r="D937" s="372"/>
      <c r="E937" s="371"/>
      <c r="F937" s="371"/>
      <c r="G937" s="371"/>
      <c r="H937" s="371"/>
      <c r="I937" s="371"/>
      <c r="J937" s="371"/>
      <c r="K937" s="371"/>
      <c r="L937" s="371"/>
      <c r="M937" s="371"/>
      <c r="N937" s="371"/>
      <c r="O937" s="371"/>
      <c r="P937" s="371"/>
      <c r="Q937" s="371"/>
      <c r="R937" s="371"/>
      <c r="S937" s="371"/>
      <c r="T937" s="371"/>
      <c r="U937" s="371"/>
      <c r="V937" s="371"/>
      <c r="W937" s="371"/>
      <c r="X937" s="371"/>
      <c r="Y937" s="371"/>
      <c r="Z937" s="371"/>
    </row>
    <row r="938">
      <c r="A938" s="371"/>
      <c r="B938" s="371"/>
      <c r="C938" s="371"/>
      <c r="D938" s="372"/>
      <c r="E938" s="371"/>
      <c r="F938" s="371"/>
      <c r="G938" s="371"/>
      <c r="H938" s="371"/>
      <c r="I938" s="371"/>
      <c r="J938" s="371"/>
      <c r="K938" s="371"/>
      <c r="L938" s="371"/>
      <c r="M938" s="371"/>
      <c r="N938" s="371"/>
      <c r="O938" s="371"/>
      <c r="P938" s="371"/>
      <c r="Q938" s="371"/>
      <c r="R938" s="371"/>
      <c r="S938" s="371"/>
      <c r="T938" s="371"/>
      <c r="U938" s="371"/>
      <c r="V938" s="371"/>
      <c r="W938" s="371"/>
      <c r="X938" s="371"/>
      <c r="Y938" s="371"/>
      <c r="Z938" s="371"/>
    </row>
    <row r="939">
      <c r="A939" s="371"/>
      <c r="B939" s="371"/>
      <c r="C939" s="371"/>
      <c r="D939" s="372"/>
      <c r="E939" s="371"/>
      <c r="F939" s="371"/>
      <c r="G939" s="371"/>
      <c r="H939" s="371"/>
      <c r="I939" s="371"/>
      <c r="J939" s="371"/>
      <c r="K939" s="371"/>
      <c r="L939" s="371"/>
      <c r="M939" s="371"/>
      <c r="N939" s="371"/>
      <c r="O939" s="371"/>
      <c r="P939" s="371"/>
      <c r="Q939" s="371"/>
      <c r="R939" s="371"/>
      <c r="S939" s="371"/>
      <c r="T939" s="371"/>
      <c r="U939" s="371"/>
      <c r="V939" s="371"/>
      <c r="W939" s="371"/>
      <c r="X939" s="371"/>
      <c r="Y939" s="371"/>
      <c r="Z939" s="371"/>
    </row>
    <row r="940">
      <c r="A940" s="371"/>
      <c r="B940" s="371"/>
      <c r="C940" s="371"/>
      <c r="D940" s="372"/>
      <c r="E940" s="371"/>
      <c r="F940" s="371"/>
      <c r="G940" s="371"/>
      <c r="H940" s="371"/>
      <c r="I940" s="371"/>
      <c r="J940" s="371"/>
      <c r="K940" s="371"/>
      <c r="L940" s="371"/>
      <c r="M940" s="371"/>
      <c r="N940" s="371"/>
      <c r="O940" s="371"/>
      <c r="P940" s="371"/>
      <c r="Q940" s="371"/>
      <c r="R940" s="371"/>
      <c r="S940" s="371"/>
      <c r="T940" s="371"/>
      <c r="U940" s="371"/>
      <c r="V940" s="371"/>
      <c r="W940" s="371"/>
      <c r="X940" s="371"/>
      <c r="Y940" s="371"/>
      <c r="Z940" s="371"/>
    </row>
    <row r="941">
      <c r="A941" s="371"/>
      <c r="B941" s="371"/>
      <c r="C941" s="371"/>
      <c r="D941" s="372"/>
      <c r="E941" s="371"/>
      <c r="F941" s="371"/>
      <c r="G941" s="371"/>
      <c r="H941" s="371"/>
      <c r="I941" s="371"/>
      <c r="J941" s="371"/>
      <c r="K941" s="371"/>
      <c r="L941" s="371"/>
      <c r="M941" s="371"/>
      <c r="N941" s="371"/>
      <c r="O941" s="371"/>
      <c r="P941" s="371"/>
      <c r="Q941" s="371"/>
      <c r="R941" s="371"/>
      <c r="S941" s="371"/>
      <c r="T941" s="371"/>
      <c r="U941" s="371"/>
      <c r="V941" s="371"/>
      <c r="W941" s="371"/>
      <c r="X941" s="371"/>
      <c r="Y941" s="371"/>
      <c r="Z941" s="371"/>
    </row>
    <row r="942">
      <c r="A942" s="371"/>
      <c r="B942" s="371"/>
      <c r="C942" s="371"/>
      <c r="D942" s="372"/>
      <c r="E942" s="371"/>
      <c r="F942" s="371"/>
      <c r="G942" s="371"/>
      <c r="H942" s="371"/>
      <c r="I942" s="371"/>
      <c r="J942" s="371"/>
      <c r="K942" s="371"/>
      <c r="L942" s="371"/>
      <c r="M942" s="371"/>
      <c r="N942" s="371"/>
      <c r="O942" s="371"/>
      <c r="P942" s="371"/>
      <c r="Q942" s="371"/>
      <c r="R942" s="371"/>
      <c r="S942" s="371"/>
      <c r="T942" s="371"/>
      <c r="U942" s="371"/>
      <c r="V942" s="371"/>
      <c r="W942" s="371"/>
      <c r="X942" s="371"/>
      <c r="Y942" s="371"/>
      <c r="Z942" s="371"/>
    </row>
    <row r="943">
      <c r="A943" s="371"/>
      <c r="B943" s="371"/>
      <c r="C943" s="371"/>
      <c r="D943" s="372"/>
      <c r="E943" s="371"/>
      <c r="F943" s="371"/>
      <c r="G943" s="371"/>
      <c r="H943" s="371"/>
      <c r="I943" s="371"/>
      <c r="J943" s="371"/>
      <c r="K943" s="371"/>
      <c r="L943" s="371"/>
      <c r="M943" s="371"/>
      <c r="N943" s="371"/>
      <c r="O943" s="371"/>
      <c r="P943" s="371"/>
      <c r="Q943" s="371"/>
      <c r="R943" s="371"/>
      <c r="S943" s="371"/>
      <c r="T943" s="371"/>
      <c r="U943" s="371"/>
      <c r="V943" s="371"/>
      <c r="W943" s="371"/>
      <c r="X943" s="371"/>
      <c r="Y943" s="371"/>
      <c r="Z943" s="371"/>
    </row>
    <row r="944">
      <c r="A944" s="371"/>
      <c r="B944" s="371"/>
      <c r="C944" s="371"/>
      <c r="D944" s="372"/>
      <c r="E944" s="371"/>
      <c r="F944" s="371"/>
      <c r="G944" s="371"/>
      <c r="H944" s="371"/>
      <c r="I944" s="371"/>
      <c r="J944" s="371"/>
      <c r="K944" s="371"/>
      <c r="L944" s="371"/>
      <c r="M944" s="371"/>
      <c r="N944" s="371"/>
      <c r="O944" s="371"/>
      <c r="P944" s="371"/>
      <c r="Q944" s="371"/>
      <c r="R944" s="371"/>
      <c r="S944" s="371"/>
      <c r="T944" s="371"/>
      <c r="U944" s="371"/>
      <c r="V944" s="371"/>
      <c r="W944" s="371"/>
      <c r="X944" s="371"/>
      <c r="Y944" s="371"/>
      <c r="Z944" s="371"/>
    </row>
    <row r="945">
      <c r="A945" s="371"/>
      <c r="B945" s="371"/>
      <c r="C945" s="371"/>
      <c r="D945" s="372"/>
      <c r="E945" s="371"/>
      <c r="F945" s="371"/>
      <c r="G945" s="371"/>
      <c r="H945" s="371"/>
      <c r="I945" s="371"/>
      <c r="J945" s="371"/>
      <c r="K945" s="371"/>
      <c r="L945" s="371"/>
      <c r="M945" s="371"/>
      <c r="N945" s="371"/>
      <c r="O945" s="371"/>
      <c r="P945" s="371"/>
      <c r="Q945" s="371"/>
      <c r="R945" s="371"/>
      <c r="S945" s="371"/>
      <c r="T945" s="371"/>
      <c r="U945" s="371"/>
      <c r="V945" s="371"/>
      <c r="W945" s="371"/>
      <c r="X945" s="371"/>
      <c r="Y945" s="371"/>
      <c r="Z945" s="371"/>
    </row>
    <row r="946">
      <c r="A946" s="371"/>
      <c r="B946" s="371"/>
      <c r="C946" s="371"/>
      <c r="D946" s="372"/>
      <c r="E946" s="371"/>
      <c r="F946" s="371"/>
      <c r="G946" s="371"/>
      <c r="H946" s="371"/>
      <c r="I946" s="371"/>
      <c r="J946" s="371"/>
      <c r="K946" s="371"/>
      <c r="L946" s="371"/>
      <c r="M946" s="371"/>
      <c r="N946" s="371"/>
      <c r="O946" s="371"/>
      <c r="P946" s="371"/>
      <c r="Q946" s="371"/>
      <c r="R946" s="371"/>
      <c r="S946" s="371"/>
      <c r="T946" s="371"/>
      <c r="U946" s="371"/>
      <c r="V946" s="371"/>
      <c r="W946" s="371"/>
      <c r="X946" s="371"/>
      <c r="Y946" s="371"/>
      <c r="Z946" s="371"/>
    </row>
    <row r="947">
      <c r="A947" s="371"/>
      <c r="B947" s="371"/>
      <c r="C947" s="371"/>
      <c r="D947" s="372"/>
      <c r="E947" s="371"/>
      <c r="F947" s="371"/>
      <c r="G947" s="371"/>
      <c r="H947" s="371"/>
      <c r="I947" s="371"/>
      <c r="J947" s="371"/>
      <c r="K947" s="371"/>
      <c r="L947" s="371"/>
      <c r="M947" s="371"/>
      <c r="N947" s="371"/>
      <c r="O947" s="371"/>
      <c r="P947" s="371"/>
      <c r="Q947" s="371"/>
      <c r="R947" s="371"/>
      <c r="S947" s="371"/>
      <c r="T947" s="371"/>
      <c r="U947" s="371"/>
      <c r="V947" s="371"/>
      <c r="W947" s="371"/>
      <c r="X947" s="371"/>
      <c r="Y947" s="371"/>
      <c r="Z947" s="371"/>
    </row>
    <row r="948">
      <c r="A948" s="371"/>
      <c r="B948" s="371"/>
      <c r="C948" s="371"/>
      <c r="D948" s="372"/>
      <c r="E948" s="371"/>
      <c r="F948" s="371"/>
      <c r="G948" s="371"/>
      <c r="H948" s="371"/>
      <c r="I948" s="371"/>
      <c r="J948" s="371"/>
      <c r="K948" s="371"/>
      <c r="L948" s="371"/>
      <c r="M948" s="371"/>
      <c r="N948" s="371"/>
      <c r="O948" s="371"/>
      <c r="P948" s="371"/>
      <c r="Q948" s="371"/>
      <c r="R948" s="371"/>
      <c r="S948" s="371"/>
      <c r="T948" s="371"/>
      <c r="U948" s="371"/>
      <c r="V948" s="371"/>
      <c r="W948" s="371"/>
      <c r="X948" s="371"/>
      <c r="Y948" s="371"/>
      <c r="Z948" s="371"/>
    </row>
    <row r="949">
      <c r="A949" s="371"/>
      <c r="B949" s="371"/>
      <c r="C949" s="371"/>
      <c r="D949" s="372"/>
      <c r="E949" s="371"/>
      <c r="F949" s="371"/>
      <c r="G949" s="371"/>
      <c r="H949" s="371"/>
      <c r="I949" s="371"/>
      <c r="J949" s="371"/>
      <c r="K949" s="371"/>
      <c r="L949" s="371"/>
      <c r="M949" s="371"/>
      <c r="N949" s="371"/>
      <c r="O949" s="371"/>
      <c r="P949" s="371"/>
      <c r="Q949" s="371"/>
      <c r="R949" s="371"/>
      <c r="S949" s="371"/>
      <c r="T949" s="371"/>
      <c r="U949" s="371"/>
      <c r="V949" s="371"/>
      <c r="W949" s="371"/>
      <c r="X949" s="371"/>
      <c r="Y949" s="371"/>
      <c r="Z949" s="371"/>
    </row>
    <row r="950">
      <c r="A950" s="371"/>
      <c r="B950" s="371"/>
      <c r="C950" s="371"/>
      <c r="D950" s="372"/>
      <c r="E950" s="371"/>
      <c r="F950" s="371"/>
      <c r="G950" s="371"/>
      <c r="H950" s="371"/>
      <c r="I950" s="371"/>
      <c r="J950" s="371"/>
      <c r="K950" s="371"/>
      <c r="L950" s="371"/>
      <c r="M950" s="371"/>
      <c r="N950" s="371"/>
      <c r="O950" s="371"/>
      <c r="P950" s="371"/>
      <c r="Q950" s="371"/>
      <c r="R950" s="371"/>
      <c r="S950" s="371"/>
      <c r="T950" s="371"/>
      <c r="U950" s="371"/>
      <c r="V950" s="371"/>
      <c r="W950" s="371"/>
      <c r="X950" s="371"/>
      <c r="Y950" s="371"/>
      <c r="Z950" s="371"/>
    </row>
    <row r="951">
      <c r="A951" s="371"/>
      <c r="B951" s="371"/>
      <c r="C951" s="371"/>
      <c r="D951" s="372"/>
      <c r="E951" s="371"/>
      <c r="F951" s="371"/>
      <c r="G951" s="371"/>
      <c r="H951" s="371"/>
      <c r="I951" s="371"/>
      <c r="J951" s="371"/>
      <c r="K951" s="371"/>
      <c r="L951" s="371"/>
      <c r="M951" s="371"/>
      <c r="N951" s="371"/>
      <c r="O951" s="371"/>
      <c r="P951" s="371"/>
      <c r="Q951" s="371"/>
      <c r="R951" s="371"/>
      <c r="S951" s="371"/>
      <c r="T951" s="371"/>
      <c r="U951" s="371"/>
      <c r="V951" s="371"/>
      <c r="W951" s="371"/>
      <c r="X951" s="371"/>
      <c r="Y951" s="371"/>
      <c r="Z951" s="371"/>
    </row>
    <row r="952">
      <c r="A952" s="371"/>
      <c r="B952" s="371"/>
      <c r="C952" s="371"/>
      <c r="D952" s="372"/>
      <c r="E952" s="371"/>
      <c r="F952" s="371"/>
      <c r="G952" s="371"/>
      <c r="H952" s="371"/>
      <c r="I952" s="371"/>
      <c r="J952" s="371"/>
      <c r="K952" s="371"/>
      <c r="L952" s="371"/>
      <c r="M952" s="371"/>
      <c r="N952" s="371"/>
      <c r="O952" s="371"/>
      <c r="P952" s="371"/>
      <c r="Q952" s="371"/>
      <c r="R952" s="371"/>
      <c r="S952" s="371"/>
      <c r="T952" s="371"/>
      <c r="U952" s="371"/>
      <c r="V952" s="371"/>
      <c r="W952" s="371"/>
      <c r="X952" s="371"/>
      <c r="Y952" s="371"/>
      <c r="Z952" s="371"/>
    </row>
    <row r="953">
      <c r="A953" s="371"/>
      <c r="B953" s="371"/>
      <c r="C953" s="371"/>
      <c r="D953" s="372"/>
      <c r="E953" s="371"/>
      <c r="F953" s="371"/>
      <c r="G953" s="371"/>
      <c r="H953" s="371"/>
      <c r="I953" s="371"/>
      <c r="J953" s="371"/>
      <c r="K953" s="371"/>
      <c r="L953" s="371"/>
      <c r="M953" s="371"/>
      <c r="N953" s="371"/>
      <c r="O953" s="371"/>
      <c r="P953" s="371"/>
      <c r="Q953" s="371"/>
      <c r="R953" s="371"/>
      <c r="S953" s="371"/>
      <c r="T953" s="371"/>
      <c r="U953" s="371"/>
      <c r="V953" s="371"/>
      <c r="W953" s="371"/>
      <c r="X953" s="371"/>
      <c r="Y953" s="371"/>
      <c r="Z953" s="371"/>
    </row>
    <row r="954">
      <c r="A954" s="371"/>
      <c r="B954" s="371"/>
      <c r="C954" s="371"/>
      <c r="D954" s="372"/>
      <c r="E954" s="371"/>
      <c r="F954" s="371"/>
      <c r="G954" s="371"/>
      <c r="H954" s="371"/>
      <c r="I954" s="371"/>
      <c r="J954" s="371"/>
      <c r="K954" s="371"/>
      <c r="L954" s="371"/>
      <c r="M954" s="371"/>
      <c r="N954" s="371"/>
      <c r="O954" s="371"/>
      <c r="P954" s="371"/>
      <c r="Q954" s="371"/>
      <c r="R954" s="371"/>
      <c r="S954" s="371"/>
      <c r="T954" s="371"/>
      <c r="U954" s="371"/>
      <c r="V954" s="371"/>
      <c r="W954" s="371"/>
      <c r="X954" s="371"/>
      <c r="Y954" s="371"/>
      <c r="Z954" s="371"/>
    </row>
    <row r="955">
      <c r="A955" s="371"/>
      <c r="B955" s="371"/>
      <c r="C955" s="371"/>
      <c r="D955" s="372"/>
      <c r="E955" s="371"/>
      <c r="F955" s="371"/>
      <c r="G955" s="371"/>
      <c r="H955" s="371"/>
      <c r="I955" s="371"/>
      <c r="J955" s="371"/>
      <c r="K955" s="371"/>
      <c r="L955" s="371"/>
      <c r="M955" s="371"/>
      <c r="N955" s="371"/>
      <c r="O955" s="371"/>
      <c r="P955" s="371"/>
      <c r="Q955" s="371"/>
      <c r="R955" s="371"/>
      <c r="S955" s="371"/>
      <c r="T955" s="371"/>
      <c r="U955" s="371"/>
      <c r="V955" s="371"/>
      <c r="W955" s="371"/>
      <c r="X955" s="371"/>
      <c r="Y955" s="371"/>
      <c r="Z955" s="371"/>
    </row>
    <row r="956">
      <c r="A956" s="371"/>
      <c r="B956" s="371"/>
      <c r="C956" s="371"/>
      <c r="D956" s="372"/>
      <c r="E956" s="371"/>
      <c r="F956" s="371"/>
      <c r="G956" s="371"/>
      <c r="H956" s="371"/>
      <c r="I956" s="371"/>
      <c r="J956" s="371"/>
      <c r="K956" s="371"/>
      <c r="L956" s="371"/>
      <c r="M956" s="371"/>
      <c r="N956" s="371"/>
      <c r="O956" s="371"/>
      <c r="P956" s="371"/>
      <c r="Q956" s="371"/>
      <c r="R956" s="371"/>
      <c r="S956" s="371"/>
      <c r="T956" s="371"/>
      <c r="U956" s="371"/>
      <c r="V956" s="371"/>
      <c r="W956" s="371"/>
      <c r="X956" s="371"/>
      <c r="Y956" s="371"/>
      <c r="Z956" s="371"/>
    </row>
    <row r="957">
      <c r="A957" s="371"/>
      <c r="B957" s="371"/>
      <c r="C957" s="371"/>
      <c r="D957" s="372"/>
      <c r="E957" s="371"/>
      <c r="F957" s="371"/>
      <c r="G957" s="371"/>
      <c r="H957" s="371"/>
      <c r="I957" s="371"/>
      <c r="J957" s="371"/>
      <c r="K957" s="371"/>
      <c r="L957" s="371"/>
      <c r="M957" s="371"/>
      <c r="N957" s="371"/>
      <c r="O957" s="371"/>
      <c r="P957" s="371"/>
      <c r="Q957" s="371"/>
      <c r="R957" s="371"/>
      <c r="S957" s="371"/>
      <c r="T957" s="371"/>
      <c r="U957" s="371"/>
      <c r="V957" s="371"/>
      <c r="W957" s="371"/>
      <c r="X957" s="371"/>
      <c r="Y957" s="371"/>
      <c r="Z957" s="371"/>
    </row>
    <row r="958">
      <c r="A958" s="371"/>
      <c r="B958" s="371"/>
      <c r="C958" s="371"/>
      <c r="D958" s="372"/>
      <c r="E958" s="371"/>
      <c r="F958" s="371"/>
      <c r="G958" s="371"/>
      <c r="H958" s="371"/>
      <c r="I958" s="371"/>
      <c r="J958" s="371"/>
      <c r="K958" s="371"/>
      <c r="L958" s="371"/>
      <c r="M958" s="371"/>
      <c r="N958" s="371"/>
      <c r="O958" s="371"/>
      <c r="P958" s="371"/>
      <c r="Q958" s="371"/>
      <c r="R958" s="371"/>
      <c r="S958" s="371"/>
      <c r="T958" s="371"/>
      <c r="U958" s="371"/>
      <c r="V958" s="371"/>
      <c r="W958" s="371"/>
      <c r="X958" s="371"/>
      <c r="Y958" s="371"/>
      <c r="Z958" s="371"/>
    </row>
    <row r="959">
      <c r="A959" s="371"/>
      <c r="B959" s="371"/>
      <c r="C959" s="371"/>
      <c r="D959" s="372"/>
      <c r="E959" s="371"/>
      <c r="F959" s="371"/>
      <c r="G959" s="371"/>
      <c r="H959" s="371"/>
      <c r="I959" s="371"/>
      <c r="J959" s="371"/>
      <c r="K959" s="371"/>
      <c r="L959" s="371"/>
      <c r="M959" s="371"/>
      <c r="N959" s="371"/>
      <c r="O959" s="371"/>
      <c r="P959" s="371"/>
      <c r="Q959" s="371"/>
      <c r="R959" s="371"/>
      <c r="S959" s="371"/>
      <c r="T959" s="371"/>
      <c r="U959" s="371"/>
      <c r="V959" s="371"/>
      <c r="W959" s="371"/>
      <c r="X959" s="371"/>
      <c r="Y959" s="371"/>
      <c r="Z959" s="371"/>
    </row>
    <row r="960">
      <c r="A960" s="371"/>
      <c r="B960" s="371"/>
      <c r="C960" s="371"/>
      <c r="D960" s="372"/>
      <c r="E960" s="371"/>
      <c r="F960" s="371"/>
      <c r="G960" s="371"/>
      <c r="H960" s="371"/>
      <c r="I960" s="371"/>
      <c r="J960" s="371"/>
      <c r="K960" s="371"/>
      <c r="L960" s="371"/>
      <c r="M960" s="371"/>
      <c r="N960" s="371"/>
      <c r="O960" s="371"/>
      <c r="P960" s="371"/>
      <c r="Q960" s="371"/>
      <c r="R960" s="371"/>
      <c r="S960" s="371"/>
      <c r="T960" s="371"/>
      <c r="U960" s="371"/>
      <c r="V960" s="371"/>
      <c r="W960" s="371"/>
      <c r="X960" s="371"/>
      <c r="Y960" s="371"/>
      <c r="Z960" s="371"/>
    </row>
    <row r="961">
      <c r="A961" s="371"/>
      <c r="B961" s="371"/>
      <c r="C961" s="371"/>
      <c r="D961" s="372"/>
      <c r="E961" s="371"/>
      <c r="F961" s="371"/>
      <c r="G961" s="371"/>
      <c r="H961" s="371"/>
      <c r="I961" s="371"/>
      <c r="J961" s="371"/>
      <c r="K961" s="371"/>
      <c r="L961" s="371"/>
      <c r="M961" s="371"/>
      <c r="N961" s="371"/>
      <c r="O961" s="371"/>
      <c r="P961" s="371"/>
      <c r="Q961" s="371"/>
      <c r="R961" s="371"/>
      <c r="S961" s="371"/>
      <c r="T961" s="371"/>
      <c r="U961" s="371"/>
      <c r="V961" s="371"/>
      <c r="W961" s="371"/>
      <c r="X961" s="371"/>
      <c r="Y961" s="371"/>
      <c r="Z961" s="371"/>
    </row>
    <row r="962">
      <c r="A962" s="371"/>
      <c r="B962" s="371"/>
      <c r="C962" s="371"/>
      <c r="D962" s="372"/>
      <c r="E962" s="371"/>
      <c r="F962" s="371"/>
      <c r="G962" s="371"/>
      <c r="H962" s="371"/>
      <c r="I962" s="371"/>
      <c r="J962" s="371"/>
      <c r="K962" s="371"/>
      <c r="L962" s="371"/>
      <c r="M962" s="371"/>
      <c r="N962" s="371"/>
      <c r="O962" s="371"/>
      <c r="P962" s="371"/>
      <c r="Q962" s="371"/>
      <c r="R962" s="371"/>
      <c r="S962" s="371"/>
      <c r="T962" s="371"/>
      <c r="U962" s="371"/>
      <c r="V962" s="371"/>
      <c r="W962" s="371"/>
      <c r="X962" s="371"/>
      <c r="Y962" s="371"/>
      <c r="Z962" s="371"/>
    </row>
    <row r="963">
      <c r="A963" s="371"/>
      <c r="B963" s="371"/>
      <c r="C963" s="371"/>
      <c r="D963" s="372"/>
      <c r="E963" s="371"/>
      <c r="F963" s="371"/>
      <c r="G963" s="371"/>
      <c r="H963" s="371"/>
      <c r="I963" s="371"/>
      <c r="J963" s="371"/>
      <c r="K963" s="371"/>
      <c r="L963" s="371"/>
      <c r="M963" s="371"/>
      <c r="N963" s="371"/>
      <c r="O963" s="371"/>
      <c r="P963" s="371"/>
      <c r="Q963" s="371"/>
      <c r="R963" s="371"/>
      <c r="S963" s="371"/>
      <c r="T963" s="371"/>
      <c r="U963" s="371"/>
      <c r="V963" s="371"/>
      <c r="W963" s="371"/>
      <c r="X963" s="371"/>
      <c r="Y963" s="371"/>
      <c r="Z963" s="371"/>
    </row>
    <row r="964">
      <c r="A964" s="371"/>
      <c r="B964" s="371"/>
      <c r="C964" s="371"/>
      <c r="D964" s="372"/>
      <c r="E964" s="371"/>
      <c r="F964" s="371"/>
      <c r="G964" s="371"/>
      <c r="H964" s="371"/>
      <c r="I964" s="371"/>
      <c r="J964" s="371"/>
      <c r="K964" s="371"/>
      <c r="L964" s="371"/>
      <c r="M964" s="371"/>
      <c r="N964" s="371"/>
      <c r="O964" s="371"/>
      <c r="P964" s="371"/>
      <c r="Q964" s="371"/>
      <c r="R964" s="371"/>
      <c r="S964" s="371"/>
      <c r="T964" s="371"/>
      <c r="U964" s="371"/>
      <c r="V964" s="371"/>
      <c r="W964" s="371"/>
      <c r="X964" s="371"/>
      <c r="Y964" s="371"/>
      <c r="Z964" s="371"/>
    </row>
    <row r="965">
      <c r="A965" s="371"/>
      <c r="B965" s="371"/>
      <c r="C965" s="371"/>
      <c r="D965" s="372"/>
      <c r="E965" s="371"/>
      <c r="F965" s="371"/>
      <c r="G965" s="371"/>
      <c r="H965" s="371"/>
      <c r="I965" s="371"/>
      <c r="J965" s="371"/>
      <c r="K965" s="371"/>
      <c r="L965" s="371"/>
      <c r="M965" s="371"/>
      <c r="N965" s="371"/>
      <c r="O965" s="371"/>
      <c r="P965" s="371"/>
      <c r="Q965" s="371"/>
      <c r="R965" s="371"/>
      <c r="S965" s="371"/>
      <c r="T965" s="371"/>
      <c r="U965" s="371"/>
      <c r="V965" s="371"/>
      <c r="W965" s="371"/>
      <c r="X965" s="371"/>
      <c r="Y965" s="371"/>
      <c r="Z965" s="371"/>
    </row>
    <row r="966">
      <c r="A966" s="371"/>
      <c r="B966" s="371"/>
      <c r="C966" s="371"/>
      <c r="D966" s="372"/>
      <c r="E966" s="371"/>
      <c r="F966" s="371"/>
      <c r="G966" s="371"/>
      <c r="H966" s="371"/>
      <c r="I966" s="371"/>
      <c r="J966" s="371"/>
      <c r="K966" s="371"/>
      <c r="L966" s="371"/>
      <c r="M966" s="371"/>
      <c r="N966" s="371"/>
      <c r="O966" s="371"/>
      <c r="P966" s="371"/>
      <c r="Q966" s="371"/>
      <c r="R966" s="371"/>
      <c r="S966" s="371"/>
      <c r="T966" s="371"/>
      <c r="U966" s="371"/>
      <c r="V966" s="371"/>
      <c r="W966" s="371"/>
      <c r="X966" s="371"/>
      <c r="Y966" s="371"/>
      <c r="Z966" s="371"/>
    </row>
    <row r="967">
      <c r="A967" s="371"/>
      <c r="B967" s="371"/>
      <c r="C967" s="371"/>
      <c r="D967" s="372"/>
      <c r="E967" s="371"/>
      <c r="F967" s="371"/>
      <c r="G967" s="371"/>
      <c r="H967" s="371"/>
      <c r="I967" s="371"/>
      <c r="J967" s="371"/>
      <c r="K967" s="371"/>
      <c r="L967" s="371"/>
      <c r="M967" s="371"/>
      <c r="N967" s="371"/>
      <c r="O967" s="371"/>
      <c r="P967" s="371"/>
      <c r="Q967" s="371"/>
      <c r="R967" s="371"/>
      <c r="S967" s="371"/>
      <c r="T967" s="371"/>
      <c r="U967" s="371"/>
      <c r="V967" s="371"/>
      <c r="W967" s="371"/>
      <c r="X967" s="371"/>
      <c r="Y967" s="371"/>
      <c r="Z967" s="371"/>
    </row>
    <row r="968">
      <c r="A968" s="371"/>
      <c r="B968" s="371"/>
      <c r="C968" s="371"/>
      <c r="D968" s="372"/>
      <c r="E968" s="371"/>
      <c r="F968" s="371"/>
      <c r="G968" s="371"/>
      <c r="H968" s="371"/>
      <c r="I968" s="371"/>
      <c r="J968" s="371"/>
      <c r="K968" s="371"/>
      <c r="L968" s="371"/>
      <c r="M968" s="371"/>
      <c r="N968" s="371"/>
      <c r="O968" s="371"/>
      <c r="P968" s="371"/>
      <c r="Q968" s="371"/>
      <c r="R968" s="371"/>
      <c r="S968" s="371"/>
      <c r="T968" s="371"/>
      <c r="U968" s="371"/>
      <c r="V968" s="371"/>
      <c r="W968" s="371"/>
      <c r="X968" s="371"/>
      <c r="Y968" s="371"/>
      <c r="Z968" s="371"/>
    </row>
    <row r="969">
      <c r="A969" s="371"/>
      <c r="B969" s="371"/>
      <c r="C969" s="371"/>
      <c r="D969" s="372"/>
      <c r="E969" s="371"/>
      <c r="F969" s="371"/>
      <c r="G969" s="371"/>
      <c r="H969" s="371"/>
      <c r="I969" s="371"/>
      <c r="J969" s="371"/>
      <c r="K969" s="371"/>
      <c r="L969" s="371"/>
      <c r="M969" s="371"/>
      <c r="N969" s="371"/>
      <c r="O969" s="371"/>
      <c r="P969" s="371"/>
      <c r="Q969" s="371"/>
      <c r="R969" s="371"/>
      <c r="S969" s="371"/>
      <c r="T969" s="371"/>
      <c r="U969" s="371"/>
      <c r="V969" s="371"/>
      <c r="W969" s="371"/>
      <c r="X969" s="371"/>
      <c r="Y969" s="371"/>
      <c r="Z969" s="371"/>
    </row>
    <row r="970">
      <c r="A970" s="371"/>
      <c r="B970" s="371"/>
      <c r="C970" s="371"/>
      <c r="D970" s="372"/>
      <c r="E970" s="371"/>
      <c r="F970" s="371"/>
      <c r="G970" s="371"/>
      <c r="H970" s="371"/>
      <c r="I970" s="371"/>
      <c r="J970" s="371"/>
      <c r="K970" s="371"/>
      <c r="L970" s="371"/>
      <c r="M970" s="371"/>
      <c r="N970" s="371"/>
      <c r="O970" s="371"/>
      <c r="P970" s="371"/>
      <c r="Q970" s="371"/>
      <c r="R970" s="371"/>
      <c r="S970" s="371"/>
      <c r="T970" s="371"/>
      <c r="U970" s="371"/>
      <c r="V970" s="371"/>
      <c r="W970" s="371"/>
      <c r="X970" s="371"/>
      <c r="Y970" s="371"/>
      <c r="Z970" s="371"/>
    </row>
    <row r="971">
      <c r="A971" s="371"/>
      <c r="B971" s="371"/>
      <c r="C971" s="371"/>
      <c r="D971" s="372"/>
      <c r="E971" s="371"/>
      <c r="F971" s="371"/>
      <c r="G971" s="371"/>
      <c r="H971" s="371"/>
      <c r="I971" s="371"/>
      <c r="J971" s="371"/>
      <c r="K971" s="371"/>
      <c r="L971" s="371"/>
      <c r="M971" s="371"/>
      <c r="N971" s="371"/>
      <c r="O971" s="371"/>
      <c r="P971" s="371"/>
      <c r="Q971" s="371"/>
      <c r="R971" s="371"/>
      <c r="S971" s="371"/>
      <c r="T971" s="371"/>
      <c r="U971" s="371"/>
      <c r="V971" s="371"/>
      <c r="W971" s="371"/>
      <c r="X971" s="371"/>
      <c r="Y971" s="371"/>
      <c r="Z971" s="371"/>
    </row>
    <row r="972">
      <c r="A972" s="371"/>
      <c r="B972" s="371"/>
      <c r="C972" s="371"/>
      <c r="D972" s="372"/>
      <c r="E972" s="371"/>
      <c r="F972" s="371"/>
      <c r="G972" s="371"/>
      <c r="H972" s="371"/>
      <c r="I972" s="371"/>
      <c r="J972" s="371"/>
      <c r="K972" s="371"/>
      <c r="L972" s="371"/>
      <c r="M972" s="371"/>
      <c r="N972" s="371"/>
      <c r="O972" s="371"/>
      <c r="P972" s="371"/>
      <c r="Q972" s="371"/>
      <c r="R972" s="371"/>
      <c r="S972" s="371"/>
      <c r="T972" s="371"/>
      <c r="U972" s="371"/>
      <c r="V972" s="371"/>
      <c r="W972" s="371"/>
      <c r="X972" s="371"/>
      <c r="Y972" s="371"/>
      <c r="Z972" s="371"/>
    </row>
    <row r="973">
      <c r="A973" s="371"/>
      <c r="B973" s="371"/>
      <c r="C973" s="371"/>
      <c r="D973" s="372"/>
      <c r="E973" s="371"/>
      <c r="F973" s="371"/>
      <c r="G973" s="371"/>
      <c r="H973" s="371"/>
      <c r="I973" s="371"/>
      <c r="J973" s="371"/>
      <c r="K973" s="371"/>
      <c r="L973" s="371"/>
      <c r="M973" s="371"/>
      <c r="N973" s="371"/>
      <c r="O973" s="371"/>
      <c r="P973" s="371"/>
      <c r="Q973" s="371"/>
      <c r="R973" s="371"/>
      <c r="S973" s="371"/>
      <c r="T973" s="371"/>
      <c r="U973" s="371"/>
      <c r="V973" s="371"/>
      <c r="W973" s="371"/>
      <c r="X973" s="371"/>
      <c r="Y973" s="371"/>
      <c r="Z973" s="371"/>
    </row>
    <row r="974">
      <c r="A974" s="371"/>
      <c r="B974" s="371"/>
      <c r="C974" s="371"/>
      <c r="D974" s="372"/>
      <c r="E974" s="371"/>
      <c r="F974" s="371"/>
      <c r="G974" s="371"/>
      <c r="H974" s="371"/>
      <c r="I974" s="371"/>
      <c r="J974" s="371"/>
      <c r="K974" s="371"/>
      <c r="L974" s="371"/>
      <c r="M974" s="371"/>
      <c r="N974" s="371"/>
      <c r="O974" s="371"/>
      <c r="P974" s="371"/>
      <c r="Q974" s="371"/>
      <c r="R974" s="371"/>
      <c r="S974" s="371"/>
      <c r="T974" s="371"/>
      <c r="U974" s="371"/>
      <c r="V974" s="371"/>
      <c r="W974" s="371"/>
      <c r="X974" s="371"/>
      <c r="Y974" s="371"/>
      <c r="Z974" s="371"/>
    </row>
    <row r="975">
      <c r="A975" s="371"/>
      <c r="B975" s="371"/>
      <c r="C975" s="371"/>
      <c r="D975" s="372"/>
      <c r="E975" s="371"/>
      <c r="F975" s="371"/>
      <c r="G975" s="371"/>
      <c r="H975" s="371"/>
      <c r="I975" s="371"/>
      <c r="J975" s="371"/>
      <c r="K975" s="371"/>
      <c r="L975" s="371"/>
      <c r="M975" s="371"/>
      <c r="N975" s="371"/>
      <c r="O975" s="371"/>
      <c r="P975" s="371"/>
      <c r="Q975" s="371"/>
      <c r="R975" s="371"/>
      <c r="S975" s="371"/>
      <c r="T975" s="371"/>
      <c r="U975" s="371"/>
      <c r="V975" s="371"/>
      <c r="W975" s="371"/>
      <c r="X975" s="371"/>
      <c r="Y975" s="371"/>
      <c r="Z975" s="371"/>
    </row>
    <row r="976">
      <c r="A976" s="371"/>
      <c r="B976" s="371"/>
      <c r="C976" s="371"/>
      <c r="D976" s="372"/>
      <c r="E976" s="371"/>
      <c r="F976" s="371"/>
      <c r="G976" s="371"/>
      <c r="H976" s="371"/>
      <c r="I976" s="371"/>
      <c r="J976" s="371"/>
      <c r="K976" s="371"/>
      <c r="L976" s="371"/>
      <c r="M976" s="371"/>
      <c r="N976" s="371"/>
      <c r="O976" s="371"/>
      <c r="P976" s="371"/>
      <c r="Q976" s="371"/>
      <c r="R976" s="371"/>
      <c r="S976" s="371"/>
      <c r="T976" s="371"/>
      <c r="U976" s="371"/>
      <c r="V976" s="371"/>
      <c r="W976" s="371"/>
      <c r="X976" s="371"/>
      <c r="Y976" s="371"/>
      <c r="Z976" s="371"/>
    </row>
    <row r="977">
      <c r="A977" s="371"/>
      <c r="B977" s="371"/>
      <c r="C977" s="371"/>
      <c r="D977" s="372"/>
      <c r="E977" s="371"/>
      <c r="F977" s="371"/>
      <c r="G977" s="371"/>
      <c r="H977" s="371"/>
      <c r="I977" s="371"/>
      <c r="J977" s="371"/>
      <c r="K977" s="371"/>
      <c r="L977" s="371"/>
      <c r="M977" s="371"/>
      <c r="N977" s="371"/>
      <c r="O977" s="371"/>
      <c r="P977" s="371"/>
      <c r="Q977" s="371"/>
      <c r="R977" s="371"/>
      <c r="S977" s="371"/>
      <c r="T977" s="371"/>
      <c r="U977" s="371"/>
      <c r="V977" s="371"/>
      <c r="W977" s="371"/>
      <c r="X977" s="371"/>
      <c r="Y977" s="371"/>
      <c r="Z977" s="371"/>
    </row>
    <row r="978">
      <c r="A978" s="371"/>
      <c r="B978" s="371"/>
      <c r="C978" s="371"/>
      <c r="D978" s="372"/>
      <c r="E978" s="371"/>
      <c r="F978" s="371"/>
      <c r="G978" s="371"/>
      <c r="H978" s="371"/>
      <c r="I978" s="371"/>
      <c r="J978" s="371"/>
      <c r="K978" s="371"/>
      <c r="L978" s="371"/>
      <c r="M978" s="371"/>
      <c r="N978" s="371"/>
      <c r="O978" s="371"/>
      <c r="P978" s="371"/>
      <c r="Q978" s="371"/>
      <c r="R978" s="371"/>
      <c r="S978" s="371"/>
      <c r="T978" s="371"/>
      <c r="U978" s="371"/>
      <c r="V978" s="371"/>
      <c r="W978" s="371"/>
      <c r="X978" s="371"/>
      <c r="Y978" s="371"/>
      <c r="Z978" s="371"/>
    </row>
    <row r="979">
      <c r="A979" s="371"/>
      <c r="B979" s="371"/>
      <c r="C979" s="371"/>
      <c r="D979" s="372"/>
      <c r="E979" s="371"/>
      <c r="F979" s="371"/>
      <c r="G979" s="371"/>
      <c r="H979" s="371"/>
      <c r="I979" s="371"/>
      <c r="J979" s="371"/>
      <c r="K979" s="371"/>
      <c r="L979" s="371"/>
      <c r="M979" s="371"/>
      <c r="N979" s="371"/>
      <c r="O979" s="371"/>
      <c r="P979" s="371"/>
      <c r="Q979" s="371"/>
      <c r="R979" s="371"/>
      <c r="S979" s="371"/>
      <c r="T979" s="371"/>
      <c r="U979" s="371"/>
      <c r="V979" s="371"/>
      <c r="W979" s="371"/>
      <c r="X979" s="371"/>
      <c r="Y979" s="371"/>
      <c r="Z979" s="371"/>
    </row>
    <row r="980">
      <c r="A980" s="371"/>
      <c r="B980" s="371"/>
      <c r="C980" s="371"/>
      <c r="D980" s="372"/>
      <c r="E980" s="371"/>
      <c r="F980" s="371"/>
      <c r="G980" s="371"/>
      <c r="H980" s="371"/>
      <c r="I980" s="371"/>
      <c r="J980" s="371"/>
      <c r="K980" s="371"/>
      <c r="L980" s="371"/>
      <c r="M980" s="371"/>
      <c r="N980" s="371"/>
      <c r="O980" s="371"/>
      <c r="P980" s="371"/>
      <c r="Q980" s="371"/>
      <c r="R980" s="371"/>
      <c r="S980" s="371"/>
      <c r="T980" s="371"/>
      <c r="U980" s="371"/>
      <c r="V980" s="371"/>
      <c r="W980" s="371"/>
      <c r="X980" s="371"/>
      <c r="Y980" s="371"/>
      <c r="Z980" s="371"/>
    </row>
    <row r="981">
      <c r="A981" s="371"/>
      <c r="B981" s="371"/>
      <c r="C981" s="371"/>
      <c r="D981" s="372"/>
      <c r="E981" s="371"/>
      <c r="F981" s="371"/>
      <c r="G981" s="371"/>
      <c r="H981" s="371"/>
      <c r="I981" s="371"/>
      <c r="J981" s="371"/>
      <c r="K981" s="371"/>
      <c r="L981" s="371"/>
      <c r="M981" s="371"/>
      <c r="N981" s="371"/>
      <c r="O981" s="371"/>
      <c r="P981" s="371"/>
      <c r="Q981" s="371"/>
      <c r="R981" s="371"/>
      <c r="S981" s="371"/>
      <c r="T981" s="371"/>
      <c r="U981" s="371"/>
      <c r="V981" s="371"/>
      <c r="W981" s="371"/>
      <c r="X981" s="371"/>
      <c r="Y981" s="371"/>
      <c r="Z981" s="371"/>
    </row>
    <row r="982">
      <c r="A982" s="371"/>
      <c r="B982" s="371"/>
      <c r="C982" s="371"/>
      <c r="D982" s="372"/>
      <c r="E982" s="371"/>
      <c r="F982" s="371"/>
      <c r="G982" s="371"/>
      <c r="H982" s="371"/>
      <c r="I982" s="371"/>
      <c r="J982" s="371"/>
      <c r="K982" s="371"/>
      <c r="L982" s="371"/>
      <c r="M982" s="371"/>
      <c r="N982" s="371"/>
      <c r="O982" s="371"/>
      <c r="P982" s="371"/>
      <c r="Q982" s="371"/>
      <c r="R982" s="371"/>
      <c r="S982" s="371"/>
      <c r="T982" s="371"/>
      <c r="U982" s="371"/>
      <c r="V982" s="371"/>
      <c r="W982" s="371"/>
      <c r="X982" s="371"/>
      <c r="Y982" s="371"/>
      <c r="Z982" s="371"/>
    </row>
    <row r="983">
      <c r="A983" s="371"/>
      <c r="B983" s="371"/>
      <c r="C983" s="371"/>
      <c r="D983" s="372"/>
      <c r="E983" s="371"/>
      <c r="F983" s="371"/>
      <c r="G983" s="371"/>
      <c r="H983" s="371"/>
      <c r="I983" s="371"/>
      <c r="J983" s="371"/>
      <c r="K983" s="371"/>
      <c r="L983" s="371"/>
      <c r="M983" s="371"/>
      <c r="N983" s="371"/>
      <c r="O983" s="371"/>
      <c r="P983" s="371"/>
      <c r="Q983" s="371"/>
      <c r="R983" s="371"/>
      <c r="S983" s="371"/>
      <c r="T983" s="371"/>
      <c r="U983" s="371"/>
      <c r="V983" s="371"/>
      <c r="W983" s="371"/>
      <c r="X983" s="371"/>
      <c r="Y983" s="371"/>
      <c r="Z983" s="371"/>
    </row>
    <row r="984">
      <c r="A984" s="371"/>
      <c r="B984" s="371"/>
      <c r="C984" s="371"/>
      <c r="D984" s="372"/>
      <c r="E984" s="371"/>
      <c r="F984" s="371"/>
      <c r="G984" s="371"/>
      <c r="H984" s="371"/>
      <c r="I984" s="371"/>
      <c r="J984" s="371"/>
      <c r="K984" s="371"/>
      <c r="L984" s="371"/>
      <c r="M984" s="371"/>
      <c r="N984" s="371"/>
      <c r="O984" s="371"/>
      <c r="P984" s="371"/>
      <c r="Q984" s="371"/>
      <c r="R984" s="371"/>
      <c r="S984" s="371"/>
      <c r="T984" s="371"/>
      <c r="U984" s="371"/>
      <c r="V984" s="371"/>
      <c r="W984" s="371"/>
      <c r="X984" s="371"/>
      <c r="Y984" s="371"/>
      <c r="Z984" s="371"/>
    </row>
    <row r="985">
      <c r="A985" s="371"/>
      <c r="B985" s="371"/>
      <c r="C985" s="371"/>
      <c r="D985" s="372"/>
      <c r="E985" s="371"/>
      <c r="F985" s="371"/>
      <c r="G985" s="371"/>
      <c r="H985" s="371"/>
      <c r="I985" s="371"/>
      <c r="J985" s="371"/>
      <c r="K985" s="371"/>
      <c r="L985" s="371"/>
      <c r="M985" s="371"/>
      <c r="N985" s="371"/>
      <c r="O985" s="371"/>
      <c r="P985" s="371"/>
      <c r="Q985" s="371"/>
      <c r="R985" s="371"/>
      <c r="S985" s="371"/>
      <c r="T985" s="371"/>
      <c r="U985" s="371"/>
      <c r="V985" s="371"/>
      <c r="W985" s="371"/>
      <c r="X985" s="371"/>
      <c r="Y985" s="371"/>
      <c r="Z985" s="371"/>
    </row>
    <row r="986">
      <c r="A986" s="371"/>
      <c r="B986" s="371"/>
      <c r="C986" s="371"/>
      <c r="D986" s="372"/>
      <c r="E986" s="371"/>
      <c r="F986" s="371"/>
      <c r="G986" s="371"/>
      <c r="H986" s="371"/>
      <c r="I986" s="371"/>
      <c r="J986" s="371"/>
      <c r="K986" s="371"/>
      <c r="L986" s="371"/>
      <c r="M986" s="371"/>
      <c r="N986" s="371"/>
      <c r="O986" s="371"/>
      <c r="P986" s="371"/>
      <c r="Q986" s="371"/>
      <c r="R986" s="371"/>
      <c r="S986" s="371"/>
      <c r="T986" s="371"/>
      <c r="U986" s="371"/>
      <c r="V986" s="371"/>
      <c r="W986" s="371"/>
      <c r="X986" s="371"/>
      <c r="Y986" s="371"/>
      <c r="Z986" s="371"/>
    </row>
    <row r="987">
      <c r="A987" s="371"/>
      <c r="B987" s="371"/>
      <c r="C987" s="371"/>
      <c r="D987" s="372"/>
      <c r="E987" s="371"/>
      <c r="F987" s="371"/>
      <c r="G987" s="371"/>
      <c r="H987" s="371"/>
      <c r="I987" s="371"/>
      <c r="J987" s="371"/>
      <c r="K987" s="371"/>
      <c r="L987" s="371"/>
      <c r="M987" s="371"/>
      <c r="N987" s="371"/>
      <c r="O987" s="371"/>
      <c r="P987" s="371"/>
      <c r="Q987" s="371"/>
      <c r="R987" s="371"/>
      <c r="S987" s="371"/>
      <c r="T987" s="371"/>
      <c r="U987" s="371"/>
      <c r="V987" s="371"/>
      <c r="W987" s="371"/>
      <c r="X987" s="371"/>
      <c r="Y987" s="371"/>
      <c r="Z987" s="371"/>
    </row>
    <row r="988">
      <c r="A988" s="371"/>
      <c r="B988" s="371"/>
      <c r="C988" s="371"/>
      <c r="D988" s="372"/>
      <c r="E988" s="371"/>
      <c r="F988" s="371"/>
      <c r="G988" s="371"/>
      <c r="H988" s="371"/>
      <c r="I988" s="371"/>
      <c r="J988" s="371"/>
      <c r="K988" s="371"/>
      <c r="L988" s="371"/>
      <c r="M988" s="371"/>
      <c r="N988" s="371"/>
      <c r="O988" s="371"/>
      <c r="P988" s="371"/>
      <c r="Q988" s="371"/>
      <c r="R988" s="371"/>
      <c r="S988" s="371"/>
      <c r="T988" s="371"/>
      <c r="U988" s="371"/>
      <c r="V988" s="371"/>
      <c r="W988" s="371"/>
      <c r="X988" s="371"/>
      <c r="Y988" s="371"/>
      <c r="Z988" s="371"/>
    </row>
    <row r="989">
      <c r="A989" s="371"/>
      <c r="B989" s="371"/>
      <c r="C989" s="371"/>
      <c r="D989" s="372"/>
      <c r="E989" s="371"/>
      <c r="F989" s="371"/>
      <c r="G989" s="371"/>
      <c r="H989" s="371"/>
      <c r="I989" s="371"/>
      <c r="J989" s="371"/>
      <c r="K989" s="371"/>
      <c r="L989" s="371"/>
      <c r="M989" s="371"/>
      <c r="N989" s="371"/>
      <c r="O989" s="371"/>
      <c r="P989" s="371"/>
      <c r="Q989" s="371"/>
      <c r="R989" s="371"/>
      <c r="S989" s="371"/>
      <c r="T989" s="371"/>
      <c r="U989" s="371"/>
      <c r="V989" s="371"/>
      <c r="W989" s="371"/>
      <c r="X989" s="371"/>
      <c r="Y989" s="371"/>
      <c r="Z989" s="371"/>
    </row>
    <row r="990">
      <c r="A990" s="371"/>
      <c r="B990" s="371"/>
      <c r="C990" s="371"/>
      <c r="D990" s="372"/>
      <c r="E990" s="371"/>
      <c r="F990" s="371"/>
      <c r="G990" s="371"/>
      <c r="H990" s="371"/>
      <c r="I990" s="371"/>
      <c r="J990" s="371"/>
      <c r="K990" s="371"/>
      <c r="L990" s="371"/>
      <c r="M990" s="371"/>
      <c r="N990" s="371"/>
      <c r="O990" s="371"/>
      <c r="P990" s="371"/>
      <c r="Q990" s="371"/>
      <c r="R990" s="371"/>
      <c r="S990" s="371"/>
      <c r="T990" s="371"/>
      <c r="U990" s="371"/>
      <c r="V990" s="371"/>
      <c r="W990" s="371"/>
      <c r="X990" s="371"/>
      <c r="Y990" s="371"/>
      <c r="Z990" s="371"/>
    </row>
    <row r="991">
      <c r="A991" s="371"/>
      <c r="B991" s="371"/>
      <c r="C991" s="371"/>
      <c r="D991" s="372"/>
      <c r="E991" s="371"/>
      <c r="F991" s="371"/>
      <c r="G991" s="371"/>
      <c r="H991" s="371"/>
      <c r="I991" s="371"/>
      <c r="J991" s="371"/>
      <c r="K991" s="371"/>
      <c r="L991" s="371"/>
      <c r="M991" s="371"/>
      <c r="N991" s="371"/>
      <c r="O991" s="371"/>
      <c r="P991" s="371"/>
      <c r="Q991" s="371"/>
      <c r="R991" s="371"/>
      <c r="S991" s="371"/>
      <c r="T991" s="371"/>
      <c r="U991" s="371"/>
      <c r="V991" s="371"/>
      <c r="W991" s="371"/>
      <c r="X991" s="371"/>
      <c r="Y991" s="371"/>
      <c r="Z991" s="371"/>
    </row>
    <row r="992">
      <c r="A992" s="371"/>
      <c r="B992" s="371"/>
      <c r="C992" s="371"/>
      <c r="D992" s="372"/>
      <c r="E992" s="371"/>
      <c r="F992" s="371"/>
      <c r="G992" s="371"/>
      <c r="H992" s="371"/>
      <c r="I992" s="371"/>
      <c r="J992" s="371"/>
      <c r="K992" s="371"/>
      <c r="L992" s="371"/>
      <c r="M992" s="371"/>
      <c r="N992" s="371"/>
      <c r="O992" s="371"/>
      <c r="P992" s="371"/>
      <c r="Q992" s="371"/>
      <c r="R992" s="371"/>
      <c r="S992" s="371"/>
      <c r="T992" s="371"/>
      <c r="U992" s="371"/>
      <c r="V992" s="371"/>
      <c r="W992" s="371"/>
      <c r="X992" s="371"/>
      <c r="Y992" s="371"/>
      <c r="Z992" s="371"/>
    </row>
    <row r="993">
      <c r="A993" s="371"/>
      <c r="B993" s="371"/>
      <c r="C993" s="371"/>
      <c r="D993" s="372"/>
      <c r="E993" s="371"/>
      <c r="F993" s="371"/>
      <c r="G993" s="371"/>
      <c r="H993" s="371"/>
      <c r="I993" s="371"/>
      <c r="J993" s="371"/>
      <c r="K993" s="371"/>
      <c r="L993" s="371"/>
      <c r="M993" s="371"/>
      <c r="N993" s="371"/>
      <c r="O993" s="371"/>
      <c r="P993" s="371"/>
      <c r="Q993" s="371"/>
      <c r="R993" s="371"/>
      <c r="S993" s="371"/>
      <c r="T993" s="371"/>
      <c r="U993" s="371"/>
      <c r="V993" s="371"/>
      <c r="W993" s="371"/>
      <c r="X993" s="371"/>
      <c r="Y993" s="371"/>
      <c r="Z993" s="371"/>
    </row>
    <row r="994">
      <c r="A994" s="371"/>
      <c r="B994" s="371"/>
      <c r="C994" s="371"/>
      <c r="D994" s="372"/>
      <c r="E994" s="371"/>
      <c r="F994" s="371"/>
      <c r="G994" s="371"/>
      <c r="H994" s="371"/>
      <c r="I994" s="371"/>
      <c r="J994" s="371"/>
      <c r="K994" s="371"/>
      <c r="L994" s="371"/>
      <c r="M994" s="371"/>
      <c r="N994" s="371"/>
      <c r="O994" s="371"/>
      <c r="P994" s="371"/>
      <c r="Q994" s="371"/>
      <c r="R994" s="371"/>
      <c r="S994" s="371"/>
      <c r="T994" s="371"/>
      <c r="U994" s="371"/>
      <c r="V994" s="371"/>
      <c r="W994" s="371"/>
      <c r="X994" s="371"/>
      <c r="Y994" s="371"/>
      <c r="Z994" s="371"/>
    </row>
    <row r="995">
      <c r="A995" s="371"/>
      <c r="B995" s="371"/>
      <c r="C995" s="371"/>
      <c r="D995" s="372"/>
      <c r="E995" s="371"/>
      <c r="F995" s="371"/>
      <c r="G995" s="371"/>
      <c r="H995" s="371"/>
      <c r="I995" s="371"/>
      <c r="J995" s="371"/>
      <c r="K995" s="371"/>
      <c r="L995" s="371"/>
      <c r="M995" s="371"/>
      <c r="N995" s="371"/>
      <c r="O995" s="371"/>
      <c r="P995" s="371"/>
      <c r="Q995" s="371"/>
      <c r="R995" s="371"/>
      <c r="S995" s="371"/>
      <c r="T995" s="371"/>
      <c r="U995" s="371"/>
      <c r="V995" s="371"/>
      <c r="W995" s="371"/>
      <c r="X995" s="371"/>
      <c r="Y995" s="371"/>
      <c r="Z995" s="371"/>
    </row>
    <row r="996">
      <c r="A996" s="371"/>
      <c r="B996" s="371"/>
      <c r="C996" s="371"/>
      <c r="D996" s="372"/>
      <c r="E996" s="371"/>
      <c r="F996" s="371"/>
      <c r="G996" s="371"/>
      <c r="H996" s="371"/>
      <c r="I996" s="371"/>
      <c r="J996" s="371"/>
      <c r="K996" s="371"/>
      <c r="L996" s="371"/>
      <c r="M996" s="371"/>
      <c r="N996" s="371"/>
      <c r="O996" s="371"/>
      <c r="P996" s="371"/>
      <c r="Q996" s="371"/>
      <c r="R996" s="371"/>
      <c r="S996" s="371"/>
      <c r="T996" s="371"/>
      <c r="U996" s="371"/>
      <c r="V996" s="371"/>
      <c r="W996" s="371"/>
      <c r="X996" s="371"/>
      <c r="Y996" s="371"/>
      <c r="Z996" s="371"/>
    </row>
    <row r="997">
      <c r="A997" s="371"/>
      <c r="B997" s="371"/>
      <c r="C997" s="371"/>
      <c r="D997" s="372"/>
      <c r="E997" s="371"/>
      <c r="F997" s="371"/>
      <c r="G997" s="371"/>
      <c r="H997" s="371"/>
      <c r="I997" s="371"/>
      <c r="J997" s="371"/>
      <c r="K997" s="371"/>
      <c r="L997" s="371"/>
      <c r="M997" s="371"/>
      <c r="N997" s="371"/>
      <c r="O997" s="371"/>
      <c r="P997" s="371"/>
      <c r="Q997" s="371"/>
      <c r="R997" s="371"/>
      <c r="S997" s="371"/>
      <c r="T997" s="371"/>
      <c r="U997" s="371"/>
      <c r="V997" s="371"/>
      <c r="W997" s="371"/>
      <c r="X997" s="371"/>
      <c r="Y997" s="371"/>
      <c r="Z997" s="371"/>
    </row>
    <row r="998">
      <c r="A998" s="371"/>
      <c r="B998" s="371"/>
      <c r="C998" s="371"/>
      <c r="D998" s="372"/>
      <c r="E998" s="371"/>
      <c r="F998" s="371"/>
      <c r="G998" s="371"/>
      <c r="H998" s="371"/>
      <c r="I998" s="371"/>
      <c r="J998" s="371"/>
      <c r="K998" s="371"/>
      <c r="L998" s="371"/>
      <c r="M998" s="371"/>
      <c r="N998" s="371"/>
      <c r="O998" s="371"/>
      <c r="P998" s="371"/>
      <c r="Q998" s="371"/>
      <c r="R998" s="371"/>
      <c r="S998" s="371"/>
      <c r="T998" s="371"/>
      <c r="U998" s="371"/>
      <c r="V998" s="371"/>
      <c r="W998" s="371"/>
      <c r="X998" s="371"/>
      <c r="Y998" s="371"/>
      <c r="Z998" s="371"/>
    </row>
    <row r="999">
      <c r="A999" s="371"/>
      <c r="B999" s="371"/>
      <c r="C999" s="371"/>
      <c r="D999" s="372"/>
      <c r="E999" s="371"/>
      <c r="F999" s="371"/>
      <c r="G999" s="371"/>
      <c r="H999" s="371"/>
      <c r="I999" s="371"/>
      <c r="J999" s="371"/>
      <c r="K999" s="371"/>
      <c r="L999" s="371"/>
      <c r="M999" s="371"/>
      <c r="N999" s="371"/>
      <c r="O999" s="371"/>
      <c r="P999" s="371"/>
      <c r="Q999" s="371"/>
      <c r="R999" s="371"/>
      <c r="S999" s="371"/>
      <c r="T999" s="371"/>
      <c r="U999" s="371"/>
      <c r="V999" s="371"/>
      <c r="W999" s="371"/>
      <c r="X999" s="371"/>
      <c r="Y999" s="371"/>
      <c r="Z999" s="371"/>
    </row>
    <row r="1000">
      <c r="A1000" s="371"/>
      <c r="B1000" s="371"/>
      <c r="C1000" s="371"/>
      <c r="D1000" s="372"/>
      <c r="E1000" s="371"/>
      <c r="F1000" s="371"/>
      <c r="G1000" s="371"/>
      <c r="H1000" s="371"/>
      <c r="I1000" s="371"/>
      <c r="J1000" s="371"/>
      <c r="K1000" s="371"/>
      <c r="L1000" s="371"/>
      <c r="M1000" s="371"/>
      <c r="N1000" s="371"/>
      <c r="O1000" s="371"/>
      <c r="P1000" s="371"/>
      <c r="Q1000" s="371"/>
      <c r="R1000" s="371"/>
      <c r="S1000" s="371"/>
      <c r="T1000" s="371"/>
      <c r="U1000" s="371"/>
      <c r="V1000" s="371"/>
      <c r="W1000" s="371"/>
      <c r="X1000" s="371"/>
      <c r="Y1000" s="371"/>
      <c r="Z1000" s="371"/>
    </row>
  </sheetData>
  <drawing r:id="rId1"/>
</worksheet>
</file>